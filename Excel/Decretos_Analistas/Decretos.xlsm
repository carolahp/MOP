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tabRatio="603"/>
  </bookViews>
  <sheets>
    <sheet name="Solicitudes" sheetId="3" r:id="rId1"/>
    <sheet name="Documentos" sheetId="1" r:id="rId2"/>
    <sheet name="Movimientos" sheetId="7" r:id="rId3"/>
    <sheet name="Leyes" sheetId="4" r:id="rId4"/>
    <sheet name="(No tocar)" sheetId="2" r:id="rId5"/>
  </sheets>
  <calcPr calcId="152511"/>
</workbook>
</file>

<file path=xl/calcChain.xml><?xml version="1.0" encoding="utf-8"?>
<calcChain xmlns="http://schemas.openxmlformats.org/spreadsheetml/2006/main">
  <c r="B545" i="7" l="1"/>
  <c r="C545" i="7"/>
  <c r="D545" i="7"/>
  <c r="B544" i="7"/>
  <c r="C544" i="7"/>
  <c r="D544" i="7"/>
  <c r="K2" i="1" l="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354"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1487" i="1"/>
  <c r="K333" i="1"/>
  <c r="K334" i="1"/>
  <c r="K335" i="1"/>
  <c r="K336" i="1"/>
  <c r="K337" i="1"/>
  <c r="K338" i="1"/>
  <c r="K339" i="1"/>
  <c r="K340" i="1"/>
  <c r="K341" i="1"/>
  <c r="K342" i="1"/>
  <c r="K343" i="1"/>
  <c r="K344" i="1"/>
  <c r="K345" i="1"/>
  <c r="K346" i="1"/>
  <c r="K598" i="1"/>
  <c r="K348" i="1"/>
  <c r="K349" i="1"/>
  <c r="K350" i="1"/>
  <c r="K351" i="1"/>
  <c r="K352" i="1"/>
  <c r="K353" i="1"/>
  <c r="K219"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612"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1066"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643"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940" i="1"/>
  <c r="K599" i="1"/>
  <c r="K600" i="1"/>
  <c r="K601" i="1"/>
  <c r="K602" i="1"/>
  <c r="K603" i="1"/>
  <c r="K604" i="1"/>
  <c r="K605" i="1"/>
  <c r="K606" i="1"/>
  <c r="K607" i="1"/>
  <c r="K608" i="1"/>
  <c r="K609" i="1"/>
  <c r="K610" i="1"/>
  <c r="K611" i="1"/>
  <c r="K1279"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1199" i="1"/>
  <c r="K639" i="1"/>
  <c r="K640" i="1"/>
  <c r="K641" i="1"/>
  <c r="K642" i="1"/>
  <c r="K1130" i="1"/>
  <c r="K1218" i="1"/>
  <c r="K645" i="1"/>
  <c r="K646" i="1"/>
  <c r="K648" i="1"/>
  <c r="K1076" i="1"/>
  <c r="K649" i="1"/>
  <c r="K650" i="1"/>
  <c r="K651" i="1"/>
  <c r="K1504" i="1"/>
  <c r="K653" i="1"/>
  <c r="K654" i="1"/>
  <c r="K655" i="1"/>
  <c r="K656" i="1"/>
  <c r="K657" i="1"/>
  <c r="K658" i="1"/>
  <c r="K659" i="1"/>
  <c r="K1334"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388"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1556"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652" i="1"/>
  <c r="K935" i="1"/>
  <c r="K936" i="1"/>
  <c r="K937" i="1"/>
  <c r="K938" i="1"/>
  <c r="K939" i="1"/>
  <c r="K1364"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494"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638" i="1"/>
  <c r="K1067" i="1"/>
  <c r="K1068" i="1"/>
  <c r="K1069" i="1"/>
  <c r="K1070" i="1"/>
  <c r="K1071" i="1"/>
  <c r="K1072" i="1"/>
  <c r="K1073" i="1"/>
  <c r="K1074" i="1"/>
  <c r="K1075" i="1"/>
  <c r="K1117"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002" i="1"/>
  <c r="K1118" i="1"/>
  <c r="K1119" i="1"/>
  <c r="K1120" i="1"/>
  <c r="K1121" i="1"/>
  <c r="K1122" i="1"/>
  <c r="K660" i="1"/>
  <c r="K1124" i="1"/>
  <c r="K1125" i="1"/>
  <c r="K1126" i="1"/>
  <c r="K1127" i="1"/>
  <c r="K1128" i="1"/>
  <c r="K1129" i="1"/>
  <c r="K1331" i="1"/>
  <c r="K1131" i="1"/>
  <c r="K1132" i="1"/>
  <c r="K1133" i="1"/>
  <c r="K1134" i="1"/>
  <c r="K1135" i="1"/>
  <c r="K1136" i="1"/>
  <c r="K1137" i="1"/>
  <c r="K1138" i="1"/>
  <c r="K1139" i="1"/>
  <c r="K644"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712" i="1"/>
  <c r="K1200" i="1"/>
  <c r="K1201" i="1"/>
  <c r="K1140" i="1"/>
  <c r="K1203" i="1"/>
  <c r="K1204" i="1"/>
  <c r="K1205" i="1"/>
  <c r="K1206" i="1"/>
  <c r="K1207" i="1"/>
  <c r="K1208" i="1"/>
  <c r="K1209" i="1"/>
  <c r="K1210" i="1"/>
  <c r="K1211" i="1"/>
  <c r="K1212" i="1"/>
  <c r="K1213" i="1"/>
  <c r="K1214" i="1"/>
  <c r="K1215" i="1"/>
  <c r="K1216" i="1"/>
  <c r="K1217" i="1"/>
  <c r="K1224" i="1"/>
  <c r="K1219" i="1"/>
  <c r="K1220" i="1"/>
  <c r="K1221" i="1"/>
  <c r="K1222" i="1"/>
  <c r="K1223" i="1"/>
  <c r="K1202"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647"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762" i="1"/>
  <c r="K1332" i="1"/>
  <c r="K1333" i="1"/>
  <c r="K9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413"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12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541" i="1"/>
  <c r="K1488" i="1"/>
  <c r="K1489" i="1"/>
  <c r="K1490" i="1"/>
  <c r="K1491" i="1"/>
  <c r="K1492" i="1"/>
  <c r="K1493" i="1"/>
  <c r="K1494" i="1"/>
  <c r="K1495" i="1"/>
  <c r="K1496" i="1"/>
  <c r="K1497" i="1"/>
  <c r="K1498" i="1"/>
  <c r="K1499" i="1"/>
  <c r="K1500" i="1"/>
  <c r="K1501" i="1"/>
  <c r="K1502" i="1"/>
  <c r="K1503" i="1"/>
  <c r="K332"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347" i="1"/>
  <c r="K1557" i="1"/>
  <c r="K1558" i="1"/>
  <c r="K1559" i="1"/>
  <c r="K1560" i="1"/>
  <c r="K1561" i="1"/>
  <c r="K1562" i="1"/>
  <c r="K1563" i="1"/>
  <c r="K1564" i="1"/>
  <c r="K1565" i="1"/>
  <c r="K1566" i="1"/>
  <c r="K1567" i="1"/>
  <c r="K1568" i="1"/>
  <c r="K1569" i="1"/>
  <c r="K1570" i="1"/>
  <c r="K1571" i="1"/>
  <c r="K1572" i="1"/>
  <c r="K1573" i="1"/>
  <c r="K1574" i="1"/>
  <c r="A1574" i="1" l="1"/>
  <c r="A1573" i="1"/>
  <c r="A1572" i="1"/>
  <c r="A1571" i="1"/>
  <c r="A1570" i="1"/>
  <c r="A1569" i="1" l="1"/>
  <c r="C49" i="7" l="1"/>
  <c r="C51" i="7"/>
  <c r="C151" i="7"/>
  <c r="C249" i="7"/>
  <c r="C305" i="7"/>
  <c r="C397" i="7"/>
  <c r="C327" i="7"/>
  <c r="C379" i="7"/>
  <c r="C312" i="7"/>
  <c r="C380" i="7"/>
  <c r="C329" i="7"/>
  <c r="C332" i="7"/>
  <c r="C250" i="7"/>
  <c r="C320" i="7"/>
  <c r="C319" i="7"/>
  <c r="C334" i="7"/>
  <c r="C248" i="7"/>
  <c r="C314" i="7"/>
  <c r="C326" i="7"/>
  <c r="C389" i="7"/>
  <c r="C20" i="7"/>
  <c r="C325" i="7"/>
  <c r="C478" i="7"/>
  <c r="C335" i="7"/>
  <c r="C390" i="7"/>
  <c r="C110" i="7"/>
  <c r="C163" i="7"/>
  <c r="C111" i="7"/>
  <c r="C112" i="7"/>
  <c r="C113" i="7"/>
  <c r="C164" i="7"/>
  <c r="C165" i="7"/>
  <c r="C166" i="7"/>
  <c r="C7" i="7"/>
  <c r="C19" i="7"/>
  <c r="C420" i="7"/>
  <c r="C458" i="7"/>
  <c r="C158" i="7"/>
  <c r="C456" i="7"/>
  <c r="C257" i="7"/>
  <c r="C468" i="7"/>
  <c r="C411" i="7"/>
  <c r="C470" i="7"/>
  <c r="C18" i="7"/>
  <c r="C46" i="7"/>
  <c r="C459" i="7"/>
  <c r="C204" i="7"/>
  <c r="C452" i="7"/>
  <c r="C208" i="7"/>
  <c r="C453" i="7"/>
  <c r="C279" i="7"/>
  <c r="C472" i="7"/>
  <c r="C454" i="7"/>
  <c r="C501" i="7"/>
  <c r="C297" i="7"/>
  <c r="C533" i="7"/>
  <c r="C199" i="7"/>
  <c r="C498" i="7"/>
  <c r="C141" i="7"/>
  <c r="C536" i="7"/>
  <c r="C252" i="7"/>
  <c r="C253" i="7"/>
  <c r="C417" i="7"/>
  <c r="C419" i="7"/>
  <c r="C251" i="7"/>
  <c r="C469" i="7"/>
  <c r="C488" i="7"/>
  <c r="C539" i="7"/>
  <c r="C313" i="7"/>
  <c r="C322" i="7"/>
  <c r="C101" i="7"/>
  <c r="C502" i="7"/>
  <c r="C21" i="7"/>
  <c r="C28" i="7"/>
  <c r="C246" i="7"/>
  <c r="C310" i="7"/>
  <c r="C183" i="7"/>
  <c r="C228" i="7"/>
  <c r="C302" i="7"/>
  <c r="C425" i="7"/>
  <c r="C140" i="7"/>
  <c r="C97" i="7"/>
  <c r="C122" i="7"/>
  <c r="C154" i="7"/>
  <c r="C160" i="7"/>
  <c r="C216" i="7"/>
  <c r="C275" i="7"/>
  <c r="C44" i="7"/>
  <c r="C50" i="7"/>
  <c r="C181" i="7"/>
  <c r="C521" i="7"/>
  <c r="C321" i="7"/>
  <c r="C437" i="7"/>
  <c r="C316" i="7"/>
  <c r="C185" i="7"/>
  <c r="C497" i="7"/>
  <c r="C229" i="7"/>
  <c r="C408" i="7"/>
  <c r="C430" i="7"/>
  <c r="C381" i="7"/>
  <c r="C391" i="7"/>
  <c r="C79" i="7"/>
  <c r="C505" i="7"/>
  <c r="C230" i="7"/>
  <c r="C288" i="7"/>
  <c r="C155" i="7"/>
  <c r="C207" i="7"/>
  <c r="C137" i="7"/>
  <c r="C142" i="7"/>
  <c r="C317" i="7"/>
  <c r="C427" i="7"/>
  <c r="C114" i="7"/>
  <c r="C188" i="7"/>
  <c r="C159" i="7"/>
  <c r="C67" i="7"/>
  <c r="C282" i="7"/>
  <c r="C473" i="7"/>
  <c r="C308" i="7"/>
  <c r="C428" i="7"/>
  <c r="C178" i="7"/>
  <c r="C191" i="7"/>
  <c r="C269" i="7"/>
  <c r="C277" i="7"/>
  <c r="C56" i="7"/>
  <c r="C72" i="7"/>
  <c r="C431" i="7"/>
  <c r="C30" i="7"/>
  <c r="C47" i="7"/>
  <c r="C125" i="7"/>
  <c r="C190" i="7"/>
  <c r="C315" i="7"/>
  <c r="C433" i="7"/>
  <c r="C370" i="7"/>
  <c r="C96" i="7"/>
  <c r="C123" i="7"/>
  <c r="C292" i="7"/>
  <c r="C384" i="7"/>
  <c r="C93" i="7"/>
  <c r="C499" i="7"/>
  <c r="C175" i="7"/>
  <c r="C198" i="7"/>
  <c r="C192" i="7"/>
  <c r="C238" i="7"/>
  <c r="C144" i="7"/>
  <c r="C153" i="7"/>
  <c r="C303" i="7"/>
  <c r="C426" i="7"/>
  <c r="C301" i="7"/>
  <c r="C386" i="7"/>
  <c r="C52" i="7"/>
  <c r="C506" i="7"/>
  <c r="C271" i="7"/>
  <c r="C351" i="7"/>
  <c r="C17" i="7"/>
  <c r="C307" i="7"/>
  <c r="C16" i="7"/>
  <c r="C36" i="7"/>
  <c r="C40" i="7"/>
  <c r="C41" i="7"/>
  <c r="C42" i="7"/>
  <c r="C43" i="7"/>
  <c r="C48" i="7"/>
  <c r="C53" i="7"/>
  <c r="C54" i="7"/>
  <c r="C57" i="7"/>
  <c r="C75" i="7"/>
  <c r="C77" i="7"/>
  <c r="C78" i="7"/>
  <c r="C87" i="7"/>
  <c r="C98" i="7"/>
  <c r="C99" i="7"/>
  <c r="C100" i="7"/>
  <c r="C105" i="7"/>
  <c r="C106" i="7"/>
  <c r="C109" i="7"/>
  <c r="C115" i="7"/>
  <c r="C130" i="7"/>
  <c r="C131" i="7"/>
  <c r="C134" i="7"/>
  <c r="C143" i="7"/>
  <c r="C149" i="7"/>
  <c r="C152" i="7"/>
  <c r="C161" i="7"/>
  <c r="C169" i="7"/>
  <c r="C170" i="7"/>
  <c r="C172" i="7"/>
  <c r="C173" i="7"/>
  <c r="C176" i="7"/>
  <c r="C186" i="7"/>
  <c r="C187" i="7"/>
  <c r="C189" i="7"/>
  <c r="C200" i="7"/>
  <c r="C202" i="7"/>
  <c r="C214" i="7"/>
  <c r="C258" i="7"/>
  <c r="C273" i="7"/>
  <c r="C283" i="7"/>
  <c r="C291" i="7"/>
  <c r="C293" i="7"/>
  <c r="C304" i="7"/>
  <c r="C375" i="7"/>
  <c r="C378" i="7"/>
  <c r="C387" i="7"/>
  <c r="C418" i="7"/>
  <c r="C462" i="7"/>
  <c r="C463" i="7"/>
  <c r="C471" i="7"/>
  <c r="C474" i="7"/>
  <c r="C481" i="7"/>
  <c r="C491" i="7"/>
  <c r="C492" i="7"/>
  <c r="C494" i="7"/>
  <c r="C495" i="7"/>
  <c r="C496" i="7"/>
  <c r="C500" i="7"/>
  <c r="C503" i="7"/>
  <c r="C504" i="7"/>
  <c r="C507" i="7"/>
  <c r="C508" i="7"/>
  <c r="C509" i="7"/>
  <c r="C512" i="7"/>
  <c r="C513" i="7"/>
  <c r="C525" i="7"/>
  <c r="C526" i="7"/>
  <c r="C531" i="7"/>
  <c r="C532" i="7"/>
  <c r="C535" i="7"/>
  <c r="C537" i="7"/>
  <c r="C541" i="7"/>
  <c r="C542" i="7"/>
  <c r="C4" i="7"/>
  <c r="C26" i="7"/>
  <c r="C29" i="7"/>
  <c r="C38" i="7"/>
  <c r="C45" i="7"/>
  <c r="C84" i="7"/>
  <c r="C91" i="7"/>
  <c r="C102" i="7"/>
  <c r="C116" i="7"/>
  <c r="C124" i="7"/>
  <c r="C126" i="7"/>
  <c r="C129" i="7"/>
  <c r="C136" i="7"/>
  <c r="C145" i="7"/>
  <c r="C156" i="7"/>
  <c r="C162" i="7"/>
  <c r="C171" i="7"/>
  <c r="C270" i="7"/>
  <c r="C298" i="7"/>
  <c r="C306" i="7"/>
  <c r="C330" i="7"/>
  <c r="C333" i="7"/>
  <c r="C374" i="7"/>
  <c r="C376" i="7"/>
  <c r="C377" i="7"/>
  <c r="C383" i="7"/>
  <c r="C392" i="7"/>
  <c r="C436" i="7"/>
  <c r="C457" i="7"/>
  <c r="C477" i="7"/>
  <c r="C510" i="7"/>
  <c r="C511" i="7"/>
  <c r="C522" i="7"/>
  <c r="C517" i="7"/>
  <c r="C3" i="7"/>
  <c r="C5" i="7"/>
  <c r="C8" i="7"/>
  <c r="C9" i="7"/>
  <c r="C10" i="7"/>
  <c r="C12" i="7"/>
  <c r="C14" i="7"/>
  <c r="C15" i="7"/>
  <c r="C25" i="7"/>
  <c r="C27" i="7"/>
  <c r="C31" i="7"/>
  <c r="C32" i="7"/>
  <c r="C33" i="7"/>
  <c r="C35" i="7"/>
  <c r="C157" i="7"/>
  <c r="C226" i="7"/>
  <c r="C261" i="7"/>
  <c r="C262" i="7"/>
  <c r="C264" i="7"/>
  <c r="C268" i="7"/>
  <c r="C276" i="7"/>
  <c r="C286" i="7"/>
  <c r="C296" i="7"/>
  <c r="C341" i="7"/>
  <c r="C343" i="7"/>
  <c r="C344" i="7"/>
  <c r="C346" i="7"/>
  <c r="C347" i="7"/>
  <c r="C349" i="7"/>
  <c r="C352" i="7"/>
  <c r="C355" i="7"/>
  <c r="C356" i="7"/>
  <c r="C357" i="7"/>
  <c r="C359" i="7"/>
  <c r="C360" i="7"/>
  <c r="C361" i="7"/>
  <c r="C362" i="7"/>
  <c r="C363" i="7"/>
  <c r="C364" i="7"/>
  <c r="C365" i="7"/>
  <c r="C368" i="7"/>
  <c r="C369" i="7"/>
  <c r="C371" i="7"/>
  <c r="C372" i="7"/>
  <c r="C393" i="7"/>
  <c r="C394" i="7"/>
  <c r="C395" i="7"/>
  <c r="C396" i="7"/>
  <c r="C398" i="7"/>
  <c r="C399" i="7"/>
  <c r="C400" i="7"/>
  <c r="C403" i="7"/>
  <c r="C404" i="7"/>
  <c r="C451" i="7"/>
  <c r="C482" i="7"/>
  <c r="C483" i="7"/>
  <c r="C484" i="7"/>
  <c r="C485" i="7"/>
  <c r="C486" i="7"/>
  <c r="C487" i="7"/>
  <c r="C493" i="7"/>
  <c r="C514" i="7"/>
  <c r="C515" i="7"/>
  <c r="C516" i="7"/>
  <c r="C518" i="7"/>
  <c r="C519" i="7"/>
  <c r="C520" i="7"/>
  <c r="C527" i="7"/>
  <c r="C528" i="7"/>
  <c r="C529" i="7"/>
  <c r="C530" i="7"/>
  <c r="C538" i="7"/>
  <c r="C2" i="7"/>
  <c r="C6" i="7"/>
  <c r="C13" i="7"/>
  <c r="C23" i="7"/>
  <c r="C24" i="7"/>
  <c r="C70" i="7"/>
  <c r="C74" i="7"/>
  <c r="C232" i="7"/>
  <c r="C239" i="7"/>
  <c r="C263" i="7"/>
  <c r="C289" i="7"/>
  <c r="C290" i="7"/>
  <c r="C309" i="7"/>
  <c r="C345" i="7"/>
  <c r="C348" i="7"/>
  <c r="C350" i="7"/>
  <c r="C353" i="7"/>
  <c r="C354" i="7"/>
  <c r="C358" i="7"/>
  <c r="C373" i="7"/>
  <c r="C402" i="7"/>
  <c r="C446" i="7"/>
  <c r="C449" i="7"/>
  <c r="C450" i="7"/>
  <c r="C534" i="7"/>
  <c r="C543" i="7"/>
  <c r="C108" i="7"/>
  <c r="C366" i="7"/>
  <c r="C295" i="7"/>
  <c r="C475" i="7"/>
  <c r="C294" i="7"/>
  <c r="C476" i="7"/>
  <c r="C138" i="7"/>
  <c r="C447" i="7"/>
  <c r="C139" i="7"/>
  <c r="C448" i="7"/>
  <c r="C460" i="7"/>
  <c r="C489" i="7"/>
  <c r="C219" i="7"/>
  <c r="C464" i="7"/>
  <c r="C224" i="7"/>
  <c r="C410" i="7"/>
  <c r="C339" i="7"/>
  <c r="C479" i="7"/>
  <c r="C401" i="7"/>
  <c r="C243" i="7"/>
  <c r="C466" i="7"/>
  <c r="C167" i="7"/>
  <c r="C388" i="7"/>
  <c r="C132" i="7"/>
  <c r="C220" i="7"/>
  <c r="C80" i="7"/>
  <c r="C434" i="7"/>
  <c r="C107" i="7"/>
  <c r="C367" i="7"/>
  <c r="C244" i="7"/>
  <c r="C467" i="7"/>
  <c r="C338" i="7"/>
  <c r="C480" i="7"/>
  <c r="C225" i="7"/>
  <c r="C409" i="7"/>
  <c r="C146" i="7"/>
  <c r="C180" i="7"/>
  <c r="C324" i="7"/>
  <c r="C440" i="7"/>
  <c r="C203" i="7"/>
  <c r="C245" i="7"/>
  <c r="C255" i="7"/>
  <c r="C337" i="7"/>
  <c r="C299" i="7"/>
  <c r="C429" i="7"/>
  <c r="C328" i="7"/>
  <c r="C443" i="7"/>
  <c r="C223" i="7"/>
  <c r="C278" i="7"/>
  <c r="C382" i="7"/>
  <c r="C412" i="7"/>
  <c r="C94" i="7"/>
  <c r="C119" i="7"/>
  <c r="C233" i="7"/>
  <c r="C318" i="7"/>
  <c r="C86" i="7"/>
  <c r="C438" i="7"/>
  <c r="C82" i="7"/>
  <c r="C435" i="7"/>
  <c r="C147" i="7"/>
  <c r="C184" i="7"/>
  <c r="C323" i="7"/>
  <c r="C441" i="7"/>
  <c r="C254" i="7"/>
  <c r="C336" i="7"/>
  <c r="C234" i="7"/>
  <c r="C416" i="7"/>
  <c r="C231" i="7"/>
  <c r="C287" i="7"/>
  <c r="C280" i="7"/>
  <c r="C423" i="7"/>
  <c r="C11" i="7"/>
  <c r="C22" i="7"/>
  <c r="C212" i="7"/>
  <c r="C259" i="7"/>
  <c r="C281" i="7"/>
  <c r="C424" i="7"/>
  <c r="C95" i="7"/>
  <c r="C118" i="7"/>
  <c r="C205" i="7"/>
  <c r="C406" i="7"/>
  <c r="C60" i="7"/>
  <c r="C69" i="7"/>
  <c r="C217" i="7"/>
  <c r="C465" i="7"/>
  <c r="C194" i="7"/>
  <c r="C311" i="7"/>
  <c r="C89" i="7"/>
  <c r="C439" i="7"/>
  <c r="C196" i="7"/>
  <c r="C540" i="7"/>
  <c r="C227" i="7"/>
  <c r="C285" i="7"/>
  <c r="C182" i="7"/>
  <c r="C247" i="7"/>
  <c r="C210" i="7"/>
  <c r="C405" i="7"/>
  <c r="C461" i="7"/>
  <c r="C490" i="7"/>
  <c r="C64" i="7"/>
  <c r="C92" i="7"/>
  <c r="C284" i="7"/>
  <c r="C385" i="7"/>
  <c r="C213" i="7"/>
  <c r="C256" i="7"/>
  <c r="C37" i="7"/>
  <c r="C39" i="7"/>
  <c r="C241" i="7"/>
  <c r="C422" i="7"/>
  <c r="C177" i="7"/>
  <c r="C195" i="7"/>
  <c r="C340" i="7"/>
  <c r="C444" i="7"/>
  <c r="C222" i="7"/>
  <c r="C413" i="7"/>
  <c r="C215" i="7"/>
  <c r="C272" i="7"/>
  <c r="C63" i="7"/>
  <c r="C68" i="7"/>
  <c r="C73" i="7"/>
  <c r="C267" i="7"/>
  <c r="C206" i="7"/>
  <c r="C407" i="7"/>
  <c r="C83" i="7"/>
  <c r="C58" i="7"/>
  <c r="C59" i="7"/>
  <c r="C237" i="7"/>
  <c r="C414" i="7"/>
  <c r="C76" i="7"/>
  <c r="C90" i="7"/>
  <c r="C174" i="7"/>
  <c r="C218" i="7"/>
  <c r="C61" i="7"/>
  <c r="C266" i="7"/>
  <c r="C236" i="7"/>
  <c r="C260" i="7"/>
  <c r="C342" i="7"/>
  <c r="C445" i="7"/>
  <c r="C121" i="7"/>
  <c r="C148" i="7"/>
  <c r="C193" i="7"/>
  <c r="C240" i="7"/>
  <c r="C62" i="7"/>
  <c r="C265" i="7"/>
  <c r="C235" i="7"/>
  <c r="C415" i="7"/>
  <c r="C221" i="7"/>
  <c r="C274" i="7"/>
  <c r="C103" i="7"/>
  <c r="C133" i="7"/>
  <c r="C197" i="7"/>
  <c r="C209" i="7"/>
  <c r="C128" i="7"/>
  <c r="C150" i="7"/>
  <c r="C331" i="7"/>
  <c r="C442" i="7"/>
  <c r="C117" i="7"/>
  <c r="C135" i="7"/>
  <c r="C55" i="7"/>
  <c r="C71" i="7"/>
  <c r="C104" i="7"/>
  <c r="C127" i="7"/>
  <c r="C242" i="7"/>
  <c r="C421" i="7"/>
  <c r="C66" i="7"/>
  <c r="C81" i="7"/>
  <c r="C168" i="7"/>
  <c r="C179" i="7"/>
  <c r="C300" i="7"/>
  <c r="C432" i="7"/>
  <c r="C88" i="7"/>
  <c r="C120" i="7"/>
  <c r="C201" i="7"/>
  <c r="C211" i="7"/>
  <c r="C65" i="7"/>
  <c r="C85" i="7"/>
  <c r="C34" i="7"/>
  <c r="C523" i="7"/>
  <c r="C524" i="7"/>
  <c r="C455" i="7"/>
  <c r="D49" i="7" l="1"/>
  <c r="D51" i="7"/>
  <c r="D151" i="7"/>
  <c r="D249" i="7"/>
  <c r="D305" i="7"/>
  <c r="D397" i="7"/>
  <c r="D327" i="7"/>
  <c r="D379" i="7"/>
  <c r="D312" i="7"/>
  <c r="D380" i="7"/>
  <c r="D329" i="7"/>
  <c r="D332" i="7"/>
  <c r="D250" i="7"/>
  <c r="D320" i="7"/>
  <c r="D319" i="7"/>
  <c r="D334" i="7"/>
  <c r="D248" i="7"/>
  <c r="D314" i="7"/>
  <c r="D326" i="7"/>
  <c r="D389" i="7"/>
  <c r="D20" i="7"/>
  <c r="D325" i="7"/>
  <c r="D478" i="7"/>
  <c r="D335" i="7"/>
  <c r="D390" i="7"/>
  <c r="D110" i="7"/>
  <c r="D163" i="7"/>
  <c r="D111" i="7"/>
  <c r="D112" i="7"/>
  <c r="D113" i="7"/>
  <c r="D164" i="7"/>
  <c r="D165" i="7"/>
  <c r="D166" i="7"/>
  <c r="D7" i="7"/>
  <c r="D19" i="7"/>
  <c r="D420" i="7"/>
  <c r="D458" i="7"/>
  <c r="D158" i="7"/>
  <c r="D456" i="7"/>
  <c r="D257" i="7"/>
  <c r="D468" i="7"/>
  <c r="D411" i="7"/>
  <c r="D470" i="7"/>
  <c r="D18" i="7"/>
  <c r="D46" i="7"/>
  <c r="D459" i="7"/>
  <c r="D204" i="7"/>
  <c r="D452" i="7"/>
  <c r="D208" i="7"/>
  <c r="D453" i="7"/>
  <c r="D279" i="7"/>
  <c r="D472" i="7"/>
  <c r="D454" i="7"/>
  <c r="D501" i="7"/>
  <c r="D297" i="7"/>
  <c r="D533" i="7"/>
  <c r="D199" i="7"/>
  <c r="D498" i="7"/>
  <c r="D141" i="7"/>
  <c r="D536" i="7"/>
  <c r="D252" i="7"/>
  <c r="D253" i="7"/>
  <c r="D417" i="7"/>
  <c r="D419" i="7"/>
  <c r="D251" i="7"/>
  <c r="D469" i="7"/>
  <c r="D488" i="7"/>
  <c r="D539" i="7"/>
  <c r="D313" i="7"/>
  <c r="D322" i="7"/>
  <c r="D101" i="7"/>
  <c r="D502" i="7"/>
  <c r="D21" i="7"/>
  <c r="D28" i="7"/>
  <c r="D246" i="7"/>
  <c r="D310" i="7"/>
  <c r="D183" i="7"/>
  <c r="D228" i="7"/>
  <c r="D302" i="7"/>
  <c r="D425" i="7"/>
  <c r="D140" i="7"/>
  <c r="D97" i="7"/>
  <c r="D122" i="7"/>
  <c r="D154" i="7"/>
  <c r="D160" i="7"/>
  <c r="D216" i="7"/>
  <c r="D275" i="7"/>
  <c r="D44" i="7"/>
  <c r="D50" i="7"/>
  <c r="D181" i="7"/>
  <c r="D521" i="7"/>
  <c r="D321" i="7"/>
  <c r="D437" i="7"/>
  <c r="D316" i="7"/>
  <c r="D185" i="7"/>
  <c r="D497" i="7"/>
  <c r="D229" i="7"/>
  <c r="D408" i="7"/>
  <c r="D430" i="7"/>
  <c r="D381" i="7"/>
  <c r="D391" i="7"/>
  <c r="D79" i="7"/>
  <c r="D505" i="7"/>
  <c r="D230" i="7"/>
  <c r="D288" i="7"/>
  <c r="D155" i="7"/>
  <c r="D207" i="7"/>
  <c r="D137" i="7"/>
  <c r="D142" i="7"/>
  <c r="D317" i="7"/>
  <c r="D427" i="7"/>
  <c r="D114" i="7"/>
  <c r="D188" i="7"/>
  <c r="D159" i="7"/>
  <c r="D67" i="7"/>
  <c r="D282" i="7"/>
  <c r="D473" i="7"/>
  <c r="D308" i="7"/>
  <c r="D428" i="7"/>
  <c r="D178" i="7"/>
  <c r="D191" i="7"/>
  <c r="D269" i="7"/>
  <c r="D277" i="7"/>
  <c r="D56" i="7"/>
  <c r="D72" i="7"/>
  <c r="D431" i="7"/>
  <c r="D30" i="7"/>
  <c r="D47" i="7"/>
  <c r="D125" i="7"/>
  <c r="D190" i="7"/>
  <c r="D315" i="7"/>
  <c r="D433" i="7"/>
  <c r="D370" i="7"/>
  <c r="D96" i="7"/>
  <c r="D123" i="7"/>
  <c r="D292" i="7"/>
  <c r="D384" i="7"/>
  <c r="D93" i="7"/>
  <c r="D499" i="7"/>
  <c r="D175" i="7"/>
  <c r="D198" i="7"/>
  <c r="D192" i="7"/>
  <c r="D238" i="7"/>
  <c r="D144" i="7"/>
  <c r="D153" i="7"/>
  <c r="D303" i="7"/>
  <c r="D426" i="7"/>
  <c r="D301" i="7"/>
  <c r="D386" i="7"/>
  <c r="D52" i="7"/>
  <c r="D506" i="7"/>
  <c r="D271" i="7"/>
  <c r="D351" i="7"/>
  <c r="D17" i="7"/>
  <c r="D307" i="7"/>
  <c r="D16" i="7"/>
  <c r="D36" i="7"/>
  <c r="D40" i="7"/>
  <c r="D41" i="7"/>
  <c r="D42" i="7"/>
  <c r="D43" i="7"/>
  <c r="D48" i="7"/>
  <c r="D53" i="7"/>
  <c r="D54" i="7"/>
  <c r="D57" i="7"/>
  <c r="D75" i="7"/>
  <c r="D77" i="7"/>
  <c r="D78" i="7"/>
  <c r="D87" i="7"/>
  <c r="D98" i="7"/>
  <c r="D99" i="7"/>
  <c r="D100" i="7"/>
  <c r="D105" i="7"/>
  <c r="D106" i="7"/>
  <c r="D109" i="7"/>
  <c r="D115" i="7"/>
  <c r="D130" i="7"/>
  <c r="D131" i="7"/>
  <c r="D134" i="7"/>
  <c r="D143" i="7"/>
  <c r="D149" i="7"/>
  <c r="D152" i="7"/>
  <c r="D161" i="7"/>
  <c r="D169" i="7"/>
  <c r="D170" i="7"/>
  <c r="D172" i="7"/>
  <c r="D173" i="7"/>
  <c r="D176" i="7"/>
  <c r="D186" i="7"/>
  <c r="D187" i="7"/>
  <c r="D189" i="7"/>
  <c r="D200" i="7"/>
  <c r="D202" i="7"/>
  <c r="D214" i="7"/>
  <c r="D258" i="7"/>
  <c r="D273" i="7"/>
  <c r="D283" i="7"/>
  <c r="D291" i="7"/>
  <c r="D293" i="7"/>
  <c r="D304" i="7"/>
  <c r="D375" i="7"/>
  <c r="D378" i="7"/>
  <c r="D387" i="7"/>
  <c r="D418" i="7"/>
  <c r="D462" i="7"/>
  <c r="D463" i="7"/>
  <c r="D471" i="7"/>
  <c r="D474" i="7"/>
  <c r="D481" i="7"/>
  <c r="D491" i="7"/>
  <c r="D492" i="7"/>
  <c r="D494" i="7"/>
  <c r="D495" i="7"/>
  <c r="D496" i="7"/>
  <c r="D500" i="7"/>
  <c r="D503" i="7"/>
  <c r="D504" i="7"/>
  <c r="D507" i="7"/>
  <c r="D508" i="7"/>
  <c r="D509" i="7"/>
  <c r="D512" i="7"/>
  <c r="D513" i="7"/>
  <c r="D525" i="7"/>
  <c r="D526" i="7"/>
  <c r="D531" i="7"/>
  <c r="D532" i="7"/>
  <c r="D535" i="7"/>
  <c r="D537" i="7"/>
  <c r="D541" i="7"/>
  <c r="D542" i="7"/>
  <c r="D4" i="7"/>
  <c r="D26" i="7"/>
  <c r="D29" i="7"/>
  <c r="D38" i="7"/>
  <c r="D45" i="7"/>
  <c r="D84" i="7"/>
  <c r="D91" i="7"/>
  <c r="D102" i="7"/>
  <c r="D116" i="7"/>
  <c r="D124" i="7"/>
  <c r="D126" i="7"/>
  <c r="D129" i="7"/>
  <c r="D136" i="7"/>
  <c r="D145" i="7"/>
  <c r="D156" i="7"/>
  <c r="D162" i="7"/>
  <c r="D171" i="7"/>
  <c r="D270" i="7"/>
  <c r="D298" i="7"/>
  <c r="D306" i="7"/>
  <c r="D330" i="7"/>
  <c r="D333" i="7"/>
  <c r="D374" i="7"/>
  <c r="D376" i="7"/>
  <c r="D377" i="7"/>
  <c r="D383" i="7"/>
  <c r="D392" i="7"/>
  <c r="D436" i="7"/>
  <c r="D457" i="7"/>
  <c r="D477" i="7"/>
  <c r="D510" i="7"/>
  <c r="D511" i="7"/>
  <c r="D522" i="7"/>
  <c r="D517" i="7"/>
  <c r="D3" i="7"/>
  <c r="D5" i="7"/>
  <c r="D8" i="7"/>
  <c r="D9" i="7"/>
  <c r="D10" i="7"/>
  <c r="D12" i="7"/>
  <c r="D14" i="7"/>
  <c r="D15" i="7"/>
  <c r="D25" i="7"/>
  <c r="D27" i="7"/>
  <c r="D31" i="7"/>
  <c r="D32" i="7"/>
  <c r="D33" i="7"/>
  <c r="D35" i="7"/>
  <c r="D157" i="7"/>
  <c r="D226" i="7"/>
  <c r="D261" i="7"/>
  <c r="D262" i="7"/>
  <c r="D264" i="7"/>
  <c r="D268" i="7"/>
  <c r="D276" i="7"/>
  <c r="D286" i="7"/>
  <c r="D296" i="7"/>
  <c r="D341" i="7"/>
  <c r="D343" i="7"/>
  <c r="D344" i="7"/>
  <c r="D346" i="7"/>
  <c r="D347" i="7"/>
  <c r="D349" i="7"/>
  <c r="D352" i="7"/>
  <c r="D355" i="7"/>
  <c r="D356" i="7"/>
  <c r="D357" i="7"/>
  <c r="D359" i="7"/>
  <c r="D360" i="7"/>
  <c r="D361" i="7"/>
  <c r="D362" i="7"/>
  <c r="D363" i="7"/>
  <c r="D364" i="7"/>
  <c r="D365" i="7"/>
  <c r="D368" i="7"/>
  <c r="D369" i="7"/>
  <c r="D371" i="7"/>
  <c r="D372" i="7"/>
  <c r="D393" i="7"/>
  <c r="D394" i="7"/>
  <c r="D395" i="7"/>
  <c r="D396" i="7"/>
  <c r="D398" i="7"/>
  <c r="D399" i="7"/>
  <c r="D400" i="7"/>
  <c r="D403" i="7"/>
  <c r="D404" i="7"/>
  <c r="D451" i="7"/>
  <c r="D482" i="7"/>
  <c r="D483" i="7"/>
  <c r="D484" i="7"/>
  <c r="D485" i="7"/>
  <c r="D486" i="7"/>
  <c r="D487" i="7"/>
  <c r="D493" i="7"/>
  <c r="D514" i="7"/>
  <c r="D515" i="7"/>
  <c r="D516" i="7"/>
  <c r="D518" i="7"/>
  <c r="D519" i="7"/>
  <c r="D520" i="7"/>
  <c r="D527" i="7"/>
  <c r="D528" i="7"/>
  <c r="D529" i="7"/>
  <c r="D530" i="7"/>
  <c r="D538" i="7"/>
  <c r="D2" i="7"/>
  <c r="D6" i="7"/>
  <c r="D13" i="7"/>
  <c r="D23" i="7"/>
  <c r="D24" i="7"/>
  <c r="D70" i="7"/>
  <c r="D74" i="7"/>
  <c r="D232" i="7"/>
  <c r="D239" i="7"/>
  <c r="D263" i="7"/>
  <c r="D289" i="7"/>
  <c r="D290" i="7"/>
  <c r="D309" i="7"/>
  <c r="D345" i="7"/>
  <c r="D348" i="7"/>
  <c r="D350" i="7"/>
  <c r="D353" i="7"/>
  <c r="D354" i="7"/>
  <c r="D358" i="7"/>
  <c r="D373" i="7"/>
  <c r="D402" i="7"/>
  <c r="D446" i="7"/>
  <c r="D449" i="7"/>
  <c r="D450" i="7"/>
  <c r="D534" i="7"/>
  <c r="D543" i="7"/>
  <c r="D108" i="7"/>
  <c r="D366" i="7"/>
  <c r="D295" i="7"/>
  <c r="D475" i="7"/>
  <c r="D294" i="7"/>
  <c r="D476" i="7"/>
  <c r="D138" i="7"/>
  <c r="D447" i="7"/>
  <c r="D139" i="7"/>
  <c r="D448" i="7"/>
  <c r="D460" i="7"/>
  <c r="D489" i="7"/>
  <c r="D219" i="7"/>
  <c r="D464" i="7"/>
  <c r="D224" i="7"/>
  <c r="D410" i="7"/>
  <c r="D339" i="7"/>
  <c r="D479" i="7"/>
  <c r="D401" i="7"/>
  <c r="D243" i="7"/>
  <c r="D466" i="7"/>
  <c r="D167" i="7"/>
  <c r="D388" i="7"/>
  <c r="D132" i="7"/>
  <c r="D220" i="7"/>
  <c r="D80" i="7"/>
  <c r="D434" i="7"/>
  <c r="D107" i="7"/>
  <c r="D367" i="7"/>
  <c r="D244" i="7"/>
  <c r="D467" i="7"/>
  <c r="D338" i="7"/>
  <c r="D480" i="7"/>
  <c r="D225" i="7"/>
  <c r="D409" i="7"/>
  <c r="D146" i="7"/>
  <c r="D180" i="7"/>
  <c r="D324" i="7"/>
  <c r="D440" i="7"/>
  <c r="D203" i="7"/>
  <c r="D245" i="7"/>
  <c r="D255" i="7"/>
  <c r="D337" i="7"/>
  <c r="D299" i="7"/>
  <c r="D429" i="7"/>
  <c r="D328" i="7"/>
  <c r="D443" i="7"/>
  <c r="D223" i="7"/>
  <c r="D278" i="7"/>
  <c r="D382" i="7"/>
  <c r="D412" i="7"/>
  <c r="D94" i="7"/>
  <c r="D119" i="7"/>
  <c r="D233" i="7"/>
  <c r="D318" i="7"/>
  <c r="D86" i="7"/>
  <c r="D438" i="7"/>
  <c r="D82" i="7"/>
  <c r="D435" i="7"/>
  <c r="D147" i="7"/>
  <c r="D184" i="7"/>
  <c r="D323" i="7"/>
  <c r="D441" i="7"/>
  <c r="D254" i="7"/>
  <c r="D336" i="7"/>
  <c r="D234" i="7"/>
  <c r="D416" i="7"/>
  <c r="D231" i="7"/>
  <c r="D287" i="7"/>
  <c r="D280" i="7"/>
  <c r="D423" i="7"/>
  <c r="D11" i="7"/>
  <c r="D22" i="7"/>
  <c r="D212" i="7"/>
  <c r="D259" i="7"/>
  <c r="D281" i="7"/>
  <c r="D424" i="7"/>
  <c r="D95" i="7"/>
  <c r="D118" i="7"/>
  <c r="D205" i="7"/>
  <c r="D406" i="7"/>
  <c r="D60" i="7"/>
  <c r="D69" i="7"/>
  <c r="D217" i="7"/>
  <c r="D465" i="7"/>
  <c r="D194" i="7"/>
  <c r="D311" i="7"/>
  <c r="D89" i="7"/>
  <c r="D439" i="7"/>
  <c r="D196" i="7"/>
  <c r="D540" i="7"/>
  <c r="D227" i="7"/>
  <c r="D285" i="7"/>
  <c r="D182" i="7"/>
  <c r="D247" i="7"/>
  <c r="D210" i="7"/>
  <c r="D405" i="7"/>
  <c r="D461" i="7"/>
  <c r="D490" i="7"/>
  <c r="D64" i="7"/>
  <c r="D92" i="7"/>
  <c r="D284" i="7"/>
  <c r="D385" i="7"/>
  <c r="D213" i="7"/>
  <c r="D256" i="7"/>
  <c r="D37" i="7"/>
  <c r="D39" i="7"/>
  <c r="D241" i="7"/>
  <c r="D422" i="7"/>
  <c r="D177" i="7"/>
  <c r="D195" i="7"/>
  <c r="D340" i="7"/>
  <c r="D444" i="7"/>
  <c r="D222" i="7"/>
  <c r="D413" i="7"/>
  <c r="D215" i="7"/>
  <c r="D272" i="7"/>
  <c r="D63" i="7"/>
  <c r="D68" i="7"/>
  <c r="D73" i="7"/>
  <c r="D267" i="7"/>
  <c r="D206" i="7"/>
  <c r="D407" i="7"/>
  <c r="D83" i="7"/>
  <c r="D58" i="7"/>
  <c r="D59" i="7"/>
  <c r="D237" i="7"/>
  <c r="D414" i="7"/>
  <c r="D76" i="7"/>
  <c r="D90" i="7"/>
  <c r="D174" i="7"/>
  <c r="D218" i="7"/>
  <c r="D61" i="7"/>
  <c r="D266" i="7"/>
  <c r="D236" i="7"/>
  <c r="D260" i="7"/>
  <c r="D342" i="7"/>
  <c r="D445" i="7"/>
  <c r="D121" i="7"/>
  <c r="D148" i="7"/>
  <c r="D193" i="7"/>
  <c r="D240" i="7"/>
  <c r="D62" i="7"/>
  <c r="D265" i="7"/>
  <c r="D235" i="7"/>
  <c r="D415" i="7"/>
  <c r="D221" i="7"/>
  <c r="D274" i="7"/>
  <c r="D103" i="7"/>
  <c r="D133" i="7"/>
  <c r="D197" i="7"/>
  <c r="D209" i="7"/>
  <c r="D128" i="7"/>
  <c r="D150" i="7"/>
  <c r="D331" i="7"/>
  <c r="D442" i="7"/>
  <c r="D117" i="7"/>
  <c r="D135" i="7"/>
  <c r="D55" i="7"/>
  <c r="D71" i="7"/>
  <c r="D104" i="7"/>
  <c r="D127" i="7"/>
  <c r="D242" i="7"/>
  <c r="D421" i="7"/>
  <c r="D66" i="7"/>
  <c r="D81" i="7"/>
  <c r="D168" i="7"/>
  <c r="D179" i="7"/>
  <c r="D300" i="7"/>
  <c r="D432" i="7"/>
  <c r="D88" i="7"/>
  <c r="D120" i="7"/>
  <c r="D201" i="7"/>
  <c r="D211" i="7"/>
  <c r="D65" i="7"/>
  <c r="D85" i="7"/>
  <c r="D34" i="7"/>
  <c r="D523" i="7"/>
  <c r="D524" i="7"/>
  <c r="D455" i="7"/>
  <c r="B49" i="7"/>
  <c r="B51" i="7"/>
  <c r="B151" i="7"/>
  <c r="B249" i="7"/>
  <c r="B305" i="7"/>
  <c r="B397" i="7"/>
  <c r="B327" i="7"/>
  <c r="B379" i="7"/>
  <c r="B312" i="7"/>
  <c r="B380" i="7"/>
  <c r="B329" i="7"/>
  <c r="B332" i="7"/>
  <c r="B250" i="7"/>
  <c r="B320" i="7"/>
  <c r="B319" i="7"/>
  <c r="B334" i="7"/>
  <c r="B248" i="7"/>
  <c r="B314" i="7"/>
  <c r="B326" i="7"/>
  <c r="B389" i="7"/>
  <c r="B20" i="7"/>
  <c r="B325" i="7"/>
  <c r="B478" i="7"/>
  <c r="B335" i="7"/>
  <c r="B390" i="7"/>
  <c r="B110" i="7"/>
  <c r="B163" i="7"/>
  <c r="B111" i="7"/>
  <c r="B112" i="7"/>
  <c r="B113" i="7"/>
  <c r="B164" i="7"/>
  <c r="B165" i="7"/>
  <c r="B166" i="7"/>
  <c r="B7" i="7"/>
  <c r="B19" i="7"/>
  <c r="B420" i="7"/>
  <c r="B458" i="7"/>
  <c r="B158" i="7"/>
  <c r="B456" i="7"/>
  <c r="B257" i="7"/>
  <c r="B468" i="7"/>
  <c r="B411" i="7"/>
  <c r="B470" i="7"/>
  <c r="B18" i="7"/>
  <c r="B46" i="7"/>
  <c r="B459" i="7"/>
  <c r="B204" i="7"/>
  <c r="B452" i="7"/>
  <c r="B208" i="7"/>
  <c r="B453" i="7"/>
  <c r="B279" i="7"/>
  <c r="B472" i="7"/>
  <c r="B454" i="7"/>
  <c r="B501" i="7"/>
  <c r="B297" i="7"/>
  <c r="B533" i="7"/>
  <c r="B199" i="7"/>
  <c r="B498" i="7"/>
  <c r="B141" i="7"/>
  <c r="B536" i="7"/>
  <c r="B252" i="7"/>
  <c r="B253" i="7"/>
  <c r="B417" i="7"/>
  <c r="B419" i="7"/>
  <c r="B251" i="7"/>
  <c r="B469" i="7"/>
  <c r="B488" i="7"/>
  <c r="B539" i="7"/>
  <c r="B313" i="7"/>
  <c r="B322" i="7"/>
  <c r="B101" i="7"/>
  <c r="B502" i="7"/>
  <c r="B21" i="7"/>
  <c r="B28" i="7"/>
  <c r="B246" i="7"/>
  <c r="B310" i="7"/>
  <c r="B183" i="7"/>
  <c r="B228" i="7"/>
  <c r="B302" i="7"/>
  <c r="B425" i="7"/>
  <c r="B140" i="7"/>
  <c r="B97" i="7"/>
  <c r="B122" i="7"/>
  <c r="B154" i="7"/>
  <c r="B160" i="7"/>
  <c r="B216" i="7"/>
  <c r="B275" i="7"/>
  <c r="B44" i="7"/>
  <c r="B50" i="7"/>
  <c r="B181" i="7"/>
  <c r="B521" i="7"/>
  <c r="B321" i="7"/>
  <c r="B437" i="7"/>
  <c r="B316" i="7"/>
  <c r="B185" i="7"/>
  <c r="B497" i="7"/>
  <c r="B229" i="7"/>
  <c r="B408" i="7"/>
  <c r="B430" i="7"/>
  <c r="B381" i="7"/>
  <c r="B391" i="7"/>
  <c r="B79" i="7"/>
  <c r="B505" i="7"/>
  <c r="B230" i="7"/>
  <c r="B288" i="7"/>
  <c r="B155" i="7"/>
  <c r="B207" i="7"/>
  <c r="B137" i="7"/>
  <c r="B142" i="7"/>
  <c r="B317" i="7"/>
  <c r="B427" i="7"/>
  <c r="B114" i="7"/>
  <c r="B188" i="7"/>
  <c r="B159" i="7"/>
  <c r="B67" i="7"/>
  <c r="B282" i="7"/>
  <c r="B473" i="7"/>
  <c r="B308" i="7"/>
  <c r="B428" i="7"/>
  <c r="B178" i="7"/>
  <c r="B191" i="7"/>
  <c r="B269" i="7"/>
  <c r="B277" i="7"/>
  <c r="B56" i="7"/>
  <c r="B72" i="7"/>
  <c r="B431" i="7"/>
  <c r="B30" i="7"/>
  <c r="B47" i="7"/>
  <c r="B125" i="7"/>
  <c r="B190" i="7"/>
  <c r="B315" i="7"/>
  <c r="B433" i="7"/>
  <c r="B370" i="7"/>
  <c r="B96" i="7"/>
  <c r="B123" i="7"/>
  <c r="B292" i="7"/>
  <c r="B384" i="7"/>
  <c r="B93" i="7"/>
  <c r="B499" i="7"/>
  <c r="B175" i="7"/>
  <c r="B198" i="7"/>
  <c r="B192" i="7"/>
  <c r="B238" i="7"/>
  <c r="B144" i="7"/>
  <c r="B153" i="7"/>
  <c r="B303" i="7"/>
  <c r="B426" i="7"/>
  <c r="B301" i="7"/>
  <c r="B386" i="7"/>
  <c r="B52" i="7"/>
  <c r="B506" i="7"/>
  <c r="B271" i="7"/>
  <c r="B351" i="7"/>
  <c r="B17" i="7"/>
  <c r="B307" i="7"/>
  <c r="B16" i="7"/>
  <c r="B36" i="7"/>
  <c r="B40" i="7"/>
  <c r="B41" i="7"/>
  <c r="B42" i="7"/>
  <c r="B43" i="7"/>
  <c r="B48" i="7"/>
  <c r="B53" i="7"/>
  <c r="B54" i="7"/>
  <c r="B57" i="7"/>
  <c r="B75" i="7"/>
  <c r="B77" i="7"/>
  <c r="B78" i="7"/>
  <c r="B87" i="7"/>
  <c r="B98" i="7"/>
  <c r="B99" i="7"/>
  <c r="B100" i="7"/>
  <c r="B105" i="7"/>
  <c r="B106" i="7"/>
  <c r="B109" i="7"/>
  <c r="B115" i="7"/>
  <c r="B130" i="7"/>
  <c r="B131" i="7"/>
  <c r="B134" i="7"/>
  <c r="B143" i="7"/>
  <c r="B149" i="7"/>
  <c r="B152" i="7"/>
  <c r="B161" i="7"/>
  <c r="B169" i="7"/>
  <c r="B170" i="7"/>
  <c r="B172" i="7"/>
  <c r="B173" i="7"/>
  <c r="B176" i="7"/>
  <c r="B186" i="7"/>
  <c r="B187" i="7"/>
  <c r="B189" i="7"/>
  <c r="B200" i="7"/>
  <c r="B202" i="7"/>
  <c r="B214" i="7"/>
  <c r="B258" i="7"/>
  <c r="B273" i="7"/>
  <c r="B283" i="7"/>
  <c r="B291" i="7"/>
  <c r="B293" i="7"/>
  <c r="B304" i="7"/>
  <c r="B375" i="7"/>
  <c r="B378" i="7"/>
  <c r="B387" i="7"/>
  <c r="B418" i="7"/>
  <c r="B462" i="7"/>
  <c r="B463" i="7"/>
  <c r="B471" i="7"/>
  <c r="B474" i="7"/>
  <c r="B481" i="7"/>
  <c r="B491" i="7"/>
  <c r="B492" i="7"/>
  <c r="B494" i="7"/>
  <c r="B495" i="7"/>
  <c r="B496" i="7"/>
  <c r="B500" i="7"/>
  <c r="B503" i="7"/>
  <c r="B504" i="7"/>
  <c r="B507" i="7"/>
  <c r="B508" i="7"/>
  <c r="B509" i="7"/>
  <c r="B512" i="7"/>
  <c r="B513" i="7"/>
  <c r="B525" i="7"/>
  <c r="B526" i="7"/>
  <c r="B531" i="7"/>
  <c r="B532" i="7"/>
  <c r="B535" i="7"/>
  <c r="B537" i="7"/>
  <c r="B541" i="7"/>
  <c r="B542" i="7"/>
  <c r="B4" i="7"/>
  <c r="B26" i="7"/>
  <c r="B29" i="7"/>
  <c r="B38" i="7"/>
  <c r="B45" i="7"/>
  <c r="B84" i="7"/>
  <c r="B91" i="7"/>
  <c r="B102" i="7"/>
  <c r="B116" i="7"/>
  <c r="B124" i="7"/>
  <c r="B126" i="7"/>
  <c r="B129" i="7"/>
  <c r="B136" i="7"/>
  <c r="B145" i="7"/>
  <c r="B156" i="7"/>
  <c r="B162" i="7"/>
  <c r="B171" i="7"/>
  <c r="B270" i="7"/>
  <c r="B298" i="7"/>
  <c r="B306" i="7"/>
  <c r="B330" i="7"/>
  <c r="B333" i="7"/>
  <c r="B374" i="7"/>
  <c r="B376" i="7"/>
  <c r="B377" i="7"/>
  <c r="B383" i="7"/>
  <c r="B392" i="7"/>
  <c r="B436" i="7"/>
  <c r="B457" i="7"/>
  <c r="B477" i="7"/>
  <c r="B510" i="7"/>
  <c r="B511" i="7"/>
  <c r="B522" i="7"/>
  <c r="B517" i="7"/>
  <c r="B3" i="7"/>
  <c r="B5" i="7"/>
  <c r="B8" i="7"/>
  <c r="B9" i="7"/>
  <c r="B10" i="7"/>
  <c r="B12" i="7"/>
  <c r="B14" i="7"/>
  <c r="B15" i="7"/>
  <c r="B25" i="7"/>
  <c r="B27" i="7"/>
  <c r="B31" i="7"/>
  <c r="B32" i="7"/>
  <c r="B33" i="7"/>
  <c r="B35" i="7"/>
  <c r="B157" i="7"/>
  <c r="B226" i="7"/>
  <c r="B261" i="7"/>
  <c r="B262" i="7"/>
  <c r="B264" i="7"/>
  <c r="B268" i="7"/>
  <c r="B276" i="7"/>
  <c r="B286" i="7"/>
  <c r="B296" i="7"/>
  <c r="B341" i="7"/>
  <c r="B343" i="7"/>
  <c r="B344" i="7"/>
  <c r="B346" i="7"/>
  <c r="B347" i="7"/>
  <c r="B349" i="7"/>
  <c r="B352" i="7"/>
  <c r="B355" i="7"/>
  <c r="B356" i="7"/>
  <c r="B357" i="7"/>
  <c r="B359" i="7"/>
  <c r="B360" i="7"/>
  <c r="B361" i="7"/>
  <c r="B362" i="7"/>
  <c r="B363" i="7"/>
  <c r="B364" i="7"/>
  <c r="B365" i="7"/>
  <c r="B368" i="7"/>
  <c r="B369" i="7"/>
  <c r="B371" i="7"/>
  <c r="B372" i="7"/>
  <c r="B393" i="7"/>
  <c r="B394" i="7"/>
  <c r="B395" i="7"/>
  <c r="B396" i="7"/>
  <c r="B398" i="7"/>
  <c r="B399" i="7"/>
  <c r="B400" i="7"/>
  <c r="B403" i="7"/>
  <c r="B404" i="7"/>
  <c r="B451" i="7"/>
  <c r="B482" i="7"/>
  <c r="B483" i="7"/>
  <c r="B484" i="7"/>
  <c r="B485" i="7"/>
  <c r="B486" i="7"/>
  <c r="B487" i="7"/>
  <c r="B493" i="7"/>
  <c r="B514" i="7"/>
  <c r="B515" i="7"/>
  <c r="B516" i="7"/>
  <c r="B518" i="7"/>
  <c r="B519" i="7"/>
  <c r="B520" i="7"/>
  <c r="B527" i="7"/>
  <c r="B528" i="7"/>
  <c r="B529" i="7"/>
  <c r="B530" i="7"/>
  <c r="B538" i="7"/>
  <c r="B2" i="7"/>
  <c r="B6" i="7"/>
  <c r="B13" i="7"/>
  <c r="B23" i="7"/>
  <c r="B24" i="7"/>
  <c r="B70" i="7"/>
  <c r="B74" i="7"/>
  <c r="B232" i="7"/>
  <c r="B239" i="7"/>
  <c r="B263" i="7"/>
  <c r="B289" i="7"/>
  <c r="B290" i="7"/>
  <c r="B309" i="7"/>
  <c r="B345" i="7"/>
  <c r="B348" i="7"/>
  <c r="B350" i="7"/>
  <c r="B353" i="7"/>
  <c r="B354" i="7"/>
  <c r="B358" i="7"/>
  <c r="B373" i="7"/>
  <c r="B402" i="7"/>
  <c r="B446" i="7"/>
  <c r="B449" i="7"/>
  <c r="B450" i="7"/>
  <c r="B534" i="7"/>
  <c r="B543" i="7"/>
  <c r="B108" i="7"/>
  <c r="B366" i="7"/>
  <c r="B295" i="7"/>
  <c r="B475" i="7"/>
  <c r="B294" i="7"/>
  <c r="B476" i="7"/>
  <c r="B138" i="7"/>
  <c r="B447" i="7"/>
  <c r="B139" i="7"/>
  <c r="B448" i="7"/>
  <c r="B460" i="7"/>
  <c r="B489" i="7"/>
  <c r="B219" i="7"/>
  <c r="B464" i="7"/>
  <c r="B224" i="7"/>
  <c r="B410" i="7"/>
  <c r="B339" i="7"/>
  <c r="B479" i="7"/>
  <c r="B401" i="7"/>
  <c r="B243" i="7"/>
  <c r="B466" i="7"/>
  <c r="B167" i="7"/>
  <c r="B388" i="7"/>
  <c r="B132" i="7"/>
  <c r="B220" i="7"/>
  <c r="B80" i="7"/>
  <c r="B434" i="7"/>
  <c r="B107" i="7"/>
  <c r="B367" i="7"/>
  <c r="B244" i="7"/>
  <c r="B467" i="7"/>
  <c r="B338" i="7"/>
  <c r="B480" i="7"/>
  <c r="B225" i="7"/>
  <c r="B409" i="7"/>
  <c r="B146" i="7"/>
  <c r="B180" i="7"/>
  <c r="B324" i="7"/>
  <c r="B440" i="7"/>
  <c r="B203" i="7"/>
  <c r="B245" i="7"/>
  <c r="B255" i="7"/>
  <c r="B337" i="7"/>
  <c r="B299" i="7"/>
  <c r="B429" i="7"/>
  <c r="B328" i="7"/>
  <c r="B443" i="7"/>
  <c r="B223" i="7"/>
  <c r="B278" i="7"/>
  <c r="B382" i="7"/>
  <c r="B412" i="7"/>
  <c r="B94" i="7"/>
  <c r="B119" i="7"/>
  <c r="B233" i="7"/>
  <c r="B318" i="7"/>
  <c r="B86" i="7"/>
  <c r="B438" i="7"/>
  <c r="B82" i="7"/>
  <c r="B435" i="7"/>
  <c r="B147" i="7"/>
  <c r="B184" i="7"/>
  <c r="B323" i="7"/>
  <c r="B441" i="7"/>
  <c r="B254" i="7"/>
  <c r="B336" i="7"/>
  <c r="B234" i="7"/>
  <c r="B416" i="7"/>
  <c r="B231" i="7"/>
  <c r="B287" i="7"/>
  <c r="B280" i="7"/>
  <c r="B423" i="7"/>
  <c r="B11" i="7"/>
  <c r="B22" i="7"/>
  <c r="B212" i="7"/>
  <c r="B259" i="7"/>
  <c r="B281" i="7"/>
  <c r="B424" i="7"/>
  <c r="B95" i="7"/>
  <c r="B118" i="7"/>
  <c r="B205" i="7"/>
  <c r="B406" i="7"/>
  <c r="B60" i="7"/>
  <c r="B69" i="7"/>
  <c r="B217" i="7"/>
  <c r="B465" i="7"/>
  <c r="B194" i="7"/>
  <c r="B311" i="7"/>
  <c r="B89" i="7"/>
  <c r="B439" i="7"/>
  <c r="B196" i="7"/>
  <c r="B540" i="7"/>
  <c r="B227" i="7"/>
  <c r="B285" i="7"/>
  <c r="B182" i="7"/>
  <c r="B247" i="7"/>
  <c r="B210" i="7"/>
  <c r="B405" i="7"/>
  <c r="B461" i="7"/>
  <c r="B490" i="7"/>
  <c r="B64" i="7"/>
  <c r="B92" i="7"/>
  <c r="B284" i="7"/>
  <c r="B385" i="7"/>
  <c r="B213" i="7"/>
  <c r="B256" i="7"/>
  <c r="B37" i="7"/>
  <c r="B39" i="7"/>
  <c r="B241" i="7"/>
  <c r="B422" i="7"/>
  <c r="B177" i="7"/>
  <c r="B195" i="7"/>
  <c r="B340" i="7"/>
  <c r="B444" i="7"/>
  <c r="B222" i="7"/>
  <c r="B413" i="7"/>
  <c r="B215" i="7"/>
  <c r="B272" i="7"/>
  <c r="B63" i="7"/>
  <c r="B68" i="7"/>
  <c r="B73" i="7"/>
  <c r="B267" i="7"/>
  <c r="B206" i="7"/>
  <c r="B407" i="7"/>
  <c r="B83" i="7"/>
  <c r="B58" i="7"/>
  <c r="B59" i="7"/>
  <c r="B237" i="7"/>
  <c r="B414" i="7"/>
  <c r="B76" i="7"/>
  <c r="B90" i="7"/>
  <c r="B174" i="7"/>
  <c r="B218" i="7"/>
  <c r="B61" i="7"/>
  <c r="B266" i="7"/>
  <c r="B236" i="7"/>
  <c r="B260" i="7"/>
  <c r="B342" i="7"/>
  <c r="B445" i="7"/>
  <c r="B121" i="7"/>
  <c r="B148" i="7"/>
  <c r="B193" i="7"/>
  <c r="B240" i="7"/>
  <c r="B62" i="7"/>
  <c r="B265" i="7"/>
  <c r="B235" i="7"/>
  <c r="B415" i="7"/>
  <c r="B221" i="7"/>
  <c r="B274" i="7"/>
  <c r="B103" i="7"/>
  <c r="B133" i="7"/>
  <c r="B197" i="7"/>
  <c r="B209" i="7"/>
  <c r="B128" i="7"/>
  <c r="B150" i="7"/>
  <c r="B331" i="7"/>
  <c r="B442" i="7"/>
  <c r="B117" i="7"/>
  <c r="B135" i="7"/>
  <c r="B55" i="7"/>
  <c r="B71" i="7"/>
  <c r="B104" i="7"/>
  <c r="B127" i="7"/>
  <c r="B242" i="7"/>
  <c r="B421" i="7"/>
  <c r="B66" i="7"/>
  <c r="B81" i="7"/>
  <c r="B168" i="7"/>
  <c r="B179" i="7"/>
  <c r="B300" i="7"/>
  <c r="B432" i="7"/>
  <c r="B88" i="7"/>
  <c r="B120" i="7"/>
  <c r="B201" i="7"/>
  <c r="B211" i="7"/>
  <c r="B65" i="7"/>
  <c r="B85" i="7"/>
  <c r="B34" i="7"/>
  <c r="B523" i="7"/>
  <c r="B524" i="7"/>
  <c r="B455" i="7"/>
  <c r="O616" i="1"/>
  <c r="O840" i="1"/>
  <c r="O619" i="1"/>
  <c r="O835" i="1"/>
  <c r="N148" i="1"/>
  <c r="N48" i="1"/>
  <c r="O5" i="1"/>
  <c r="O1496" i="1"/>
  <c r="O10" i="1"/>
  <c r="O1285" i="1"/>
  <c r="N383" i="1"/>
  <c r="O50" i="1"/>
  <c r="O161" i="1"/>
  <c r="O51" i="1"/>
  <c r="O151" i="1"/>
  <c r="N49" i="1"/>
  <c r="O617" i="1"/>
  <c r="O841" i="1"/>
  <c r="O82" i="1"/>
  <c r="O94" i="1"/>
  <c r="O176" i="1"/>
  <c r="O1474" i="1"/>
  <c r="O98" i="1"/>
  <c r="O155" i="1"/>
  <c r="N515" i="1"/>
  <c r="N1400" i="1"/>
  <c r="N1357" i="1"/>
  <c r="N672" i="1"/>
  <c r="N1358" i="1"/>
  <c r="N1359" i="1"/>
  <c r="N1361" i="1"/>
  <c r="N1360" i="1"/>
  <c r="N1404" i="1"/>
  <c r="O266" i="1"/>
  <c r="O1488" i="1"/>
  <c r="N1405" i="1"/>
  <c r="N1366" i="1"/>
  <c r="N1423" i="1"/>
  <c r="O220" i="1"/>
  <c r="O319" i="1"/>
  <c r="N862" i="1"/>
  <c r="N1367" i="1"/>
  <c r="O264" i="1"/>
  <c r="O392" i="1"/>
  <c r="O357" i="1"/>
  <c r="O1296" i="1"/>
  <c r="O355" i="1"/>
  <c r="O1297" i="1"/>
  <c r="N921" i="1"/>
  <c r="N913" i="1"/>
  <c r="N1424" i="1"/>
  <c r="O410" i="1"/>
  <c r="O1304" i="1"/>
  <c r="O449" i="1"/>
  <c r="O1441" i="1"/>
  <c r="N930" i="1"/>
  <c r="N1406" i="1"/>
  <c r="N925" i="1"/>
  <c r="N1362" i="1"/>
  <c r="N1373" i="1"/>
  <c r="N989" i="1"/>
  <c r="O1294" i="1"/>
  <c r="O1447" i="1"/>
  <c r="N977" i="1"/>
  <c r="N1372" i="1"/>
  <c r="N1394" i="1"/>
  <c r="N1375" i="1"/>
  <c r="N1376" i="1"/>
  <c r="O417" i="1"/>
  <c r="O514" i="1"/>
  <c r="N1009" i="1"/>
  <c r="N1012" i="1"/>
  <c r="N1034" i="1"/>
  <c r="N1363" i="1"/>
  <c r="O561" i="1"/>
  <c r="O1108" i="1"/>
  <c r="N1029" i="1"/>
  <c r="O601" i="1"/>
  <c r="O1321" i="1"/>
  <c r="N1018" i="1"/>
  <c r="N1017" i="1"/>
  <c r="N1407" i="1"/>
  <c r="O606" i="1"/>
  <c r="O1152" i="1"/>
  <c r="O591" i="1"/>
  <c r="O1154" i="1"/>
  <c r="N1031" i="1"/>
  <c r="N1408" i="1"/>
  <c r="N1409" i="1"/>
  <c r="N1033" i="1"/>
  <c r="N1205" i="1"/>
  <c r="N1167" i="1"/>
  <c r="O477" i="1"/>
  <c r="O609" i="1"/>
  <c r="N1042" i="1"/>
  <c r="N1410" i="1"/>
  <c r="N1411" i="1"/>
  <c r="O484" i="1"/>
  <c r="O655" i="1"/>
  <c r="N1098" i="1"/>
  <c r="N1412" i="1"/>
  <c r="N1055" i="1"/>
  <c r="N1206" i="1"/>
  <c r="N1123" i="1"/>
  <c r="N1413" i="1"/>
  <c r="N1093" i="1"/>
  <c r="O738" i="1"/>
  <c r="O1190" i="1"/>
  <c r="N1415" i="1"/>
  <c r="N1099" i="1"/>
  <c r="N1414" i="1"/>
  <c r="O753" i="1"/>
  <c r="O1196" i="1"/>
  <c r="N1244" i="1"/>
  <c r="N760" i="1"/>
  <c r="N1118" i="1"/>
  <c r="N1146" i="1"/>
  <c r="O790" i="1"/>
  <c r="O1219" i="1"/>
  <c r="N1082" i="1"/>
  <c r="O1094" i="1"/>
  <c r="O1323" i="1"/>
  <c r="N1393" i="1"/>
  <c r="O576" i="1"/>
  <c r="O787" i="1"/>
  <c r="N1121" i="1"/>
  <c r="O810" i="1"/>
  <c r="O1223" i="1"/>
  <c r="N1417" i="1"/>
  <c r="N1111" i="1"/>
  <c r="N1416" i="1"/>
  <c r="A124" i="1" l="1"/>
  <c r="A616" i="1"/>
  <c r="A840" i="1"/>
  <c r="A44" i="1"/>
  <c r="A29" i="1"/>
  <c r="A1241" i="1"/>
  <c r="A619" i="1"/>
  <c r="A835" i="1"/>
  <c r="A147" i="1"/>
  <c r="A687" i="1"/>
  <c r="A853" i="1"/>
  <c r="A63" i="1"/>
  <c r="A133" i="1"/>
  <c r="A690" i="1"/>
  <c r="A855" i="1"/>
  <c r="A91" i="1"/>
  <c r="A56" i="1"/>
  <c r="A534" i="1"/>
  <c r="A1236" i="1"/>
  <c r="A839" i="1"/>
  <c r="A30" i="1"/>
  <c r="A1242" i="1"/>
  <c r="A633" i="1"/>
  <c r="A837" i="1"/>
  <c r="A16" i="1"/>
  <c r="A1014" i="1"/>
  <c r="A148" i="1"/>
  <c r="A8" i="1"/>
  <c r="A163" i="1"/>
  <c r="A1016" i="1"/>
  <c r="A146" i="1"/>
  <c r="A878" i="1"/>
  <c r="A61" i="1"/>
  <c r="A1230" i="1"/>
  <c r="A838" i="1"/>
  <c r="A205" i="1"/>
  <c r="A861" i="1"/>
  <c r="A17" i="1"/>
  <c r="A1526" i="1"/>
  <c r="A859" i="1"/>
  <c r="A27" i="1"/>
  <c r="A1527" i="1"/>
  <c r="A57" i="1"/>
  <c r="A548" i="1"/>
  <c r="A1237" i="1"/>
  <c r="A848" i="1"/>
  <c r="A64" i="1"/>
  <c r="A1231" i="1"/>
  <c r="A844" i="1"/>
  <c r="A134" i="1"/>
  <c r="A714" i="1"/>
  <c r="A850" i="1"/>
  <c r="A80" i="1"/>
  <c r="A203" i="1"/>
  <c r="A871" i="1"/>
  <c r="A25" i="1"/>
  <c r="A1530" i="1"/>
  <c r="A239" i="1"/>
  <c r="A874" i="1"/>
  <c r="A108" i="1"/>
  <c r="A1531" i="1"/>
  <c r="A159" i="1"/>
  <c r="A657" i="1"/>
  <c r="A858" i="1"/>
  <c r="A13" i="1"/>
  <c r="A28" i="1"/>
  <c r="A166" i="1"/>
  <c r="A1026" i="1"/>
  <c r="A221" i="1"/>
  <c r="A24" i="1"/>
  <c r="A144" i="1"/>
  <c r="A1025" i="1"/>
  <c r="A209" i="1"/>
  <c r="A436" i="1"/>
  <c r="A877" i="1"/>
  <c r="A999" i="1"/>
  <c r="A114" i="1"/>
  <c r="A250" i="1"/>
  <c r="A866" i="1"/>
  <c r="A1000" i="1"/>
  <c r="A48" i="1"/>
  <c r="A433" i="1"/>
  <c r="A873" i="1"/>
  <c r="A1003" i="1"/>
  <c r="A117" i="1"/>
  <c r="A210" i="1"/>
  <c r="A677" i="1"/>
  <c r="A864" i="1"/>
  <c r="A119" i="1"/>
  <c r="A153" i="1"/>
  <c r="A754" i="1"/>
  <c r="A863" i="1"/>
  <c r="A115" i="1"/>
  <c r="A865" i="1"/>
  <c r="A1286" i="1"/>
  <c r="A35" i="1"/>
  <c r="A5" i="1"/>
  <c r="A843" i="1"/>
  <c r="A116" i="1"/>
  <c r="A1496" i="1"/>
  <c r="A58" i="1"/>
  <c r="A1238" i="1"/>
  <c r="A1516" i="1"/>
  <c r="A1517" i="1"/>
  <c r="A1541" i="1"/>
  <c r="A884" i="1"/>
  <c r="A885" i="1"/>
  <c r="A1350" i="1"/>
  <c r="A1353" i="1"/>
  <c r="A1354" i="1"/>
  <c r="A1355" i="1"/>
  <c r="A196" i="1"/>
  <c r="A145" i="1"/>
  <c r="A121" i="1"/>
  <c r="A1552" i="1"/>
  <c r="A1553" i="1"/>
  <c r="A1349" i="1"/>
  <c r="A1351" i="1"/>
  <c r="A135" i="1"/>
  <c r="A1551" i="1"/>
  <c r="A31" i="1"/>
  <c r="A479" i="1"/>
  <c r="A230" i="1"/>
  <c r="A1436" i="1"/>
  <c r="A1352" i="1"/>
  <c r="A1232" i="1"/>
  <c r="A1532" i="1"/>
  <c r="A1540" i="1"/>
  <c r="A1563" i="1"/>
  <c r="A32" i="1"/>
  <c r="A1243" i="1"/>
  <c r="A1529" i="1"/>
  <c r="A1539" i="1"/>
  <c r="A1562" i="1"/>
  <c r="A1565" i="1"/>
  <c r="A509" i="1"/>
  <c r="A886" i="1"/>
  <c r="A1284" i="1"/>
  <c r="A106" i="1"/>
  <c r="A10" i="1"/>
  <c r="A511" i="1"/>
  <c r="A1285" i="1"/>
  <c r="A212" i="1"/>
  <c r="A20" i="1"/>
  <c r="A1036" i="1"/>
  <c r="A177" i="1"/>
  <c r="A4" i="1"/>
  <c r="A1280" i="1"/>
  <c r="A110" i="1"/>
  <c r="A219" i="1"/>
  <c r="A332" i="1"/>
  <c r="A347" i="1"/>
  <c r="A52" i="1"/>
  <c r="A922" i="1"/>
  <c r="A343" i="1"/>
  <c r="A1512" i="1"/>
  <c r="A54" i="1"/>
  <c r="A881" i="1"/>
  <c r="A333" i="1"/>
  <c r="A1509" i="1"/>
  <c r="A12" i="1"/>
  <c r="A41" i="1"/>
  <c r="A383" i="1"/>
  <c r="A1497" i="1"/>
  <c r="A2" i="1"/>
  <c r="A21" i="1"/>
  <c r="A263" i="1"/>
  <c r="A23" i="1"/>
  <c r="A430" i="1"/>
  <c r="A502" i="1"/>
  <c r="A175" i="1"/>
  <c r="A190" i="1"/>
  <c r="A50" i="1"/>
  <c r="A161" i="1"/>
  <c r="A329" i="1"/>
  <c r="A51" i="1"/>
  <c r="A151" i="1"/>
  <c r="A880" i="1"/>
  <c r="A316" i="1"/>
  <c r="A33" i="1"/>
  <c r="A595" i="1"/>
  <c r="A293" i="1"/>
  <c r="A867" i="1"/>
  <c r="A1001" i="1"/>
  <c r="A49" i="1"/>
  <c r="A617" i="1"/>
  <c r="A841" i="1"/>
  <c r="A46" i="1"/>
  <c r="A125" i="1"/>
  <c r="A618" i="1"/>
  <c r="A842" i="1"/>
  <c r="A38" i="1"/>
  <c r="A22" i="1"/>
  <c r="A45" i="1"/>
  <c r="A138" i="1"/>
  <c r="A1382" i="1"/>
  <c r="A34" i="1"/>
  <c r="A81" i="1"/>
  <c r="A223" i="1"/>
  <c r="A40" i="1"/>
  <c r="A87" i="1"/>
  <c r="A225" i="1"/>
  <c r="A3" i="1"/>
  <c r="A47" i="1"/>
  <c r="A610" i="1"/>
  <c r="A53" i="1"/>
  <c r="A686" i="1"/>
  <c r="A724" i="1"/>
  <c r="A311" i="1"/>
  <c r="A43" i="1"/>
  <c r="A55" i="1"/>
  <c r="A341" i="1"/>
  <c r="A418" i="1"/>
  <c r="A68" i="1"/>
  <c r="A265" i="1"/>
  <c r="A309" i="1"/>
  <c r="A79" i="1"/>
  <c r="A924" i="1"/>
  <c r="A398" i="1"/>
  <c r="A1481" i="1"/>
  <c r="A78" i="1"/>
  <c r="A725" i="1"/>
  <c r="A722" i="1"/>
  <c r="A1185" i="1"/>
  <c r="A1482" i="1"/>
  <c r="A77" i="1"/>
  <c r="A1122" i="1"/>
  <c r="A634" i="1"/>
  <c r="A630" i="1"/>
  <c r="A1483" i="1"/>
  <c r="A60" i="1"/>
  <c r="A88" i="1"/>
  <c r="A295" i="1"/>
  <c r="A350" i="1"/>
  <c r="A59" i="1"/>
  <c r="A83" i="1"/>
  <c r="A236" i="1"/>
  <c r="A345" i="1"/>
  <c r="A243" i="1"/>
  <c r="A414" i="1"/>
  <c r="A991" i="1"/>
  <c r="A36" i="1"/>
  <c r="A90" i="1"/>
  <c r="A821" i="1"/>
  <c r="A229" i="1"/>
  <c r="A204" i="1"/>
  <c r="A1528" i="1"/>
  <c r="A1542" i="1"/>
  <c r="A1567" i="1"/>
  <c r="A18" i="1"/>
  <c r="A162" i="1"/>
  <c r="A1015" i="1"/>
  <c r="A149" i="1"/>
  <c r="A101" i="1"/>
  <c r="A150" i="1"/>
  <c r="A746" i="1"/>
  <c r="A74" i="1"/>
  <c r="A882" i="1"/>
  <c r="A70" i="1"/>
  <c r="A984" i="1"/>
  <c r="A669" i="1"/>
  <c r="A1499" i="1"/>
  <c r="A66" i="1"/>
  <c r="A696" i="1"/>
  <c r="A437" i="1"/>
  <c r="A408" i="1"/>
  <c r="A1500" i="1"/>
  <c r="A69" i="1"/>
  <c r="A310" i="1"/>
  <c r="A307" i="1"/>
  <c r="A1521" i="1"/>
  <c r="A1522" i="1"/>
  <c r="A103" i="1"/>
  <c r="A496" i="1"/>
  <c r="A1491" i="1"/>
  <c r="A72" i="1"/>
  <c r="A164" i="1"/>
  <c r="A912" i="1"/>
  <c r="A92" i="1"/>
  <c r="A1113" i="1"/>
  <c r="A565" i="1"/>
  <c r="A1489" i="1"/>
  <c r="A75" i="1"/>
  <c r="A184" i="1"/>
  <c r="A742" i="1"/>
  <c r="A97" i="1"/>
  <c r="A1307" i="1"/>
  <c r="A62" i="1"/>
  <c r="A96" i="1"/>
  <c r="A743" i="1"/>
  <c r="A1476" i="1"/>
  <c r="A73" i="1"/>
  <c r="A76" i="1"/>
  <c r="A260" i="1"/>
  <c r="A1383" i="1"/>
  <c r="A197" i="1"/>
  <c r="A82" i="1"/>
  <c r="A94" i="1"/>
  <c r="A558" i="1"/>
  <c r="A504" i="1"/>
  <c r="A174" i="1"/>
  <c r="A1453" i="1"/>
  <c r="A107" i="1"/>
  <c r="A1454" i="1"/>
  <c r="A84" i="1"/>
  <c r="A118" i="1"/>
  <c r="A535" i="1"/>
  <c r="A37" i="1"/>
  <c r="A89" i="1"/>
  <c r="A822" i="1"/>
  <c r="A104" i="1"/>
  <c r="A860" i="1"/>
  <c r="A622" i="1"/>
  <c r="A176" i="1"/>
  <c r="A996" i="1"/>
  <c r="A684" i="1"/>
  <c r="A1474" i="1"/>
  <c r="A178" i="1"/>
  <c r="A983" i="1"/>
  <c r="A679" i="1"/>
  <c r="A1475" i="1"/>
  <c r="A98" i="1"/>
  <c r="A155" i="1"/>
  <c r="A783" i="1"/>
  <c r="A662" i="1"/>
  <c r="A661" i="1"/>
  <c r="A93" i="1"/>
  <c r="A95" i="1"/>
  <c r="A901" i="1"/>
  <c r="A102" i="1"/>
  <c r="A215" i="1"/>
  <c r="A385" i="1"/>
  <c r="A525" i="1"/>
  <c r="A523" i="1"/>
  <c r="A113" i="1"/>
  <c r="A228" i="1"/>
  <c r="A515" i="1"/>
  <c r="A105" i="1"/>
  <c r="A1400" i="1"/>
  <c r="A156" i="1"/>
  <c r="A216" i="1"/>
  <c r="A109" i="1"/>
  <c r="A157" i="1"/>
  <c r="A473" i="1"/>
  <c r="A519" i="1"/>
  <c r="A1158" i="1"/>
  <c r="A6" i="1"/>
  <c r="A120" i="1"/>
  <c r="A122" i="1"/>
  <c r="A356" i="1"/>
  <c r="A123" i="1"/>
  <c r="A154" i="1"/>
  <c r="A646" i="1"/>
  <c r="A642" i="1"/>
  <c r="A637" i="1"/>
  <c r="A198" i="1"/>
  <c r="A1160" i="1"/>
  <c r="A670" i="1"/>
  <c r="A1518" i="1"/>
  <c r="A111" i="1"/>
  <c r="A941" i="1"/>
  <c r="A1477" i="1"/>
  <c r="A747" i="1"/>
  <c r="A1431" i="1"/>
  <c r="A1448" i="1"/>
  <c r="A1449" i="1"/>
  <c r="A1450" i="1"/>
  <c r="A434" i="1"/>
  <c r="A721" i="1"/>
  <c r="A71" i="1"/>
  <c r="A67" i="1"/>
  <c r="A1501" i="1"/>
  <c r="A1502" i="1"/>
  <c r="A126" i="1"/>
  <c r="A143" i="1"/>
  <c r="A1385" i="1"/>
  <c r="A415" i="1"/>
  <c r="A99" i="1"/>
  <c r="A296" i="1"/>
  <c r="A953" i="1"/>
  <c r="A969" i="1"/>
  <c r="A132" i="1"/>
  <c r="A1401" i="1"/>
  <c r="A180" i="1"/>
  <c r="A251" i="1"/>
  <c r="A183" i="1"/>
  <c r="A131" i="1"/>
  <c r="A1402" i="1"/>
  <c r="A185" i="1"/>
  <c r="A249" i="1"/>
  <c r="A160" i="1"/>
  <c r="A1392" i="1"/>
  <c r="A627" i="1"/>
  <c r="A1060" i="1"/>
  <c r="A128" i="1"/>
  <c r="A624" i="1"/>
  <c r="A895" i="1"/>
  <c r="A127" i="1"/>
  <c r="A626" i="1"/>
  <c r="A908" i="1"/>
  <c r="A129" i="1"/>
  <c r="A142" i="1"/>
  <c r="A1384" i="1"/>
  <c r="A412" i="1"/>
  <c r="A130" i="1"/>
  <c r="A1403" i="1"/>
  <c r="A199" i="1"/>
  <c r="A248" i="1"/>
  <c r="A179" i="1"/>
  <c r="A1357" i="1"/>
  <c r="A1213" i="1"/>
  <c r="A139" i="1"/>
  <c r="A202" i="1"/>
  <c r="A758" i="1"/>
  <c r="A672" i="1"/>
  <c r="A1442" i="1"/>
  <c r="A217" i="1"/>
  <c r="A269" i="1"/>
  <c r="A141" i="1"/>
  <c r="A270" i="1"/>
  <c r="A833" i="1"/>
  <c r="A932" i="1"/>
  <c r="A1074" i="1"/>
  <c r="A1085" i="1"/>
  <c r="A158" i="1"/>
  <c r="A993" i="1"/>
  <c r="A1192" i="1"/>
  <c r="A85" i="1"/>
  <c r="A86" i="1"/>
  <c r="A879" i="1"/>
  <c r="A271" i="1"/>
  <c r="A985" i="1"/>
  <c r="A181" i="1"/>
  <c r="A1358" i="1"/>
  <c r="A1216" i="1"/>
  <c r="A272" i="1"/>
  <c r="A297" i="1"/>
  <c r="A137" i="1"/>
  <c r="A273" i="1"/>
  <c r="A274" i="1"/>
  <c r="A313" i="1"/>
  <c r="A187" i="1"/>
  <c r="A1359" i="1"/>
  <c r="A856" i="1"/>
  <c r="A1233" i="1"/>
  <c r="A222" i="1"/>
  <c r="A299" i="1"/>
  <c r="A1361" i="1"/>
  <c r="A182" i="1"/>
  <c r="A275" i="1"/>
  <c r="A354" i="1"/>
  <c r="A494" i="1"/>
  <c r="A388" i="1"/>
  <c r="A541" i="1"/>
  <c r="A112" i="1"/>
  <c r="A65" i="1"/>
  <c r="A276" i="1"/>
  <c r="A194" i="1"/>
  <c r="A1360" i="1"/>
  <c r="A854" i="1"/>
  <c r="A1234" i="1"/>
  <c r="A277" i="1"/>
  <c r="A764" i="1"/>
  <c r="A213" i="1"/>
  <c r="A1159" i="1"/>
  <c r="A673" i="1"/>
  <c r="A1536" i="1"/>
  <c r="A929" i="1"/>
  <c r="A1568" i="1"/>
  <c r="A218" i="1"/>
  <c r="A890" i="1"/>
  <c r="A796" i="1"/>
  <c r="A1451" i="1"/>
  <c r="A169" i="1"/>
  <c r="A195" i="1"/>
  <c r="A1386" i="1"/>
  <c r="A505" i="1"/>
  <c r="A1404" i="1"/>
  <c r="A191" i="1"/>
  <c r="A254" i="1"/>
  <c r="A365" i="1"/>
  <c r="A211" i="1"/>
  <c r="A256" i="1"/>
  <c r="A420" i="1"/>
  <c r="A707" i="1"/>
  <c r="A214" i="1"/>
  <c r="A322" i="1"/>
  <c r="A683" i="1"/>
  <c r="A266" i="1"/>
  <c r="A1077" i="1"/>
  <c r="A870" i="1"/>
  <c r="A1488" i="1"/>
  <c r="A241" i="1"/>
  <c r="A344" i="1"/>
  <c r="A568" i="1"/>
  <c r="A772" i="1"/>
  <c r="A208" i="1"/>
  <c r="A259" i="1"/>
  <c r="A577" i="1"/>
  <c r="A688" i="1"/>
  <c r="A698" i="1"/>
  <c r="A268" i="1"/>
  <c r="A267" i="1"/>
  <c r="A1443" i="1"/>
  <c r="A1396" i="1"/>
  <c r="A234" i="1"/>
  <c r="A875" i="1"/>
  <c r="A1063" i="1"/>
  <c r="A232" i="1"/>
  <c r="A876" i="1"/>
  <c r="A1405" i="1"/>
  <c r="A224" i="1"/>
  <c r="A284" i="1"/>
  <c r="A435" i="1"/>
  <c r="A242" i="1"/>
  <c r="A888" i="1"/>
  <c r="A715" i="1"/>
  <c r="A1170" i="1"/>
  <c r="A291" i="1"/>
  <c r="A887" i="1"/>
  <c r="A240" i="1"/>
  <c r="A438" i="1"/>
  <c r="A703" i="1"/>
  <c r="A281" i="1"/>
  <c r="A440" i="1"/>
  <c r="A697" i="1"/>
  <c r="A315" i="1"/>
  <c r="A1366" i="1"/>
  <c r="A970" i="1"/>
  <c r="A1281" i="1"/>
  <c r="A235" i="1"/>
  <c r="A292" i="1"/>
  <c r="A631" i="1"/>
  <c r="A693" i="1"/>
  <c r="A206" i="1"/>
  <c r="A246" i="1"/>
  <c r="A1388" i="1"/>
  <c r="A590" i="1"/>
  <c r="A207" i="1"/>
  <c r="A245" i="1"/>
  <c r="A1387" i="1"/>
  <c r="A586" i="1"/>
  <c r="A290" i="1"/>
  <c r="A798" i="1"/>
  <c r="A1176" i="1"/>
  <c r="A1545" i="1"/>
  <c r="A301" i="1"/>
  <c r="A439" i="1"/>
  <c r="A559" i="1"/>
  <c r="A803" i="1"/>
  <c r="A1423" i="1"/>
  <c r="A244" i="1"/>
  <c r="A302" i="1"/>
  <c r="A451" i="1"/>
  <c r="A278" i="1"/>
  <c r="A728" i="1"/>
  <c r="A1283" i="1"/>
  <c r="A288" i="1"/>
  <c r="A910" i="1"/>
  <c r="A701" i="1"/>
  <c r="A1161" i="1"/>
  <c r="A252" i="1"/>
  <c r="A834" i="1"/>
  <c r="A1272" i="1"/>
  <c r="A320" i="1"/>
  <c r="A851" i="1"/>
  <c r="A1546" i="1"/>
  <c r="A303" i="1"/>
  <c r="A914" i="1"/>
  <c r="A795" i="1"/>
  <c r="A1256" i="1"/>
  <c r="A279" i="1"/>
  <c r="A732" i="1"/>
  <c r="A1533" i="1"/>
  <c r="A389" i="1"/>
  <c r="A1289" i="1"/>
  <c r="A314" i="1"/>
  <c r="A321" i="1"/>
  <c r="A765" i="1"/>
  <c r="A845" i="1"/>
  <c r="A220" i="1"/>
  <c r="A319" i="1"/>
  <c r="A918" i="1"/>
  <c r="A872" i="1"/>
  <c r="A869" i="1"/>
  <c r="A308" i="1"/>
  <c r="A917" i="1"/>
  <c r="A789" i="1"/>
  <c r="A788" i="1"/>
  <c r="A1172" i="1"/>
  <c r="A334" i="1"/>
  <c r="A862" i="1"/>
  <c r="A1548" i="1"/>
  <c r="A173" i="1"/>
  <c r="A231" i="1"/>
  <c r="A957" i="1"/>
  <c r="A459" i="1"/>
  <c r="A1004" i="1"/>
  <c r="A1188" i="1"/>
  <c r="A1290" i="1"/>
  <c r="A300" i="1"/>
  <c r="A1028" i="1"/>
  <c r="A995" i="1"/>
  <c r="A304" i="1"/>
  <c r="A323" i="1"/>
  <c r="A997" i="1"/>
  <c r="A188" i="1"/>
  <c r="A306" i="1"/>
  <c r="A1258" i="1"/>
  <c r="A152" i="1"/>
  <c r="A331" i="1"/>
  <c r="A915" i="1"/>
  <c r="A200" i="1"/>
  <c r="A201" i="1"/>
  <c r="A1008" i="1"/>
  <c r="A317" i="1"/>
  <c r="A1367" i="1"/>
  <c r="A971" i="1"/>
  <c r="A1282" i="1"/>
  <c r="A664" i="1"/>
  <c r="A1538" i="1"/>
  <c r="A1543" i="1"/>
  <c r="A1295" i="1"/>
  <c r="A467" i="1"/>
  <c r="A1021" i="1"/>
  <c r="A1207" i="1"/>
  <c r="A1291" i="1"/>
  <c r="A325" i="1"/>
  <c r="A942" i="1"/>
  <c r="A894" i="1"/>
  <c r="A192" i="1"/>
  <c r="A193" i="1"/>
  <c r="A396" i="1"/>
  <c r="A952" i="1"/>
  <c r="A1132" i="1"/>
  <c r="A1298" i="1"/>
  <c r="A349" i="1"/>
  <c r="A507" i="1"/>
  <c r="A950" i="1"/>
  <c r="A324" i="1"/>
  <c r="A346" i="1"/>
  <c r="A778" i="1"/>
  <c r="A889" i="1"/>
  <c r="A255" i="1"/>
  <c r="A1389" i="1"/>
  <c r="A330" i="1"/>
  <c r="A767" i="1"/>
  <c r="A258" i="1"/>
  <c r="A339" i="1"/>
  <c r="A992" i="1"/>
  <c r="A946" i="1"/>
  <c r="A943" i="1"/>
  <c r="A348" i="1"/>
  <c r="A364" i="1"/>
  <c r="A825" i="1"/>
  <c r="A920" i="1"/>
  <c r="A359" i="1"/>
  <c r="A1052" i="1"/>
  <c r="A907" i="1"/>
  <c r="A261" i="1"/>
  <c r="A340" i="1"/>
  <c r="A264" i="1"/>
  <c r="A392" i="1"/>
  <c r="A981" i="1"/>
  <c r="A928" i="1"/>
  <c r="A927" i="1"/>
  <c r="A226" i="1"/>
  <c r="A366" i="1"/>
  <c r="A900" i="1"/>
  <c r="A899" i="1"/>
  <c r="A358" i="1"/>
  <c r="A1059" i="1"/>
  <c r="A1452" i="1"/>
  <c r="A227" i="1"/>
  <c r="A367" i="1"/>
  <c r="A896" i="1"/>
  <c r="A1426" i="1"/>
  <c r="A386" i="1"/>
  <c r="A962" i="1"/>
  <c r="A1175" i="1"/>
  <c r="A394" i="1"/>
  <c r="A933" i="1"/>
  <c r="A1239" i="1"/>
  <c r="A1434" i="1"/>
  <c r="A282" i="1"/>
  <c r="A368" i="1"/>
  <c r="A189" i="1"/>
  <c r="A369" i="1"/>
  <c r="A1065" i="1"/>
  <c r="A370" i="1"/>
  <c r="A390" i="1"/>
  <c r="A168" i="1"/>
  <c r="A406" i="1"/>
  <c r="A1390" i="1"/>
  <c r="A287" i="1"/>
  <c r="A337" i="1"/>
  <c r="A823" i="1"/>
  <c r="A353" i="1"/>
  <c r="A988" i="1"/>
  <c r="A954" i="1"/>
  <c r="A1257" i="1"/>
  <c r="A1299" i="1"/>
  <c r="A289" i="1"/>
  <c r="A170" i="1"/>
  <c r="A371" i="1"/>
  <c r="A167" i="1"/>
  <c r="A171" i="1"/>
  <c r="A372" i="1"/>
  <c r="A172" i="1"/>
  <c r="A373" i="1"/>
  <c r="A374" i="1"/>
  <c r="A994" i="1"/>
  <c r="A357" i="1"/>
  <c r="A949" i="1"/>
  <c r="A1112" i="1"/>
  <c r="A1296" i="1"/>
  <c r="A355" i="1"/>
  <c r="A1297" i="1"/>
  <c r="A15" i="1"/>
  <c r="A362" i="1"/>
  <c r="A923" i="1"/>
  <c r="A921" i="1"/>
  <c r="A14" i="1"/>
  <c r="A351" i="1"/>
  <c r="A603" i="1"/>
  <c r="A375" i="1"/>
  <c r="A600" i="1"/>
  <c r="A913" i="1"/>
  <c r="A413" i="1"/>
  <c r="A852" i="1"/>
  <c r="A963" i="1"/>
  <c r="A1525" i="1"/>
  <c r="A186" i="1"/>
  <c r="A376" i="1"/>
  <c r="A421" i="1"/>
  <c r="A857" i="1"/>
  <c r="A377" i="1"/>
  <c r="A404" i="1"/>
  <c r="A598" i="1"/>
  <c r="A612" i="1"/>
  <c r="A638" i="1"/>
  <c r="A424" i="1"/>
  <c r="A990" i="1"/>
  <c r="A1513" i="1"/>
  <c r="A1424" i="1"/>
  <c r="A391" i="1"/>
  <c r="A422" i="1"/>
  <c r="A685" i="1"/>
  <c r="A253" i="1"/>
  <c r="A832" i="1"/>
  <c r="A1274" i="1"/>
  <c r="A410" i="1"/>
  <c r="A967" i="1"/>
  <c r="A1163" i="1"/>
  <c r="A1304" i="1"/>
  <c r="A427" i="1"/>
  <c r="A973" i="1"/>
  <c r="A1073" i="1"/>
  <c r="A378" i="1"/>
  <c r="A1544" i="1"/>
  <c r="A1455" i="1"/>
  <c r="A1456" i="1"/>
  <c r="A1457" i="1"/>
  <c r="A1458" i="1"/>
  <c r="A1459" i="1"/>
  <c r="A1460" i="1"/>
  <c r="A1461" i="1"/>
  <c r="A1462" i="1"/>
  <c r="A1463" i="1"/>
  <c r="A1464" i="1"/>
  <c r="A1465" i="1"/>
  <c r="A1466" i="1"/>
  <c r="A1467" i="1"/>
  <c r="A1468" i="1"/>
  <c r="A1469" i="1"/>
  <c r="A1470" i="1"/>
  <c r="A1471" i="1"/>
  <c r="A1472" i="1"/>
  <c r="A1473" i="1"/>
  <c r="A403" i="1"/>
  <c r="A956" i="1"/>
  <c r="A955" i="1"/>
  <c r="A1267" i="1"/>
  <c r="A1437" i="1"/>
  <c r="A237" i="1"/>
  <c r="A379" i="1"/>
  <c r="A897" i="1"/>
  <c r="A19" i="1"/>
  <c r="A380" i="1"/>
  <c r="A165" i="1"/>
  <c r="A387" i="1"/>
  <c r="A1067" i="1"/>
  <c r="A401" i="1"/>
  <c r="A1303" i="1"/>
  <c r="A1421" i="1"/>
  <c r="A409" i="1"/>
  <c r="A1024" i="1"/>
  <c r="A1222" i="1"/>
  <c r="A449" i="1"/>
  <c r="A978" i="1"/>
  <c r="A1273" i="1"/>
  <c r="A1441" i="1"/>
  <c r="A431" i="1"/>
  <c r="A976" i="1"/>
  <c r="A1438" i="1"/>
  <c r="A429" i="1"/>
  <c r="A959" i="1"/>
  <c r="A1266" i="1"/>
  <c r="A1440" i="1"/>
  <c r="A402" i="1"/>
  <c r="A766" i="1"/>
  <c r="A930" i="1"/>
  <c r="A1523" i="1"/>
  <c r="A280" i="1"/>
  <c r="A384" i="1"/>
  <c r="A729" i="1"/>
  <c r="A1534" i="1"/>
  <c r="A342" i="1"/>
  <c r="A1027" i="1"/>
  <c r="A360" i="1"/>
  <c r="A318" i="1"/>
  <c r="A399" i="1"/>
  <c r="A393" i="1"/>
  <c r="A651" i="1"/>
  <c r="A419" i="1"/>
  <c r="A441" i="1"/>
  <c r="A904" i="1"/>
  <c r="A964" i="1"/>
  <c r="A1369" i="1"/>
  <c r="A1084" i="1"/>
  <c r="A1305" i="1"/>
  <c r="A1368" i="1"/>
  <c r="A1371" i="1"/>
  <c r="A1083" i="1"/>
  <c r="A1306" i="1"/>
  <c r="A1370" i="1"/>
  <c r="A1406" i="1"/>
  <c r="A416" i="1"/>
  <c r="A445" i="1"/>
  <c r="A756" i="1"/>
  <c r="A1391" i="1"/>
  <c r="A326" i="1"/>
  <c r="A423" i="1"/>
  <c r="A916" i="1"/>
  <c r="A411" i="1"/>
  <c r="A448" i="1"/>
  <c r="A905" i="1"/>
  <c r="A965" i="1"/>
  <c r="A397" i="1"/>
  <c r="A518" i="1"/>
  <c r="A381" i="1"/>
  <c r="A898" i="1"/>
  <c r="A1478" i="1"/>
  <c r="A1479" i="1"/>
  <c r="A1480" i="1"/>
  <c r="A328" i="1"/>
  <c r="A428" i="1"/>
  <c r="A926" i="1"/>
  <c r="A925" i="1"/>
  <c r="A425" i="1"/>
  <c r="A1362" i="1"/>
  <c r="A569" i="1"/>
  <c r="A1373" i="1"/>
  <c r="A470" i="1"/>
  <c r="A1045" i="1"/>
  <c r="A1255" i="1"/>
  <c r="A395" i="1"/>
  <c r="A931" i="1"/>
  <c r="A1240" i="1"/>
  <c r="A1435" i="1"/>
  <c r="A450" i="1"/>
  <c r="A1116" i="1"/>
  <c r="A1308" i="1"/>
  <c r="A352" i="1"/>
  <c r="A466" i="1"/>
  <c r="A989" i="1"/>
  <c r="A1040" i="1"/>
  <c r="A447" i="1"/>
  <c r="A468" i="1"/>
  <c r="A814" i="1"/>
  <c r="A939" i="1"/>
  <c r="A986" i="1"/>
  <c r="A457" i="1"/>
  <c r="A456" i="1"/>
  <c r="A1508" i="1"/>
  <c r="A947" i="1"/>
  <c r="A944" i="1"/>
  <c r="A1492" i="1"/>
  <c r="A1493" i="1"/>
  <c r="A1494" i="1"/>
  <c r="A1495" i="1"/>
  <c r="A1505" i="1"/>
  <c r="A1506" i="1"/>
  <c r="A1507" i="1"/>
  <c r="A382" i="1"/>
  <c r="A951" i="1"/>
  <c r="A475" i="1"/>
  <c r="A1294" i="1"/>
  <c r="A1445" i="1"/>
  <c r="A1446" i="1"/>
  <c r="A1447" i="1"/>
  <c r="A1554" i="1"/>
  <c r="A461" i="1"/>
  <c r="A1056" i="1"/>
  <c r="A1260" i="1"/>
  <c r="A1427" i="1"/>
  <c r="A446" i="1"/>
  <c r="A1444" i="1"/>
  <c r="A1559" i="1"/>
  <c r="A1425" i="1"/>
  <c r="A452" i="1"/>
  <c r="A476" i="1"/>
  <c r="A846" i="1"/>
  <c r="A285" i="1"/>
  <c r="A454" i="1"/>
  <c r="A1168" i="1"/>
  <c r="A455" i="1"/>
  <c r="A741" i="1"/>
  <c r="A868" i="1"/>
  <c r="A977" i="1"/>
  <c r="A1372" i="1"/>
  <c r="A465" i="1"/>
  <c r="A1068" i="1"/>
  <c r="A1254" i="1"/>
  <c r="A283" i="1"/>
  <c r="A469" i="1"/>
  <c r="A1164" i="1"/>
  <c r="A1377" i="1"/>
  <c r="A488" i="1"/>
  <c r="A902" i="1"/>
  <c r="A1312" i="1"/>
  <c r="A1374" i="1"/>
  <c r="A485" i="1"/>
  <c r="A903" i="1"/>
  <c r="A1313" i="1"/>
  <c r="A1394" i="1"/>
  <c r="A294" i="1"/>
  <c r="A490" i="1"/>
  <c r="A1110" i="1"/>
  <c r="A361" i="1"/>
  <c r="A1089" i="1"/>
  <c r="A906" i="1"/>
  <c r="A966" i="1"/>
  <c r="A1498" i="1"/>
  <c r="A1503" i="1"/>
  <c r="A1375" i="1"/>
  <c r="A405" i="1"/>
  <c r="A486" i="1"/>
  <c r="A982" i="1"/>
  <c r="A481" i="1"/>
  <c r="A1023" i="1"/>
  <c r="A1189" i="1"/>
  <c r="A1311" i="1"/>
  <c r="A363" i="1"/>
  <c r="A492" i="1"/>
  <c r="A819" i="1"/>
  <c r="A1178" i="1"/>
  <c r="A305" i="1"/>
  <c r="A489" i="1"/>
  <c r="A1165" i="1"/>
  <c r="A516" i="1"/>
  <c r="A1078" i="1"/>
  <c r="A432" i="1"/>
  <c r="A975" i="1"/>
  <c r="A1439" i="1"/>
  <c r="A1376" i="1"/>
  <c r="A407" i="1"/>
  <c r="A487" i="1"/>
  <c r="A980" i="1"/>
  <c r="A1418" i="1"/>
  <c r="A500" i="1"/>
  <c r="A1087" i="1"/>
  <c r="A1270" i="1"/>
  <c r="A1428" i="1"/>
  <c r="A499" i="1"/>
  <c r="A1091" i="1"/>
  <c r="A1271" i="1"/>
  <c r="A1398" i="1"/>
  <c r="A498" i="1"/>
  <c r="A1105" i="1"/>
  <c r="A1269" i="1"/>
  <c r="A520" i="1"/>
  <c r="A1022" i="1"/>
  <c r="A1104" i="1"/>
  <c r="A1397" i="1"/>
  <c r="A497" i="1"/>
  <c r="A1106" i="1"/>
  <c r="A1268" i="1"/>
  <c r="A522" i="1"/>
  <c r="A1011" i="1"/>
  <c r="A1317" i="1"/>
  <c r="A417" i="1"/>
  <c r="A514" i="1"/>
  <c r="A1009" i="1"/>
  <c r="A1064" i="1"/>
  <c r="A426" i="1"/>
  <c r="A513" i="1"/>
  <c r="A1012" i="1"/>
  <c r="A1070" i="1"/>
  <c r="A536" i="1"/>
  <c r="A563" i="1"/>
  <c r="A968" i="1"/>
  <c r="A1020" i="1"/>
  <c r="A1019" i="1"/>
  <c r="A462" i="1"/>
  <c r="A460" i="1"/>
  <c r="A453" i="1"/>
  <c r="A695" i="1"/>
  <c r="A1005" i="1"/>
  <c r="A247" i="1"/>
  <c r="A526" i="1"/>
  <c r="A566" i="1"/>
  <c r="A757" i="1"/>
  <c r="A1034" i="1"/>
  <c r="A100" i="1"/>
  <c r="A528" i="1"/>
  <c r="A998" i="1"/>
  <c r="A471" i="1"/>
  <c r="A527" i="1"/>
  <c r="A1006" i="1"/>
  <c r="A472" i="1"/>
  <c r="A533" i="1"/>
  <c r="A1193" i="1"/>
  <c r="A493" i="1"/>
  <c r="A1180" i="1"/>
  <c r="A1309" i="1"/>
  <c r="A1363" i="1"/>
  <c r="A538" i="1"/>
  <c r="A782" i="1"/>
  <c r="A530" i="1"/>
  <c r="A532" i="1"/>
  <c r="A608" i="1"/>
  <c r="A1030" i="1"/>
  <c r="A1378" i="1"/>
  <c r="A557" i="1"/>
  <c r="A1173" i="1"/>
  <c r="A1319" i="1"/>
  <c r="A1395" i="1"/>
  <c r="A560" i="1"/>
  <c r="A1174" i="1"/>
  <c r="A1320" i="1"/>
  <c r="A561" i="1"/>
  <c r="A1051" i="1"/>
  <c r="A1108" i="1"/>
  <c r="A26" i="1"/>
  <c r="A539" i="1"/>
  <c r="A549" i="1"/>
  <c r="A1013" i="1"/>
  <c r="A1200" i="1"/>
  <c r="A537" i="1"/>
  <c r="A1029" i="1"/>
  <c r="A1184" i="1"/>
  <c r="A601" i="1"/>
  <c r="A1101" i="1"/>
  <c r="A1261" i="1"/>
  <c r="A1321" i="1"/>
  <c r="A579" i="1"/>
  <c r="A1095" i="1"/>
  <c r="A1264" i="1"/>
  <c r="A1322" i="1"/>
  <c r="A506" i="1"/>
  <c r="A1182" i="1"/>
  <c r="A1310" i="1"/>
  <c r="A1399" i="1"/>
  <c r="A545" i="1"/>
  <c r="A1115" i="1"/>
  <c r="A1278" i="1"/>
  <c r="A543" i="1"/>
  <c r="A1137" i="1"/>
  <c r="A1277" i="1"/>
  <c r="A508" i="1"/>
  <c r="A521" i="1"/>
  <c r="A1187" i="1"/>
  <c r="A643" i="1"/>
  <c r="A644" i="1"/>
  <c r="A647" i="1"/>
  <c r="A587" i="1"/>
  <c r="A1061" i="1"/>
  <c r="A1141" i="1"/>
  <c r="A564" i="1"/>
  <c r="A883" i="1"/>
  <c r="A1018" i="1"/>
  <c r="A1017" i="1"/>
  <c r="A1407" i="1"/>
  <c r="A544" i="1"/>
  <c r="A614" i="1"/>
  <c r="A935" i="1"/>
  <c r="A529" i="1"/>
  <c r="A1041" i="1"/>
  <c r="A1325" i="1"/>
  <c r="A501" i="1"/>
  <c r="A718" i="1"/>
  <c r="A1107" i="1"/>
  <c r="A621" i="1"/>
  <c r="A620" i="1"/>
  <c r="A1151" i="1"/>
  <c r="A1301" i="1"/>
  <c r="A1555" i="1"/>
  <c r="A606" i="1"/>
  <c r="A1103" i="1"/>
  <c r="A1152" i="1"/>
  <c r="A1302" i="1"/>
  <c r="A591" i="1"/>
  <c r="A1049" i="1"/>
  <c r="A1154" i="1"/>
  <c r="A442" i="1"/>
  <c r="A546" i="1"/>
  <c r="A1031" i="1"/>
  <c r="A1102" i="1"/>
  <c r="A1408" i="1"/>
  <c r="A443" i="1"/>
  <c r="A552" i="1"/>
  <c r="A1032" i="1"/>
  <c r="A1429" i="1"/>
  <c r="A555" i="1"/>
  <c r="A1155" i="1"/>
  <c r="A1275" i="1"/>
  <c r="A542" i="1"/>
  <c r="A1037" i="1"/>
  <c r="A1288" i="1"/>
  <c r="A286" i="1"/>
  <c r="A547" i="1"/>
  <c r="A1038" i="1"/>
  <c r="A262" i="1"/>
  <c r="A582" i="1"/>
  <c r="A1214" i="1"/>
  <c r="A605" i="1"/>
  <c r="A1204" i="1"/>
  <c r="A1326" i="1"/>
  <c r="A1419" i="1"/>
  <c r="A553" i="1"/>
  <c r="A1157" i="1"/>
  <c r="A1276" i="1"/>
  <c r="A1409" i="1"/>
  <c r="A458" i="1"/>
  <c r="A562" i="1"/>
  <c r="A1035" i="1"/>
  <c r="A585" i="1"/>
  <c r="A812" i="1"/>
  <c r="A1033" i="1"/>
  <c r="A335" i="1"/>
  <c r="A574" i="1"/>
  <c r="A1057" i="1"/>
  <c r="A338" i="1"/>
  <c r="A571" i="1"/>
  <c r="A1205" i="1"/>
  <c r="A540" i="1"/>
  <c r="A1215" i="1"/>
  <c r="A1287" i="1"/>
  <c r="A550" i="1"/>
  <c r="A1058" i="1"/>
  <c r="A1318" i="1"/>
  <c r="A785" i="1"/>
  <c r="A1179" i="1"/>
  <c r="A1519" i="1"/>
  <c r="A400" i="1"/>
  <c r="A474" i="1"/>
  <c r="A1167" i="1"/>
  <c r="A238" i="1"/>
  <c r="A491" i="1"/>
  <c r="A1169" i="1"/>
  <c r="A257" i="1"/>
  <c r="A495" i="1"/>
  <c r="A1198" i="1"/>
  <c r="A503" i="1"/>
  <c r="A1211" i="1"/>
  <c r="A1166" i="1"/>
  <c r="A1484" i="1"/>
  <c r="A1485" i="1"/>
  <c r="A1510" i="1"/>
  <c r="A1511" i="1"/>
  <c r="A336" i="1"/>
  <c r="A584" i="1"/>
  <c r="A1203" i="1"/>
  <c r="A623" i="1"/>
  <c r="A1075" i="1"/>
  <c r="A911" i="1"/>
  <c r="A625" i="1"/>
  <c r="A826" i="1"/>
  <c r="A1047" i="1"/>
  <c r="A477" i="1"/>
  <c r="A609" i="1"/>
  <c r="A1043" i="1"/>
  <c r="A1042" i="1"/>
  <c r="A1092" i="1"/>
  <c r="A1410" i="1"/>
  <c r="A478" i="1"/>
  <c r="A611" i="1"/>
  <c r="A1053" i="1"/>
  <c r="A635" i="1"/>
  <c r="A658" i="1"/>
  <c r="A1044" i="1"/>
  <c r="A979" i="1"/>
  <c r="A554" i="1"/>
  <c r="A1245" i="1"/>
  <c r="A556" i="1"/>
  <c r="A1194" i="1"/>
  <c r="A716" i="1"/>
  <c r="A1128" i="1"/>
  <c r="A1537" i="1"/>
  <c r="A615" i="1"/>
  <c r="A813" i="1"/>
  <c r="A1186" i="1"/>
  <c r="A551" i="1"/>
  <c r="A567" i="1"/>
  <c r="A1072" i="1"/>
  <c r="A919" i="1"/>
  <c r="A663" i="1"/>
  <c r="A1114" i="1"/>
  <c r="A1265" i="1"/>
  <c r="A1327" i="1"/>
  <c r="A667" i="1"/>
  <c r="A1127" i="1"/>
  <c r="A1328" i="1"/>
  <c r="A1411" i="1"/>
  <c r="A480" i="1"/>
  <c r="A597" i="1"/>
  <c r="A1054" i="1"/>
  <c r="A573" i="1"/>
  <c r="A572" i="1"/>
  <c r="A1314" i="1"/>
  <c r="A1316" i="1"/>
  <c r="A596" i="1"/>
  <c r="A1007" i="1"/>
  <c r="A1514" i="1"/>
  <c r="A1515" i="1"/>
  <c r="A1549" i="1"/>
  <c r="A1550" i="1"/>
  <c r="A1010" i="1"/>
  <c r="A482" i="1"/>
  <c r="A578" i="1"/>
  <c r="A1181" i="1"/>
  <c r="A1547" i="1"/>
  <c r="A1566" i="1"/>
  <c r="A484" i="1"/>
  <c r="A655" i="1"/>
  <c r="A1100" i="1"/>
  <c r="A1098" i="1"/>
  <c r="A1139" i="1"/>
  <c r="A1412" i="1"/>
  <c r="A483" i="1"/>
  <c r="A645" i="1"/>
  <c r="A1069" i="1"/>
  <c r="A583" i="1"/>
  <c r="A1055" i="1"/>
  <c r="A1171" i="1"/>
  <c r="A632" i="1"/>
  <c r="A671" i="1"/>
  <c r="A1206" i="1"/>
  <c r="A640" i="1"/>
  <c r="A849" i="1"/>
  <c r="A1048" i="1"/>
  <c r="A1201" i="1"/>
  <c r="A1330" i="1"/>
  <c r="A1332" i="1"/>
  <c r="A648" i="1"/>
  <c r="A660" i="1"/>
  <c r="A652" i="1"/>
  <c r="A712" i="1"/>
  <c r="A762" i="1"/>
  <c r="A934" i="1"/>
  <c r="A940" i="1"/>
  <c r="A1002" i="1"/>
  <c r="A1123" i="1"/>
  <c r="A1066" i="1"/>
  <c r="A1076" i="1"/>
  <c r="A1117" i="1"/>
  <c r="A1130" i="1"/>
  <c r="A1140" i="1"/>
  <c r="A1199" i="1"/>
  <c r="A1202" i="1"/>
  <c r="A1218" i="1"/>
  <c r="A1224" i="1"/>
  <c r="A1279" i="1"/>
  <c r="A1331" i="1"/>
  <c r="A1413" i="1"/>
  <c r="A1334" i="1"/>
  <c r="A1364" i="1"/>
  <c r="A1420" i="1"/>
  <c r="A665" i="1"/>
  <c r="A1177" i="1"/>
  <c r="A1293" i="1"/>
  <c r="A1430" i="1"/>
  <c r="A666" i="1"/>
  <c r="A1183" i="1"/>
  <c r="A1292" i="1"/>
  <c r="A629" i="1"/>
  <c r="A1315" i="1"/>
  <c r="A628" i="1"/>
  <c r="A1088" i="1"/>
  <c r="A1490" i="1"/>
  <c r="A704" i="1"/>
  <c r="A1093" i="1"/>
  <c r="A945" i="1"/>
  <c r="A987" i="1"/>
  <c r="A1365" i="1"/>
  <c r="A674" i="1"/>
  <c r="A948" i="1"/>
  <c r="A738" i="1"/>
  <c r="A1120" i="1"/>
  <c r="A1190" i="1"/>
  <c r="A1133" i="1"/>
  <c r="A739" i="1"/>
  <c r="A1191" i="1"/>
  <c r="A1415" i="1"/>
  <c r="A512" i="1"/>
  <c r="A676" i="1"/>
  <c r="A1097" i="1"/>
  <c r="A705" i="1"/>
  <c r="A1109" i="1"/>
  <c r="A892" i="1"/>
  <c r="A531" i="1"/>
  <c r="A636" i="1"/>
  <c r="A1081" i="1"/>
  <c r="A1380" i="1"/>
  <c r="A710" i="1"/>
  <c r="A1235" i="1"/>
  <c r="A1333" i="1"/>
  <c r="A1379" i="1"/>
  <c r="A708" i="1"/>
  <c r="A1229" i="1"/>
  <c r="A1335" i="1"/>
  <c r="A7" i="1"/>
  <c r="A1124" i="1"/>
  <c r="A751" i="1"/>
  <c r="A298" i="1"/>
  <c r="A641" i="1"/>
  <c r="A575" i="1"/>
  <c r="A830" i="1"/>
  <c r="A1050" i="1"/>
  <c r="A517" i="1"/>
  <c r="A681" i="1"/>
  <c r="A1099" i="1"/>
  <c r="A1138" i="1"/>
  <c r="A233" i="1"/>
  <c r="A748" i="1"/>
  <c r="A1414" i="1"/>
  <c r="A524" i="1"/>
  <c r="A680" i="1"/>
  <c r="A1096" i="1"/>
  <c r="A1039" i="1"/>
  <c r="A1486" i="1"/>
  <c r="A1520" i="1"/>
  <c r="A1558" i="1"/>
  <c r="A1560" i="1"/>
  <c r="A1046" i="1"/>
  <c r="A1225" i="1"/>
  <c r="A1524" i="1"/>
  <c r="A1535" i="1"/>
  <c r="A1561" i="1"/>
  <c r="A1564" i="1"/>
  <c r="A1135" i="1"/>
  <c r="A753" i="1"/>
  <c r="A1196" i="1"/>
  <c r="A588" i="1"/>
  <c r="A1062" i="1"/>
  <c r="A1150" i="1"/>
  <c r="A510" i="1"/>
  <c r="A650" i="1"/>
  <c r="A1244" i="1"/>
  <c r="A731" i="1"/>
  <c r="A1197" i="1"/>
  <c r="A761" i="1"/>
  <c r="A760" i="1"/>
  <c r="A1144" i="1"/>
  <c r="A1356" i="1"/>
  <c r="A1557" i="1"/>
  <c r="A735" i="1"/>
  <c r="A1118" i="1"/>
  <c r="A960" i="1"/>
  <c r="A961" i="1"/>
  <c r="A1487" i="1"/>
  <c r="A1504" i="1"/>
  <c r="A312" i="1"/>
  <c r="A734" i="1"/>
  <c r="A1208" i="1"/>
  <c r="A1209" i="1"/>
  <c r="A656" i="1"/>
  <c r="A1336" i="1"/>
  <c r="A649" i="1"/>
  <c r="A1125" i="1"/>
  <c r="A891" i="1"/>
  <c r="A749" i="1"/>
  <c r="A773" i="1"/>
  <c r="A733" i="1"/>
  <c r="A1210" i="1"/>
  <c r="A1146" i="1"/>
  <c r="A771" i="1"/>
  <c r="A1212" i="1"/>
  <c r="A136" i="1"/>
  <c r="A653" i="1"/>
  <c r="A1071" i="1"/>
  <c r="A659" i="1"/>
  <c r="A958" i="1"/>
  <c r="A140" i="1"/>
  <c r="A39" i="1"/>
  <c r="A1131" i="1"/>
  <c r="A752" i="1"/>
  <c r="A769" i="1"/>
  <c r="A792" i="1"/>
  <c r="A1080" i="1"/>
  <c r="A1086" i="1"/>
  <c r="A607" i="1"/>
  <c r="A1079" i="1"/>
  <c r="A1153" i="1"/>
  <c r="A816" i="1"/>
  <c r="A1217" i="1"/>
  <c r="A790" i="1"/>
  <c r="A1219" i="1"/>
  <c r="A599" i="1"/>
  <c r="A1082" i="1"/>
  <c r="A936" i="1"/>
  <c r="A580" i="1"/>
  <c r="A1094" i="1"/>
  <c r="A1263" i="1"/>
  <c r="A1324" i="1"/>
  <c r="A602" i="1"/>
  <c r="A1323" i="1"/>
  <c r="A808" i="1"/>
  <c r="A1337" i="1"/>
  <c r="A784" i="1"/>
  <c r="A1338" i="1"/>
  <c r="A675" i="1"/>
  <c r="A1393" i="1"/>
  <c r="A444" i="1"/>
  <c r="A759" i="1"/>
  <c r="A1226" i="1"/>
  <c r="A1090" i="1"/>
  <c r="A682" i="1"/>
  <c r="A909" i="1"/>
  <c r="A570" i="1"/>
  <c r="A770" i="1"/>
  <c r="A1259" i="1"/>
  <c r="A9" i="1"/>
  <c r="A1136" i="1"/>
  <c r="A763" i="1"/>
  <c r="A576" i="1"/>
  <c r="A787" i="1"/>
  <c r="A654" i="1"/>
  <c r="A1121" i="1"/>
  <c r="A689" i="1"/>
  <c r="A713" i="1"/>
  <c r="A800" i="1"/>
  <c r="A972" i="1"/>
  <c r="A974" i="1"/>
  <c r="A801" i="1"/>
  <c r="A937" i="1"/>
  <c r="A799" i="1"/>
  <c r="A1340" i="1"/>
  <c r="A820" i="1"/>
  <c r="A1341" i="1"/>
  <c r="A818" i="1"/>
  <c r="A1221" i="1"/>
  <c r="A810" i="1"/>
  <c r="A1223" i="1"/>
  <c r="A811" i="1"/>
  <c r="A1227" i="1"/>
  <c r="A802" i="1"/>
  <c r="A1228" i="1"/>
  <c r="A807" i="1"/>
  <c r="A815" i="1"/>
  <c r="A1145" i="1"/>
  <c r="A786" i="1"/>
  <c r="A817" i="1"/>
  <c r="A678" i="1"/>
  <c r="A11" i="1"/>
  <c r="A702" i="1"/>
  <c r="A464" i="1"/>
  <c r="A1149" i="1"/>
  <c r="A1148" i="1"/>
  <c r="A775" i="1"/>
  <c r="A777" i="1"/>
  <c r="A463" i="1"/>
  <c r="A1147" i="1"/>
  <c r="A776" i="1"/>
  <c r="A589" i="1"/>
  <c r="A709" i="1"/>
  <c r="A327" i="1"/>
  <c r="A694" i="1"/>
  <c r="A691" i="1"/>
  <c r="A692" i="1"/>
  <c r="A1143" i="1"/>
  <c r="A768" i="1"/>
  <c r="A938" i="1"/>
  <c r="A1417" i="1"/>
  <c r="A594" i="1"/>
  <c r="A827" i="1"/>
  <c r="A1162" i="1"/>
  <c r="A706" i="1"/>
  <c r="A1111" i="1"/>
  <c r="A893" i="1"/>
  <c r="A1416" i="1"/>
  <c r="A593" i="1"/>
  <c r="A824" i="1"/>
  <c r="A1156" i="1"/>
  <c r="A779" i="1"/>
  <c r="A1339" i="1"/>
  <c r="A592" i="1"/>
  <c r="A699" i="1"/>
  <c r="A711" i="1"/>
  <c r="A1262" i="1"/>
  <c r="A829" i="1"/>
  <c r="A1344" i="1"/>
  <c r="A1381" i="1"/>
  <c r="A828" i="1"/>
  <c r="A1345" i="1"/>
  <c r="A806" i="1"/>
  <c r="A1346" i="1"/>
  <c r="A720" i="1"/>
  <c r="A1251" i="1"/>
  <c r="A723" i="1"/>
  <c r="A717" i="1"/>
  <c r="A804" i="1"/>
  <c r="A847" i="1"/>
  <c r="A726" i="1"/>
  <c r="A1342" i="1"/>
  <c r="A727" i="1"/>
  <c r="A1343" i="1"/>
  <c r="A42" i="1"/>
  <c r="A797" i="1"/>
  <c r="A780" i="1"/>
  <c r="A1142" i="1"/>
  <c r="A781" i="1"/>
  <c r="A1195" i="1"/>
  <c r="A791" i="1"/>
  <c r="A1249" i="1"/>
  <c r="A793" i="1"/>
  <c r="A1247" i="1"/>
  <c r="A1422" i="1"/>
  <c r="A794" i="1"/>
  <c r="A1246" i="1"/>
  <c r="A1300" i="1"/>
  <c r="A805" i="1"/>
  <c r="A1250" i="1"/>
  <c r="A809" i="1"/>
  <c r="A1248" i="1"/>
  <c r="A719" i="1"/>
  <c r="A1220" i="1"/>
  <c r="A736" i="1"/>
  <c r="A581" i="1"/>
  <c r="A700" i="1"/>
  <c r="A730" i="1"/>
  <c r="A737" i="1"/>
  <c r="A1119" i="1"/>
  <c r="A1432" i="1"/>
  <c r="A1433" i="1"/>
  <c r="A1347" i="1"/>
  <c r="A668" i="1"/>
  <c r="A1126" i="1"/>
  <c r="A1329" i="1"/>
  <c r="A613" i="1"/>
  <c r="A1134" i="1"/>
  <c r="A604" i="1"/>
  <c r="A740" i="1"/>
  <c r="A744" i="1"/>
  <c r="A1129" i="1"/>
  <c r="A750" i="1"/>
  <c r="A774" i="1"/>
  <c r="A745" i="1"/>
  <c r="A1348" i="1"/>
  <c r="A639" i="1"/>
  <c r="A831" i="1"/>
  <c r="A1252" i="1"/>
  <c r="A836" i="1"/>
  <c r="A1253" i="1"/>
  <c r="A755" i="1"/>
  <c r="A1556" i="1"/>
  <c r="B1568" i="1" l="1"/>
  <c r="B1570" i="1"/>
  <c r="C1570" i="1" s="1"/>
  <c r="B1574" i="1"/>
  <c r="C1574" i="1" s="1"/>
  <c r="B1573" i="1"/>
  <c r="C1573" i="1" s="1"/>
  <c r="B1572" i="1"/>
  <c r="C1572" i="1" s="1"/>
  <c r="B1571" i="1"/>
  <c r="C1571" i="1" s="1"/>
  <c r="M543" i="3"/>
  <c r="F543" i="3"/>
  <c r="T543" i="3"/>
  <c r="B1569" i="1"/>
  <c r="C1569" i="1" s="1"/>
  <c r="M542" i="3"/>
  <c r="F542" i="3"/>
  <c r="T542" i="3"/>
  <c r="B1348" i="1"/>
  <c r="C1348" i="1" s="1"/>
  <c r="T2" i="3"/>
  <c r="T10" i="3"/>
  <c r="T18" i="3"/>
  <c r="T26" i="3"/>
  <c r="T34" i="3"/>
  <c r="T42" i="3"/>
  <c r="T3" i="3"/>
  <c r="T11" i="3"/>
  <c r="T19" i="3"/>
  <c r="T27" i="3"/>
  <c r="T35" i="3"/>
  <c r="T43" i="3"/>
  <c r="T51" i="3"/>
  <c r="T59" i="3"/>
  <c r="T67" i="3"/>
  <c r="T75" i="3"/>
  <c r="T83" i="3"/>
  <c r="T91" i="3"/>
  <c r="T99" i="3"/>
  <c r="T107" i="3"/>
  <c r="T115" i="3"/>
  <c r="T123" i="3"/>
  <c r="T131" i="3"/>
  <c r="T139" i="3"/>
  <c r="T147" i="3"/>
  <c r="T155" i="3"/>
  <c r="T163" i="3"/>
  <c r="T171" i="3"/>
  <c r="T179" i="3"/>
  <c r="T187" i="3"/>
  <c r="T195" i="3"/>
  <c r="T203" i="3"/>
  <c r="T211" i="3"/>
  <c r="T219" i="3"/>
  <c r="T227" i="3"/>
  <c r="T235" i="3"/>
  <c r="T243" i="3"/>
  <c r="T251" i="3"/>
  <c r="T259" i="3"/>
  <c r="T267" i="3"/>
  <c r="T275" i="3"/>
  <c r="T283" i="3"/>
  <c r="T291" i="3"/>
  <c r="T299" i="3"/>
  <c r="T307" i="3"/>
  <c r="T315" i="3"/>
  <c r="T323" i="3"/>
  <c r="T331" i="3"/>
  <c r="T339" i="3"/>
  <c r="T347" i="3"/>
  <c r="T355" i="3"/>
  <c r="T363" i="3"/>
  <c r="T371" i="3"/>
  <c r="T379" i="3"/>
  <c r="T387" i="3"/>
  <c r="T395" i="3"/>
  <c r="T403" i="3"/>
  <c r="T411" i="3"/>
  <c r="T419" i="3"/>
  <c r="T427" i="3"/>
  <c r="T435" i="3"/>
  <c r="T443" i="3"/>
  <c r="T451" i="3"/>
  <c r="T459" i="3"/>
  <c r="T467" i="3"/>
  <c r="T475" i="3"/>
  <c r="T483" i="3"/>
  <c r="T491" i="3"/>
  <c r="T499" i="3"/>
  <c r="T507" i="3"/>
  <c r="T515" i="3"/>
  <c r="T523" i="3"/>
  <c r="T531" i="3"/>
  <c r="T539" i="3"/>
  <c r="M7" i="3"/>
  <c r="T4" i="3"/>
  <c r="T12" i="3"/>
  <c r="T20" i="3"/>
  <c r="T28" i="3"/>
  <c r="T36" i="3"/>
  <c r="T44" i="3"/>
  <c r="T52" i="3"/>
  <c r="T60" i="3"/>
  <c r="T68" i="3"/>
  <c r="T76" i="3"/>
  <c r="T84" i="3"/>
  <c r="T92" i="3"/>
  <c r="T100" i="3"/>
  <c r="T108" i="3"/>
  <c r="T116" i="3"/>
  <c r="T124" i="3"/>
  <c r="T132" i="3"/>
  <c r="T140" i="3"/>
  <c r="T148" i="3"/>
  <c r="T156" i="3"/>
  <c r="T164" i="3"/>
  <c r="T172" i="3"/>
  <c r="T180" i="3"/>
  <c r="T188" i="3"/>
  <c r="T196" i="3"/>
  <c r="T204" i="3"/>
  <c r="T212" i="3"/>
  <c r="T5" i="3"/>
  <c r="T13" i="3"/>
  <c r="T21" i="3"/>
  <c r="T29" i="3"/>
  <c r="T37" i="3"/>
  <c r="T45" i="3"/>
  <c r="T53" i="3"/>
  <c r="T61" i="3"/>
  <c r="T69" i="3"/>
  <c r="T77" i="3"/>
  <c r="T85" i="3"/>
  <c r="T93" i="3"/>
  <c r="T101" i="3"/>
  <c r="T109" i="3"/>
  <c r="T117" i="3"/>
  <c r="T125" i="3"/>
  <c r="T133" i="3"/>
  <c r="T141" i="3"/>
  <c r="T149" i="3"/>
  <c r="T157" i="3"/>
  <c r="T165" i="3"/>
  <c r="T173" i="3"/>
  <c r="T181" i="3"/>
  <c r="T189" i="3"/>
  <c r="T197" i="3"/>
  <c r="T205" i="3"/>
  <c r="T213" i="3"/>
  <c r="T221" i="3"/>
  <c r="T229" i="3"/>
  <c r="T237" i="3"/>
  <c r="T245" i="3"/>
  <c r="T253" i="3"/>
  <c r="T261" i="3"/>
  <c r="T269" i="3"/>
  <c r="T277" i="3"/>
  <c r="T285" i="3"/>
  <c r="T293" i="3"/>
  <c r="T301" i="3"/>
  <c r="T309" i="3"/>
  <c r="T317" i="3"/>
  <c r="T325" i="3"/>
  <c r="T333" i="3"/>
  <c r="T341" i="3"/>
  <c r="T349" i="3"/>
  <c r="T357" i="3"/>
  <c r="T365" i="3"/>
  <c r="T373" i="3"/>
  <c r="T381" i="3"/>
  <c r="T389" i="3"/>
  <c r="T397" i="3"/>
  <c r="T405" i="3"/>
  <c r="T413" i="3"/>
  <c r="T421" i="3"/>
  <c r="T429" i="3"/>
  <c r="T437" i="3"/>
  <c r="T445" i="3"/>
  <c r="T453" i="3"/>
  <c r="T461" i="3"/>
  <c r="T469" i="3"/>
  <c r="T477" i="3"/>
  <c r="T485" i="3"/>
  <c r="T493" i="3"/>
  <c r="T501" i="3"/>
  <c r="T509" i="3"/>
  <c r="T517" i="3"/>
  <c r="T525" i="3"/>
  <c r="T533" i="3"/>
  <c r="T541" i="3"/>
  <c r="M9" i="3"/>
  <c r="M17" i="3"/>
  <c r="M25" i="3"/>
  <c r="M33" i="3"/>
  <c r="M41" i="3"/>
  <c r="M49" i="3"/>
  <c r="M57" i="3"/>
  <c r="M65" i="3"/>
  <c r="M73" i="3"/>
  <c r="M81" i="3"/>
  <c r="M89" i="3"/>
  <c r="M97" i="3"/>
  <c r="M105" i="3"/>
  <c r="M113" i="3"/>
  <c r="M121" i="3"/>
  <c r="M129" i="3"/>
  <c r="M137" i="3"/>
  <c r="T6" i="3"/>
  <c r="T14" i="3"/>
  <c r="T22" i="3"/>
  <c r="T30" i="3"/>
  <c r="T38" i="3"/>
  <c r="T46" i="3"/>
  <c r="T54" i="3"/>
  <c r="T62" i="3"/>
  <c r="T70" i="3"/>
  <c r="T78" i="3"/>
  <c r="T86" i="3"/>
  <c r="T94" i="3"/>
  <c r="T102" i="3"/>
  <c r="T110" i="3"/>
  <c r="T118" i="3"/>
  <c r="T126" i="3"/>
  <c r="T134" i="3"/>
  <c r="T142" i="3"/>
  <c r="T150" i="3"/>
  <c r="T158" i="3"/>
  <c r="T166" i="3"/>
  <c r="T174" i="3"/>
  <c r="T182" i="3"/>
  <c r="T190" i="3"/>
  <c r="T198" i="3"/>
  <c r="T206" i="3"/>
  <c r="T214" i="3"/>
  <c r="T222" i="3"/>
  <c r="T230" i="3"/>
  <c r="T238" i="3"/>
  <c r="T246" i="3"/>
  <c r="T254" i="3"/>
  <c r="T262" i="3"/>
  <c r="T270" i="3"/>
  <c r="T278" i="3"/>
  <c r="T286" i="3"/>
  <c r="T294" i="3"/>
  <c r="T302" i="3"/>
  <c r="T310" i="3"/>
  <c r="T318" i="3"/>
  <c r="T326" i="3"/>
  <c r="T334" i="3"/>
  <c r="T342" i="3"/>
  <c r="T350" i="3"/>
  <c r="T358" i="3"/>
  <c r="T366" i="3"/>
  <c r="T374" i="3"/>
  <c r="T382" i="3"/>
  <c r="T390" i="3"/>
  <c r="T7" i="3"/>
  <c r="T15" i="3"/>
  <c r="T23" i="3"/>
  <c r="T31" i="3"/>
  <c r="T39" i="3"/>
  <c r="T47" i="3"/>
  <c r="T55" i="3"/>
  <c r="T63" i="3"/>
  <c r="T71" i="3"/>
  <c r="T79" i="3"/>
  <c r="T87" i="3"/>
  <c r="T95" i="3"/>
  <c r="T103" i="3"/>
  <c r="T111" i="3"/>
  <c r="T119" i="3"/>
  <c r="T127" i="3"/>
  <c r="T135" i="3"/>
  <c r="T143" i="3"/>
  <c r="T151" i="3"/>
  <c r="T159" i="3"/>
  <c r="T167" i="3"/>
  <c r="T175" i="3"/>
  <c r="T183" i="3"/>
  <c r="T191" i="3"/>
  <c r="T199" i="3"/>
  <c r="T207" i="3"/>
  <c r="T215" i="3"/>
  <c r="T223" i="3"/>
  <c r="T231" i="3"/>
  <c r="T239" i="3"/>
  <c r="T247" i="3"/>
  <c r="T255" i="3"/>
  <c r="T263" i="3"/>
  <c r="T271" i="3"/>
  <c r="T279" i="3"/>
  <c r="T287" i="3"/>
  <c r="T295" i="3"/>
  <c r="T303" i="3"/>
  <c r="T311" i="3"/>
  <c r="T319" i="3"/>
  <c r="T327" i="3"/>
  <c r="T335" i="3"/>
  <c r="T343" i="3"/>
  <c r="T351" i="3"/>
  <c r="T359" i="3"/>
  <c r="T367" i="3"/>
  <c r="T375" i="3"/>
  <c r="T383" i="3"/>
  <c r="T391" i="3"/>
  <c r="T399" i="3"/>
  <c r="T407" i="3"/>
  <c r="T415" i="3"/>
  <c r="T423" i="3"/>
  <c r="T431" i="3"/>
  <c r="T439" i="3"/>
  <c r="T447" i="3"/>
  <c r="T455" i="3"/>
  <c r="T463" i="3"/>
  <c r="T471" i="3"/>
  <c r="T479" i="3"/>
  <c r="T487" i="3"/>
  <c r="T495" i="3"/>
  <c r="T503" i="3"/>
  <c r="T511" i="3"/>
  <c r="T519" i="3"/>
  <c r="T527" i="3"/>
  <c r="T535" i="3"/>
  <c r="M3" i="3"/>
  <c r="M11" i="3"/>
  <c r="M19" i="3"/>
  <c r="M27" i="3"/>
  <c r="M35" i="3"/>
  <c r="M43" i="3"/>
  <c r="M51" i="3"/>
  <c r="M59" i="3"/>
  <c r="M67" i="3"/>
  <c r="M75" i="3"/>
  <c r="M83" i="3"/>
  <c r="M91" i="3"/>
  <c r="M99" i="3"/>
  <c r="M107" i="3"/>
  <c r="T8" i="3"/>
  <c r="T16" i="3"/>
  <c r="T24" i="3"/>
  <c r="T32" i="3"/>
  <c r="T40" i="3"/>
  <c r="T48" i="3"/>
  <c r="T56" i="3"/>
  <c r="T64" i="3"/>
  <c r="T72" i="3"/>
  <c r="T80" i="3"/>
  <c r="T88" i="3"/>
  <c r="T96" i="3"/>
  <c r="T104" i="3"/>
  <c r="T112" i="3"/>
  <c r="T120" i="3"/>
  <c r="T128" i="3"/>
  <c r="T136" i="3"/>
  <c r="T144" i="3"/>
  <c r="T152" i="3"/>
  <c r="T160" i="3"/>
  <c r="T168" i="3"/>
  <c r="T176" i="3"/>
  <c r="T184" i="3"/>
  <c r="T192" i="3"/>
  <c r="T200" i="3"/>
  <c r="T208" i="3"/>
  <c r="T216" i="3"/>
  <c r="T224" i="3"/>
  <c r="T232" i="3"/>
  <c r="T240" i="3"/>
  <c r="T248" i="3"/>
  <c r="T256" i="3"/>
  <c r="T264" i="3"/>
  <c r="T272" i="3"/>
  <c r="T280" i="3"/>
  <c r="T288" i="3"/>
  <c r="T296" i="3"/>
  <c r="T304" i="3"/>
  <c r="T312" i="3"/>
  <c r="T320" i="3"/>
  <c r="T328" i="3"/>
  <c r="T336" i="3"/>
  <c r="T344" i="3"/>
  <c r="T352" i="3"/>
  <c r="T360" i="3"/>
  <c r="T368" i="3"/>
  <c r="T376" i="3"/>
  <c r="T384" i="3"/>
  <c r="T392" i="3"/>
  <c r="T400" i="3"/>
  <c r="T408" i="3"/>
  <c r="T416" i="3"/>
  <c r="T424" i="3"/>
  <c r="T432" i="3"/>
  <c r="T440" i="3"/>
  <c r="T448" i="3"/>
  <c r="T456" i="3"/>
  <c r="T464" i="3"/>
  <c r="T472" i="3"/>
  <c r="T480" i="3"/>
  <c r="T488" i="3"/>
  <c r="T496" i="3"/>
  <c r="T504" i="3"/>
  <c r="T512" i="3"/>
  <c r="T520" i="3"/>
  <c r="T528" i="3"/>
  <c r="T536" i="3"/>
  <c r="M4" i="3"/>
  <c r="M12" i="3"/>
  <c r="M20" i="3"/>
  <c r="M28" i="3"/>
  <c r="M36" i="3"/>
  <c r="M44" i="3"/>
  <c r="M52" i="3"/>
  <c r="M60" i="3"/>
  <c r="M68" i="3"/>
  <c r="M76" i="3"/>
  <c r="M84" i="3"/>
  <c r="M92" i="3"/>
  <c r="M100" i="3"/>
  <c r="M108" i="3"/>
  <c r="M116" i="3"/>
  <c r="T9" i="3"/>
  <c r="T58" i="3"/>
  <c r="T90" i="3"/>
  <c r="T122" i="3"/>
  <c r="T154" i="3"/>
  <c r="T186" i="3"/>
  <c r="T218" i="3"/>
  <c r="T241" i="3"/>
  <c r="T260" i="3"/>
  <c r="T282" i="3"/>
  <c r="T305" i="3"/>
  <c r="T324" i="3"/>
  <c r="T346" i="3"/>
  <c r="T369" i="3"/>
  <c r="T388" i="3"/>
  <c r="T406" i="3"/>
  <c r="T422" i="3"/>
  <c r="T438" i="3"/>
  <c r="T454" i="3"/>
  <c r="T470" i="3"/>
  <c r="T486" i="3"/>
  <c r="T502" i="3"/>
  <c r="T518" i="3"/>
  <c r="T534" i="3"/>
  <c r="M10" i="3"/>
  <c r="M23" i="3"/>
  <c r="M37" i="3"/>
  <c r="M48" i="3"/>
  <c r="M62" i="3"/>
  <c r="M74" i="3"/>
  <c r="M87" i="3"/>
  <c r="M101" i="3"/>
  <c r="M112" i="3"/>
  <c r="M123" i="3"/>
  <c r="M132" i="3"/>
  <c r="M141"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T17" i="3"/>
  <c r="T65" i="3"/>
  <c r="T97" i="3"/>
  <c r="T129" i="3"/>
  <c r="T161" i="3"/>
  <c r="T193" i="3"/>
  <c r="T220" i="3"/>
  <c r="T242" i="3"/>
  <c r="T265" i="3"/>
  <c r="T284" i="3"/>
  <c r="T306" i="3"/>
  <c r="T329" i="3"/>
  <c r="T348" i="3"/>
  <c r="T370" i="3"/>
  <c r="T393" i="3"/>
  <c r="T409" i="3"/>
  <c r="T425" i="3"/>
  <c r="T441" i="3"/>
  <c r="T457" i="3"/>
  <c r="T473" i="3"/>
  <c r="T489" i="3"/>
  <c r="T505" i="3"/>
  <c r="T521" i="3"/>
  <c r="T537" i="3"/>
  <c r="M13" i="3"/>
  <c r="M24" i="3"/>
  <c r="M38" i="3"/>
  <c r="M50" i="3"/>
  <c r="M63" i="3"/>
  <c r="M77" i="3"/>
  <c r="M88" i="3"/>
  <c r="M102" i="3"/>
  <c r="M114" i="3"/>
  <c r="M124" i="3"/>
  <c r="M133" i="3"/>
  <c r="M142"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0" i="3"/>
  <c r="M478" i="3"/>
  <c r="M486" i="3"/>
  <c r="M494" i="3"/>
  <c r="M502" i="3"/>
  <c r="M510" i="3"/>
  <c r="T25" i="3"/>
  <c r="T66" i="3"/>
  <c r="T98" i="3"/>
  <c r="T130" i="3"/>
  <c r="T162" i="3"/>
  <c r="T194" i="3"/>
  <c r="T225" i="3"/>
  <c r="T244" i="3"/>
  <c r="T266" i="3"/>
  <c r="T289" i="3"/>
  <c r="T308" i="3"/>
  <c r="T330" i="3"/>
  <c r="T353" i="3"/>
  <c r="T372" i="3"/>
  <c r="T394" i="3"/>
  <c r="T410" i="3"/>
  <c r="T426" i="3"/>
  <c r="T442" i="3"/>
  <c r="T458" i="3"/>
  <c r="T474" i="3"/>
  <c r="T490" i="3"/>
  <c r="T506" i="3"/>
  <c r="T522" i="3"/>
  <c r="T538" i="3"/>
  <c r="M14" i="3"/>
  <c r="M26" i="3"/>
  <c r="M39" i="3"/>
  <c r="M53" i="3"/>
  <c r="M64" i="3"/>
  <c r="M78" i="3"/>
  <c r="M90" i="3"/>
  <c r="M103" i="3"/>
  <c r="M115" i="3"/>
  <c r="M125" i="3"/>
  <c r="M134" i="3"/>
  <c r="M143"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39" i="3"/>
  <c r="M447" i="3"/>
  <c r="M455" i="3"/>
  <c r="M463" i="3"/>
  <c r="M471" i="3"/>
  <c r="M479" i="3"/>
  <c r="M487" i="3"/>
  <c r="M495" i="3"/>
  <c r="M503" i="3"/>
  <c r="M511" i="3"/>
  <c r="M519" i="3"/>
  <c r="M527" i="3"/>
  <c r="M535" i="3"/>
  <c r="T33" i="3"/>
  <c r="T73" i="3"/>
  <c r="T105" i="3"/>
  <c r="T137" i="3"/>
  <c r="T169" i="3"/>
  <c r="T201" i="3"/>
  <c r="T226" i="3"/>
  <c r="T249" i="3"/>
  <c r="T268" i="3"/>
  <c r="T290" i="3"/>
  <c r="T313" i="3"/>
  <c r="T332" i="3"/>
  <c r="T354" i="3"/>
  <c r="T377" i="3"/>
  <c r="T396" i="3"/>
  <c r="T412" i="3"/>
  <c r="T428" i="3"/>
  <c r="T444" i="3"/>
  <c r="T460" i="3"/>
  <c r="T476" i="3"/>
  <c r="T492" i="3"/>
  <c r="T508" i="3"/>
  <c r="T524" i="3"/>
  <c r="T540" i="3"/>
  <c r="M15" i="3"/>
  <c r="M29" i="3"/>
  <c r="M40" i="3"/>
  <c r="M54" i="3"/>
  <c r="M66" i="3"/>
  <c r="M79" i="3"/>
  <c r="M93" i="3"/>
  <c r="M104" i="3"/>
  <c r="M117" i="3"/>
  <c r="M126" i="3"/>
  <c r="M135" i="3"/>
  <c r="M144"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56" i="3"/>
  <c r="M464" i="3"/>
  <c r="M472" i="3"/>
  <c r="M480" i="3"/>
  <c r="M488" i="3"/>
  <c r="M496" i="3"/>
  <c r="M504" i="3"/>
  <c r="M512" i="3"/>
  <c r="M520" i="3"/>
  <c r="M528" i="3"/>
  <c r="M536" i="3"/>
  <c r="T49" i="3"/>
  <c r="T81" i="3"/>
  <c r="T113" i="3"/>
  <c r="T145" i="3"/>
  <c r="T177" i="3"/>
  <c r="T209" i="3"/>
  <c r="T233" i="3"/>
  <c r="T252" i="3"/>
  <c r="T274" i="3"/>
  <c r="T297" i="3"/>
  <c r="T316" i="3"/>
  <c r="T338" i="3"/>
  <c r="T361" i="3"/>
  <c r="T380" i="3"/>
  <c r="T401" i="3"/>
  <c r="T417" i="3"/>
  <c r="T433" i="3"/>
  <c r="T449" i="3"/>
  <c r="T465" i="3"/>
  <c r="T481" i="3"/>
  <c r="T497" i="3"/>
  <c r="T513" i="3"/>
  <c r="T529" i="3"/>
  <c r="M5" i="3"/>
  <c r="M18" i="3"/>
  <c r="M31" i="3"/>
  <c r="M45" i="3"/>
  <c r="M56" i="3"/>
  <c r="M70" i="3"/>
  <c r="M82" i="3"/>
  <c r="M95" i="3"/>
  <c r="M109" i="3"/>
  <c r="M119" i="3"/>
  <c r="M128" i="3"/>
  <c r="M138" i="3"/>
  <c r="M146"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34" i="3"/>
  <c r="M442" i="3"/>
  <c r="M450" i="3"/>
  <c r="M458" i="3"/>
  <c r="M466" i="3"/>
  <c r="M474" i="3"/>
  <c r="M482" i="3"/>
  <c r="M490" i="3"/>
  <c r="M498" i="3"/>
  <c r="M506" i="3"/>
  <c r="M514" i="3"/>
  <c r="M522" i="3"/>
  <c r="M530" i="3"/>
  <c r="M538" i="3"/>
  <c r="T50" i="3"/>
  <c r="T82" i="3"/>
  <c r="T114" i="3"/>
  <c r="T146" i="3"/>
  <c r="T178" i="3"/>
  <c r="T210" i="3"/>
  <c r="T234" i="3"/>
  <c r="T257" i="3"/>
  <c r="T276" i="3"/>
  <c r="T298" i="3"/>
  <c r="T321" i="3"/>
  <c r="T340" i="3"/>
  <c r="T362" i="3"/>
  <c r="T385" i="3"/>
  <c r="T402" i="3"/>
  <c r="T418" i="3"/>
  <c r="T434" i="3"/>
  <c r="T450" i="3"/>
  <c r="T466" i="3"/>
  <c r="T482" i="3"/>
  <c r="T498" i="3"/>
  <c r="T514" i="3"/>
  <c r="T530" i="3"/>
  <c r="M6" i="3"/>
  <c r="M21" i="3"/>
  <c r="M32" i="3"/>
  <c r="M46" i="3"/>
  <c r="M58" i="3"/>
  <c r="M71" i="3"/>
  <c r="M85" i="3"/>
  <c r="M96" i="3"/>
  <c r="M110" i="3"/>
  <c r="M120" i="3"/>
  <c r="M130" i="3"/>
  <c r="M139"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43" i="3"/>
  <c r="M451" i="3"/>
  <c r="M459" i="3"/>
  <c r="M467" i="3"/>
  <c r="M475" i="3"/>
  <c r="M483" i="3"/>
  <c r="M491" i="3"/>
  <c r="M499" i="3"/>
  <c r="M507" i="3"/>
  <c r="M515" i="3"/>
  <c r="T41" i="3"/>
  <c r="T170" i="3"/>
  <c r="T273" i="3"/>
  <c r="T356" i="3"/>
  <c r="T430" i="3"/>
  <c r="T494" i="3"/>
  <c r="M16" i="3"/>
  <c r="M69" i="3"/>
  <c r="M118" i="3"/>
  <c r="M153" i="3"/>
  <c r="M185" i="3"/>
  <c r="M217" i="3"/>
  <c r="M249" i="3"/>
  <c r="M281" i="3"/>
  <c r="M313" i="3"/>
  <c r="M345" i="3"/>
  <c r="M377" i="3"/>
  <c r="M409" i="3"/>
  <c r="M441" i="3"/>
  <c r="M469" i="3"/>
  <c r="M492" i="3"/>
  <c r="M513" i="3"/>
  <c r="M526" i="3"/>
  <c r="M540" i="3"/>
  <c r="F8" i="3"/>
  <c r="F16" i="3"/>
  <c r="F24" i="3"/>
  <c r="F32" i="3"/>
  <c r="F40" i="3"/>
  <c r="F48" i="3"/>
  <c r="F56" i="3"/>
  <c r="F64" i="3"/>
  <c r="F72" i="3"/>
  <c r="F80" i="3"/>
  <c r="F88" i="3"/>
  <c r="F96" i="3"/>
  <c r="F104" i="3"/>
  <c r="F112" i="3"/>
  <c r="F120" i="3"/>
  <c r="F128" i="3"/>
  <c r="F136" i="3"/>
  <c r="F144" i="3"/>
  <c r="F152" i="3"/>
  <c r="F160" i="3"/>
  <c r="F168" i="3"/>
  <c r="F176" i="3"/>
  <c r="F184" i="3"/>
  <c r="F192" i="3"/>
  <c r="F200" i="3"/>
  <c r="F208" i="3"/>
  <c r="F216" i="3"/>
  <c r="F224" i="3"/>
  <c r="F232" i="3"/>
  <c r="F240" i="3"/>
  <c r="F248" i="3"/>
  <c r="F256" i="3"/>
  <c r="F264" i="3"/>
  <c r="F272" i="3"/>
  <c r="F280" i="3"/>
  <c r="F288" i="3"/>
  <c r="F296" i="3"/>
  <c r="F304" i="3"/>
  <c r="F312" i="3"/>
  <c r="F320" i="3"/>
  <c r="F328" i="3"/>
  <c r="F336" i="3"/>
  <c r="F344" i="3"/>
  <c r="F352" i="3"/>
  <c r="F360" i="3"/>
  <c r="F368" i="3"/>
  <c r="F376" i="3"/>
  <c r="F384" i="3"/>
  <c r="F392" i="3"/>
  <c r="F400" i="3"/>
  <c r="F408" i="3"/>
  <c r="F416" i="3"/>
  <c r="F424" i="3"/>
  <c r="F432" i="3"/>
  <c r="F440" i="3"/>
  <c r="F448" i="3"/>
  <c r="F456" i="3"/>
  <c r="F464" i="3"/>
  <c r="F472" i="3"/>
  <c r="F480" i="3"/>
  <c r="F488" i="3"/>
  <c r="T57" i="3"/>
  <c r="T185" i="3"/>
  <c r="T281" i="3"/>
  <c r="T364" i="3"/>
  <c r="T436" i="3"/>
  <c r="T500" i="3"/>
  <c r="M22" i="3"/>
  <c r="M72" i="3"/>
  <c r="M122" i="3"/>
  <c r="M156" i="3"/>
  <c r="M188" i="3"/>
  <c r="M220" i="3"/>
  <c r="M252" i="3"/>
  <c r="M284" i="3"/>
  <c r="M316" i="3"/>
  <c r="M348" i="3"/>
  <c r="M380" i="3"/>
  <c r="M412" i="3"/>
  <c r="M444" i="3"/>
  <c r="M473" i="3"/>
  <c r="M493" i="3"/>
  <c r="M516" i="3"/>
  <c r="M529" i="3"/>
  <c r="M541" i="3"/>
  <c r="F9" i="3"/>
  <c r="F17" i="3"/>
  <c r="F25" i="3"/>
  <c r="F33" i="3"/>
  <c r="F41" i="3"/>
  <c r="F49" i="3"/>
  <c r="F57" i="3"/>
  <c r="F65" i="3"/>
  <c r="F73" i="3"/>
  <c r="F81" i="3"/>
  <c r="F89" i="3"/>
  <c r="F97" i="3"/>
  <c r="F105" i="3"/>
  <c r="F113" i="3"/>
  <c r="F121" i="3"/>
  <c r="F129" i="3"/>
  <c r="F137" i="3"/>
  <c r="F145" i="3"/>
  <c r="F153" i="3"/>
  <c r="F161" i="3"/>
  <c r="F169" i="3"/>
  <c r="F177" i="3"/>
  <c r="F185" i="3"/>
  <c r="F193" i="3"/>
  <c r="F201" i="3"/>
  <c r="F209" i="3"/>
  <c r="F217" i="3"/>
  <c r="F225" i="3"/>
  <c r="F233" i="3"/>
  <c r="F241" i="3"/>
  <c r="F249" i="3"/>
  <c r="F257" i="3"/>
  <c r="F265" i="3"/>
  <c r="F273" i="3"/>
  <c r="F281" i="3"/>
  <c r="F289" i="3"/>
  <c r="F297" i="3"/>
  <c r="F305" i="3"/>
  <c r="F313" i="3"/>
  <c r="F321" i="3"/>
  <c r="F329" i="3"/>
  <c r="F337" i="3"/>
  <c r="F345" i="3"/>
  <c r="F353" i="3"/>
  <c r="F361" i="3"/>
  <c r="F369" i="3"/>
  <c r="F377" i="3"/>
  <c r="F385" i="3"/>
  <c r="F393" i="3"/>
  <c r="F401" i="3"/>
  <c r="F409" i="3"/>
  <c r="F417" i="3"/>
  <c r="F425" i="3"/>
  <c r="F433" i="3"/>
  <c r="F441" i="3"/>
  <c r="F449" i="3"/>
  <c r="F457" i="3"/>
  <c r="F465" i="3"/>
  <c r="F473" i="3"/>
  <c r="F481" i="3"/>
  <c r="F489" i="3"/>
  <c r="T74" i="3"/>
  <c r="T202" i="3"/>
  <c r="T292" i="3"/>
  <c r="T378" i="3"/>
  <c r="T446" i="3"/>
  <c r="T510" i="3"/>
  <c r="M30" i="3"/>
  <c r="M80" i="3"/>
  <c r="M127" i="3"/>
  <c r="M161" i="3"/>
  <c r="M193" i="3"/>
  <c r="M225" i="3"/>
  <c r="M257" i="3"/>
  <c r="M289" i="3"/>
  <c r="M321" i="3"/>
  <c r="M353" i="3"/>
  <c r="M385" i="3"/>
  <c r="M417" i="3"/>
  <c r="M449" i="3"/>
  <c r="M476" i="3"/>
  <c r="M497" i="3"/>
  <c r="M517" i="3"/>
  <c r="M531" i="3"/>
  <c r="F2" i="3"/>
  <c r="F10" i="3"/>
  <c r="F18" i="3"/>
  <c r="F26" i="3"/>
  <c r="F34" i="3"/>
  <c r="F42" i="3"/>
  <c r="F50" i="3"/>
  <c r="F58" i="3"/>
  <c r="F66" i="3"/>
  <c r="F74" i="3"/>
  <c r="F82" i="3"/>
  <c r="F90" i="3"/>
  <c r="F98" i="3"/>
  <c r="F106" i="3"/>
  <c r="F114" i="3"/>
  <c r="F122" i="3"/>
  <c r="F130" i="3"/>
  <c r="F138" i="3"/>
  <c r="F146" i="3"/>
  <c r="F154" i="3"/>
  <c r="F162" i="3"/>
  <c r="F170" i="3"/>
  <c r="F178" i="3"/>
  <c r="F186" i="3"/>
  <c r="F194" i="3"/>
  <c r="F202" i="3"/>
  <c r="F210" i="3"/>
  <c r="F218" i="3"/>
  <c r="F226" i="3"/>
  <c r="F234" i="3"/>
  <c r="F242" i="3"/>
  <c r="F250" i="3"/>
  <c r="F258" i="3"/>
  <c r="F266" i="3"/>
  <c r="F274" i="3"/>
  <c r="F282" i="3"/>
  <c r="F290" i="3"/>
  <c r="F298" i="3"/>
  <c r="F306" i="3"/>
  <c r="F314" i="3"/>
  <c r="F322" i="3"/>
  <c r="F330" i="3"/>
  <c r="F338" i="3"/>
  <c r="F346" i="3"/>
  <c r="F354" i="3"/>
  <c r="F362" i="3"/>
  <c r="F370" i="3"/>
  <c r="F378" i="3"/>
  <c r="F386" i="3"/>
  <c r="F394" i="3"/>
  <c r="F402" i="3"/>
  <c r="F410" i="3"/>
  <c r="F418" i="3"/>
  <c r="F426" i="3"/>
  <c r="F434" i="3"/>
  <c r="F442" i="3"/>
  <c r="F450" i="3"/>
  <c r="F458" i="3"/>
  <c r="F466" i="3"/>
  <c r="F474" i="3"/>
  <c r="T89" i="3"/>
  <c r="T217" i="3"/>
  <c r="T300" i="3"/>
  <c r="T386" i="3"/>
  <c r="T452" i="3"/>
  <c r="T516" i="3"/>
  <c r="M34" i="3"/>
  <c r="M86" i="3"/>
  <c r="M131" i="3"/>
  <c r="M164" i="3"/>
  <c r="M196" i="3"/>
  <c r="M228" i="3"/>
  <c r="M260" i="3"/>
  <c r="M292" i="3"/>
  <c r="M324" i="3"/>
  <c r="M356" i="3"/>
  <c r="M388" i="3"/>
  <c r="M420" i="3"/>
  <c r="M452" i="3"/>
  <c r="M477" i="3"/>
  <c r="M500" i="3"/>
  <c r="M518" i="3"/>
  <c r="M532" i="3"/>
  <c r="F3" i="3"/>
  <c r="F11" i="3"/>
  <c r="F19" i="3"/>
  <c r="F27" i="3"/>
  <c r="F35" i="3"/>
  <c r="F43" i="3"/>
  <c r="F51" i="3"/>
  <c r="F59" i="3"/>
  <c r="F67" i="3"/>
  <c r="F75" i="3"/>
  <c r="F83" i="3"/>
  <c r="F91" i="3"/>
  <c r="F99" i="3"/>
  <c r="F107" i="3"/>
  <c r="F115" i="3"/>
  <c r="F123" i="3"/>
  <c r="F131" i="3"/>
  <c r="F139" i="3"/>
  <c r="F147" i="3"/>
  <c r="F155" i="3"/>
  <c r="F163" i="3"/>
  <c r="F171" i="3"/>
  <c r="F179" i="3"/>
  <c r="F187" i="3"/>
  <c r="F195" i="3"/>
  <c r="F203" i="3"/>
  <c r="F211" i="3"/>
  <c r="F219" i="3"/>
  <c r="F227" i="3"/>
  <c r="F235" i="3"/>
  <c r="F243" i="3"/>
  <c r="F251" i="3"/>
  <c r="F259" i="3"/>
  <c r="F267" i="3"/>
  <c r="F275" i="3"/>
  <c r="F283" i="3"/>
  <c r="F291" i="3"/>
  <c r="F299" i="3"/>
  <c r="F307" i="3"/>
  <c r="F315" i="3"/>
  <c r="F323" i="3"/>
  <c r="F331" i="3"/>
  <c r="F339" i="3"/>
  <c r="F347" i="3"/>
  <c r="F355" i="3"/>
  <c r="F363" i="3"/>
  <c r="F371" i="3"/>
  <c r="F379" i="3"/>
  <c r="F387" i="3"/>
  <c r="F395" i="3"/>
  <c r="F403" i="3"/>
  <c r="F411" i="3"/>
  <c r="F419" i="3"/>
  <c r="F427" i="3"/>
  <c r="F435" i="3"/>
  <c r="F443" i="3"/>
  <c r="F451" i="3"/>
  <c r="F459" i="3"/>
  <c r="F467" i="3"/>
  <c r="F475" i="3"/>
  <c r="T121" i="3"/>
  <c r="T236" i="3"/>
  <c r="T322" i="3"/>
  <c r="T404" i="3"/>
  <c r="T468" i="3"/>
  <c r="T532" i="3"/>
  <c r="M47" i="3"/>
  <c r="M98" i="3"/>
  <c r="M140" i="3"/>
  <c r="M172" i="3"/>
  <c r="M204" i="3"/>
  <c r="M236" i="3"/>
  <c r="M268" i="3"/>
  <c r="M300" i="3"/>
  <c r="M332" i="3"/>
  <c r="M364" i="3"/>
  <c r="M396" i="3"/>
  <c r="M428" i="3"/>
  <c r="M460" i="3"/>
  <c r="M484" i="3"/>
  <c r="M505" i="3"/>
  <c r="M523" i="3"/>
  <c r="M534" i="3"/>
  <c r="F5" i="3"/>
  <c r="F13" i="3"/>
  <c r="F21" i="3"/>
  <c r="F29" i="3"/>
  <c r="F37" i="3"/>
  <c r="F45" i="3"/>
  <c r="F53" i="3"/>
  <c r="F61" i="3"/>
  <c r="F69" i="3"/>
  <c r="F77" i="3"/>
  <c r="F85" i="3"/>
  <c r="F93" i="3"/>
  <c r="F101" i="3"/>
  <c r="F109" i="3"/>
  <c r="F117" i="3"/>
  <c r="F125" i="3"/>
  <c r="F133" i="3"/>
  <c r="F141" i="3"/>
  <c r="F149" i="3"/>
  <c r="F157" i="3"/>
  <c r="F165" i="3"/>
  <c r="F173" i="3"/>
  <c r="F181" i="3"/>
  <c r="F189" i="3"/>
  <c r="F197" i="3"/>
  <c r="F205" i="3"/>
  <c r="F213" i="3"/>
  <c r="F221" i="3"/>
  <c r="F229" i="3"/>
  <c r="F237" i="3"/>
  <c r="F245" i="3"/>
  <c r="F253" i="3"/>
  <c r="F261" i="3"/>
  <c r="F269" i="3"/>
  <c r="F277" i="3"/>
  <c r="F285" i="3"/>
  <c r="F293" i="3"/>
  <c r="F301" i="3"/>
  <c r="F309" i="3"/>
  <c r="F317" i="3"/>
  <c r="F325" i="3"/>
  <c r="F333" i="3"/>
  <c r="F341" i="3"/>
  <c r="F349" i="3"/>
  <c r="F357" i="3"/>
  <c r="F365" i="3"/>
  <c r="F373" i="3"/>
  <c r="F381" i="3"/>
  <c r="F389" i="3"/>
  <c r="F397" i="3"/>
  <c r="F405" i="3"/>
  <c r="F413" i="3"/>
  <c r="F421" i="3"/>
  <c r="F429" i="3"/>
  <c r="F437" i="3"/>
  <c r="T138" i="3"/>
  <c r="T250" i="3"/>
  <c r="T337" i="3"/>
  <c r="T414" i="3"/>
  <c r="T478" i="3"/>
  <c r="M2" i="3"/>
  <c r="M55" i="3"/>
  <c r="M106" i="3"/>
  <c r="M145" i="3"/>
  <c r="M177" i="3"/>
  <c r="M209" i="3"/>
  <c r="M241" i="3"/>
  <c r="M273" i="3"/>
  <c r="M305" i="3"/>
  <c r="M337" i="3"/>
  <c r="M369" i="3"/>
  <c r="M401" i="3"/>
  <c r="M433" i="3"/>
  <c r="M465" i="3"/>
  <c r="M485" i="3"/>
  <c r="M508" i="3"/>
  <c r="M524" i="3"/>
  <c r="M537" i="3"/>
  <c r="F6" i="3"/>
  <c r="F14" i="3"/>
  <c r="F22" i="3"/>
  <c r="F30" i="3"/>
  <c r="F38" i="3"/>
  <c r="F46" i="3"/>
  <c r="F54" i="3"/>
  <c r="F62" i="3"/>
  <c r="F70" i="3"/>
  <c r="F78" i="3"/>
  <c r="F86" i="3"/>
  <c r="F94" i="3"/>
  <c r="F102" i="3"/>
  <c r="F110" i="3"/>
  <c r="F118" i="3"/>
  <c r="F126" i="3"/>
  <c r="F134" i="3"/>
  <c r="F142" i="3"/>
  <c r="F150" i="3"/>
  <c r="F158" i="3"/>
  <c r="F166" i="3"/>
  <c r="F174" i="3"/>
  <c r="F182" i="3"/>
  <c r="F190" i="3"/>
  <c r="F198" i="3"/>
  <c r="F206" i="3"/>
  <c r="F214" i="3"/>
  <c r="F222" i="3"/>
  <c r="F230" i="3"/>
  <c r="F238" i="3"/>
  <c r="F246" i="3"/>
  <c r="F254" i="3"/>
  <c r="F262" i="3"/>
  <c r="F270" i="3"/>
  <c r="F278" i="3"/>
  <c r="F286" i="3"/>
  <c r="F294" i="3"/>
  <c r="F302" i="3"/>
  <c r="F310" i="3"/>
  <c r="F318" i="3"/>
  <c r="F326" i="3"/>
  <c r="F334" i="3"/>
  <c r="F342" i="3"/>
  <c r="F350" i="3"/>
  <c r="F358" i="3"/>
  <c r="F366" i="3"/>
  <c r="F374" i="3"/>
  <c r="F382" i="3"/>
  <c r="F390" i="3"/>
  <c r="F398" i="3"/>
  <c r="F406" i="3"/>
  <c r="F414" i="3"/>
  <c r="F422" i="3"/>
  <c r="F430" i="3"/>
  <c r="F438" i="3"/>
  <c r="F446" i="3"/>
  <c r="F454" i="3"/>
  <c r="F462" i="3"/>
  <c r="F470" i="3"/>
  <c r="T106" i="3"/>
  <c r="T462" i="3"/>
  <c r="M136" i="3"/>
  <c r="M265" i="3"/>
  <c r="M393" i="3"/>
  <c r="M501" i="3"/>
  <c r="F12" i="3"/>
  <c r="F44" i="3"/>
  <c r="F76" i="3"/>
  <c r="F108" i="3"/>
  <c r="F140" i="3"/>
  <c r="F172" i="3"/>
  <c r="F204" i="3"/>
  <c r="F236" i="3"/>
  <c r="F268" i="3"/>
  <c r="F300" i="3"/>
  <c r="F332" i="3"/>
  <c r="F364" i="3"/>
  <c r="F396" i="3"/>
  <c r="F428" i="3"/>
  <c r="F453" i="3"/>
  <c r="F476" i="3"/>
  <c r="F486" i="3"/>
  <c r="F496" i="3"/>
  <c r="F504" i="3"/>
  <c r="F512" i="3"/>
  <c r="F520" i="3"/>
  <c r="F528" i="3"/>
  <c r="F536" i="3"/>
  <c r="T153" i="3"/>
  <c r="T484" i="3"/>
  <c r="M148" i="3"/>
  <c r="M276" i="3"/>
  <c r="M404" i="3"/>
  <c r="M509" i="3"/>
  <c r="F15" i="3"/>
  <c r="F47" i="3"/>
  <c r="F79" i="3"/>
  <c r="F111" i="3"/>
  <c r="F143" i="3"/>
  <c r="F175" i="3"/>
  <c r="F207" i="3"/>
  <c r="F239" i="3"/>
  <c r="F271" i="3"/>
  <c r="F303" i="3"/>
  <c r="F335" i="3"/>
  <c r="F367" i="3"/>
  <c r="F399" i="3"/>
  <c r="F431" i="3"/>
  <c r="F455" i="3"/>
  <c r="F477" i="3"/>
  <c r="F487" i="3"/>
  <c r="F497" i="3"/>
  <c r="F505" i="3"/>
  <c r="F513" i="3"/>
  <c r="F521" i="3"/>
  <c r="F529" i="3"/>
  <c r="F537" i="3"/>
  <c r="T228" i="3"/>
  <c r="T526" i="3"/>
  <c r="M169" i="3"/>
  <c r="M297" i="3"/>
  <c r="M425" i="3"/>
  <c r="M521" i="3"/>
  <c r="F20" i="3"/>
  <c r="F52" i="3"/>
  <c r="F84" i="3"/>
  <c r="F116" i="3"/>
  <c r="F148" i="3"/>
  <c r="F180" i="3"/>
  <c r="F212" i="3"/>
  <c r="F244" i="3"/>
  <c r="F276" i="3"/>
  <c r="F308" i="3"/>
  <c r="F340" i="3"/>
  <c r="F372" i="3"/>
  <c r="F404" i="3"/>
  <c r="F436" i="3"/>
  <c r="F460" i="3"/>
  <c r="F478" i="3"/>
  <c r="F490" i="3"/>
  <c r="F498" i="3"/>
  <c r="F506" i="3"/>
  <c r="F514" i="3"/>
  <c r="F522" i="3"/>
  <c r="F530" i="3"/>
  <c r="F538" i="3"/>
  <c r="T258" i="3"/>
  <c r="M8" i="3"/>
  <c r="M180" i="3"/>
  <c r="M308" i="3"/>
  <c r="M436" i="3"/>
  <c r="M525" i="3"/>
  <c r="F23" i="3"/>
  <c r="F55" i="3"/>
  <c r="F87" i="3"/>
  <c r="F119" i="3"/>
  <c r="F151" i="3"/>
  <c r="F183" i="3"/>
  <c r="F215" i="3"/>
  <c r="F247" i="3"/>
  <c r="F279" i="3"/>
  <c r="F311" i="3"/>
  <c r="F343" i="3"/>
  <c r="F375" i="3"/>
  <c r="F407" i="3"/>
  <c r="F439" i="3"/>
  <c r="F461" i="3"/>
  <c r="F479" i="3"/>
  <c r="F491" i="3"/>
  <c r="F499" i="3"/>
  <c r="F507" i="3"/>
  <c r="F515" i="3"/>
  <c r="F523" i="3"/>
  <c r="F531" i="3"/>
  <c r="F539" i="3"/>
  <c r="T314" i="3"/>
  <c r="M42" i="3"/>
  <c r="M201" i="3"/>
  <c r="M329" i="3"/>
  <c r="M457" i="3"/>
  <c r="M533" i="3"/>
  <c r="F28" i="3"/>
  <c r="F60" i="3"/>
  <c r="F92" i="3"/>
  <c r="F124" i="3"/>
  <c r="F156" i="3"/>
  <c r="F188" i="3"/>
  <c r="F220" i="3"/>
  <c r="F252" i="3"/>
  <c r="F284" i="3"/>
  <c r="F316" i="3"/>
  <c r="F348" i="3"/>
  <c r="F380" i="3"/>
  <c r="F412" i="3"/>
  <c r="F444" i="3"/>
  <c r="F463" i="3"/>
  <c r="F482" i="3"/>
  <c r="F492" i="3"/>
  <c r="F500" i="3"/>
  <c r="F508" i="3"/>
  <c r="F516" i="3"/>
  <c r="F524" i="3"/>
  <c r="F532" i="3"/>
  <c r="F540" i="3"/>
  <c r="T345" i="3"/>
  <c r="M61" i="3"/>
  <c r="M212" i="3"/>
  <c r="M340" i="3"/>
  <c r="M468" i="3"/>
  <c r="M539" i="3"/>
  <c r="F31" i="3"/>
  <c r="F63" i="3"/>
  <c r="F95" i="3"/>
  <c r="F127" i="3"/>
  <c r="F159" i="3"/>
  <c r="F191" i="3"/>
  <c r="F223" i="3"/>
  <c r="F255" i="3"/>
  <c r="F287" i="3"/>
  <c r="F319" i="3"/>
  <c r="F351" i="3"/>
  <c r="F383" i="3"/>
  <c r="F415" i="3"/>
  <c r="F445" i="3"/>
  <c r="F468" i="3"/>
  <c r="F483" i="3"/>
  <c r="F493" i="3"/>
  <c r="F501" i="3"/>
  <c r="F509" i="3"/>
  <c r="F517" i="3"/>
  <c r="F525" i="3"/>
  <c r="F533" i="3"/>
  <c r="F541" i="3"/>
  <c r="T420" i="3"/>
  <c r="M111" i="3"/>
  <c r="M244" i="3"/>
  <c r="M372" i="3"/>
  <c r="M489" i="3"/>
  <c r="F7" i="3"/>
  <c r="F39" i="3"/>
  <c r="F71" i="3"/>
  <c r="F103" i="3"/>
  <c r="F135" i="3"/>
  <c r="F167" i="3"/>
  <c r="F199" i="3"/>
  <c r="F231" i="3"/>
  <c r="F263" i="3"/>
  <c r="F295" i="3"/>
  <c r="F327" i="3"/>
  <c r="F359" i="3"/>
  <c r="F391" i="3"/>
  <c r="F423" i="3"/>
  <c r="F452" i="3"/>
  <c r="F471" i="3"/>
  <c r="F485" i="3"/>
  <c r="F495" i="3"/>
  <c r="F503" i="3"/>
  <c r="F511" i="3"/>
  <c r="F519" i="3"/>
  <c r="F527" i="3"/>
  <c r="F535" i="3"/>
  <c r="T398" i="3"/>
  <c r="F100" i="3"/>
  <c r="F356" i="3"/>
  <c r="F510" i="3"/>
  <c r="M94" i="3"/>
  <c r="F132" i="3"/>
  <c r="F388" i="3"/>
  <c r="F518" i="3"/>
  <c r="M233" i="3"/>
  <c r="F164" i="3"/>
  <c r="F420" i="3"/>
  <c r="F526" i="3"/>
  <c r="M361" i="3"/>
  <c r="F196" i="3"/>
  <c r="F447" i="3"/>
  <c r="F534" i="3"/>
  <c r="M481" i="3"/>
  <c r="F228" i="3"/>
  <c r="F469" i="3"/>
  <c r="F4" i="3"/>
  <c r="F260" i="3"/>
  <c r="F484" i="3"/>
  <c r="F36" i="3"/>
  <c r="F292" i="3"/>
  <c r="F494" i="3"/>
  <c r="F68" i="3"/>
  <c r="F324" i="3"/>
  <c r="F502" i="3"/>
  <c r="B124" i="1"/>
  <c r="C124" i="1" s="1"/>
  <c r="B717" i="1"/>
  <c r="C717" i="1" s="1"/>
  <c r="B29" i="1"/>
  <c r="C29" i="1" s="1"/>
  <c r="B44" i="1"/>
  <c r="C44" i="1" s="1"/>
  <c r="B840" i="1"/>
  <c r="C840" i="1" s="1"/>
  <c r="B860" i="1"/>
  <c r="C860" i="1" s="1"/>
  <c r="B616" i="1"/>
  <c r="C616" i="1" s="1"/>
  <c r="B1454" i="1"/>
  <c r="C1454" i="1" s="1"/>
  <c r="B197" i="1"/>
  <c r="C197" i="1" s="1"/>
  <c r="B62" i="1"/>
  <c r="C62" i="1" s="1"/>
  <c r="B1113" i="1"/>
  <c r="C1113" i="1" s="1"/>
  <c r="B1522" i="1"/>
  <c r="C1522" i="1" s="1"/>
  <c r="B696" i="1"/>
  <c r="C696" i="1" s="1"/>
  <c r="B746" i="1"/>
  <c r="C746" i="1" s="1"/>
  <c r="B1542" i="1"/>
  <c r="C1542" i="1" s="1"/>
  <c r="B414" i="1"/>
  <c r="C414" i="1" s="1"/>
  <c r="B88" i="1"/>
  <c r="C88" i="1" s="1"/>
  <c r="B1185" i="1"/>
  <c r="C1185" i="1" s="1"/>
  <c r="B309" i="1"/>
  <c r="C309" i="1" s="1"/>
  <c r="B724" i="1"/>
  <c r="C724" i="1" s="1"/>
  <c r="B40" i="1"/>
  <c r="C40" i="1" s="1"/>
  <c r="B38" i="1"/>
  <c r="C38" i="1" s="1"/>
  <c r="B1001" i="1"/>
  <c r="C1001" i="1" s="1"/>
  <c r="B51" i="1"/>
  <c r="C51" i="1" s="1"/>
  <c r="B23" i="1"/>
  <c r="C23" i="1" s="1"/>
  <c r="B1509" i="1"/>
  <c r="C1509" i="1" s="1"/>
  <c r="B347" i="1"/>
  <c r="C347" i="1" s="1"/>
  <c r="B20" i="1"/>
  <c r="C20" i="1" s="1"/>
  <c r="B509" i="1"/>
  <c r="C509" i="1" s="1"/>
  <c r="B1540" i="1"/>
  <c r="C1540" i="1" s="1"/>
  <c r="B1551" i="1"/>
  <c r="C1551" i="1" s="1"/>
  <c r="B196" i="1"/>
  <c r="C196" i="1" s="1"/>
  <c r="B1517" i="1"/>
  <c r="C1517" i="1" s="1"/>
  <c r="B35" i="1"/>
  <c r="C35" i="1" s="1"/>
  <c r="B864" i="1"/>
  <c r="C864" i="1" s="1"/>
  <c r="B1000" i="1"/>
  <c r="C1000" i="1" s="1"/>
  <c r="B1025" i="1"/>
  <c r="C1025" i="1" s="1"/>
  <c r="B858" i="1"/>
  <c r="C858" i="1" s="1"/>
  <c r="B25" i="1"/>
  <c r="C25" i="1" s="1"/>
  <c r="B1231" i="1"/>
  <c r="C1231" i="1" s="1"/>
  <c r="B859" i="1"/>
  <c r="C859" i="1" s="1"/>
  <c r="B878" i="1"/>
  <c r="C878" i="1" s="1"/>
  <c r="B837" i="1"/>
  <c r="C837" i="1" s="1"/>
  <c r="B91" i="1"/>
  <c r="C91" i="1" s="1"/>
  <c r="B835" i="1"/>
  <c r="C835" i="1" s="1"/>
  <c r="B1474" i="1"/>
  <c r="C1474" i="1" s="1"/>
  <c r="B1247" i="1"/>
  <c r="C1247" i="1" s="1"/>
  <c r="B691" i="1"/>
  <c r="C691" i="1" s="1"/>
  <c r="B1121" i="1"/>
  <c r="C1121" i="1" s="1"/>
  <c r="B792" i="1"/>
  <c r="C792" i="1" s="1"/>
  <c r="B1135" i="1"/>
  <c r="C1135" i="1" s="1"/>
  <c r="B1191" i="1"/>
  <c r="C1191" i="1" s="1"/>
  <c r="B1218" i="1"/>
  <c r="C1218" i="1" s="1"/>
  <c r="B480" i="1"/>
  <c r="C480" i="1" s="1"/>
  <c r="B1484" i="1"/>
  <c r="C1484" i="1" s="1"/>
  <c r="B1204" i="1"/>
  <c r="C1204" i="1" s="1"/>
  <c r="B564" i="1"/>
  <c r="C564" i="1" s="1"/>
  <c r="B1013" i="1"/>
  <c r="C1013" i="1" s="1"/>
  <c r="B536" i="1"/>
  <c r="C536" i="1" s="1"/>
  <c r="B1189" i="1"/>
  <c r="C1189" i="1" s="1"/>
  <c r="B476" i="1"/>
  <c r="C476" i="1" s="1"/>
  <c r="B951" i="1"/>
  <c r="C951" i="1" s="1"/>
  <c r="B965" i="1"/>
  <c r="C965" i="1" s="1"/>
  <c r="B1266" i="1"/>
  <c r="C1266" i="1" s="1"/>
  <c r="B1462" i="1"/>
  <c r="C1462" i="1" s="1"/>
  <c r="B362" i="1"/>
  <c r="C362" i="1" s="1"/>
  <c r="B1175" i="1"/>
  <c r="C1175" i="1" s="1"/>
  <c r="B193" i="1"/>
  <c r="C193" i="1" s="1"/>
  <c r="B862" i="1"/>
  <c r="C862" i="1" s="1"/>
  <c r="B244" i="1"/>
  <c r="C244" i="1" s="1"/>
  <c r="B246" i="1"/>
  <c r="C246" i="1" s="1"/>
  <c r="B887" i="1"/>
  <c r="C887" i="1" s="1"/>
  <c r="B1443" i="1"/>
  <c r="C1443" i="1" s="1"/>
  <c r="B683" i="1"/>
  <c r="C683" i="1" s="1"/>
  <c r="B796" i="1"/>
  <c r="C796" i="1" s="1"/>
  <c r="B65" i="1"/>
  <c r="C65" i="1" s="1"/>
  <c r="B274" i="1"/>
  <c r="C274" i="1" s="1"/>
  <c r="B1085" i="1"/>
  <c r="C1085" i="1" s="1"/>
  <c r="B248" i="1"/>
  <c r="C248" i="1" s="1"/>
  <c r="B1392" i="1"/>
  <c r="C1392" i="1" s="1"/>
  <c r="B1385" i="1"/>
  <c r="C1385" i="1" s="1"/>
  <c r="B111" i="1"/>
  <c r="C111" i="1" s="1"/>
  <c r="B473" i="1"/>
  <c r="C473" i="1" s="1"/>
  <c r="B95" i="1"/>
  <c r="C95" i="1" s="1"/>
  <c r="B1556" i="1"/>
  <c r="C1556" i="1" s="1"/>
  <c r="B613" i="1"/>
  <c r="C613" i="1" s="1"/>
  <c r="B809" i="1"/>
  <c r="C809" i="1" s="1"/>
  <c r="B42" i="1"/>
  <c r="C42" i="1" s="1"/>
  <c r="B1344" i="1"/>
  <c r="C1344" i="1" s="1"/>
  <c r="B827" i="1"/>
  <c r="C827" i="1" s="1"/>
  <c r="B775" i="1"/>
  <c r="C775" i="1" s="1"/>
  <c r="B1223" i="1"/>
  <c r="C1223" i="1" s="1"/>
  <c r="B654" i="1"/>
  <c r="C654" i="1" s="1"/>
  <c r="B675" i="1"/>
  <c r="C675" i="1" s="1"/>
  <c r="B1217" i="1"/>
  <c r="C1217" i="1" s="1"/>
  <c r="B653" i="1"/>
  <c r="C653" i="1" s="1"/>
  <c r="B734" i="1"/>
  <c r="C734" i="1" s="1"/>
  <c r="B1557" i="1"/>
  <c r="C1557" i="1" s="1"/>
  <c r="B1564" i="1"/>
  <c r="C1564" i="1" s="1"/>
  <c r="B233" i="1"/>
  <c r="C233" i="1" s="1"/>
  <c r="B1379" i="1"/>
  <c r="C1379" i="1" s="1"/>
  <c r="B739" i="1"/>
  <c r="C739" i="1" s="1"/>
  <c r="B629" i="1"/>
  <c r="C629" i="1" s="1"/>
  <c r="B1202" i="1"/>
  <c r="C1202" i="1" s="1"/>
  <c r="B1332" i="1"/>
  <c r="C1332" i="1" s="1"/>
  <c r="B632" i="1"/>
  <c r="C632" i="1" s="1"/>
  <c r="B578" i="1"/>
  <c r="C578" i="1" s="1"/>
  <c r="B1411" i="1"/>
  <c r="C1411" i="1" s="1"/>
  <c r="B1128" i="1"/>
  <c r="C1128" i="1" s="1"/>
  <c r="B658" i="1"/>
  <c r="C658" i="1" s="1"/>
  <c r="B623" i="1"/>
  <c r="C623" i="1" s="1"/>
  <c r="B238" i="1"/>
  <c r="C238" i="1" s="1"/>
  <c r="B1057" i="1"/>
  <c r="C1057" i="1" s="1"/>
  <c r="B605" i="1"/>
  <c r="C605" i="1" s="1"/>
  <c r="B443" i="1"/>
  <c r="C443" i="1" s="1"/>
  <c r="B620" i="1"/>
  <c r="C620" i="1" s="1"/>
  <c r="B508" i="1"/>
  <c r="C508" i="1" s="1"/>
  <c r="B1261" i="1"/>
  <c r="C1261" i="1" s="1"/>
  <c r="B560" i="1"/>
  <c r="C560" i="1" s="1"/>
  <c r="B1193" i="1"/>
  <c r="C1193" i="1" s="1"/>
  <c r="B453" i="1"/>
  <c r="C453" i="1" s="1"/>
  <c r="B1317" i="1"/>
  <c r="C1317" i="1" s="1"/>
  <c r="B499" i="1"/>
  <c r="C499" i="1" s="1"/>
  <c r="B489" i="1"/>
  <c r="C489" i="1" s="1"/>
  <c r="B966" i="1"/>
  <c r="C966" i="1" s="1"/>
  <c r="B1164" i="1"/>
  <c r="C1164" i="1" s="1"/>
  <c r="B452" i="1"/>
  <c r="C452" i="1" s="1"/>
  <c r="B461" i="1"/>
  <c r="C461" i="1" s="1"/>
  <c r="B944" i="1"/>
  <c r="C944" i="1" s="1"/>
  <c r="B468" i="1"/>
  <c r="C468" i="1" s="1"/>
  <c r="B450" i="1"/>
  <c r="C450" i="1" s="1"/>
  <c r="B1373" i="1"/>
  <c r="C1373" i="1" s="1"/>
  <c r="B1480" i="1"/>
  <c r="C1480" i="1" s="1"/>
  <c r="B905" i="1"/>
  <c r="C905" i="1" s="1"/>
  <c r="B445" i="1"/>
  <c r="C445" i="1" s="1"/>
  <c r="B1305" i="1"/>
  <c r="C1305" i="1" s="1"/>
  <c r="B393" i="1"/>
  <c r="C393" i="1" s="1"/>
  <c r="B384" i="1"/>
  <c r="C384" i="1" s="1"/>
  <c r="B959" i="1"/>
  <c r="C959" i="1" s="1"/>
  <c r="B449" i="1"/>
  <c r="C449" i="1" s="1"/>
  <c r="B387" i="1"/>
  <c r="C387" i="1" s="1"/>
  <c r="B1267" i="1"/>
  <c r="C1267" i="1" s="1"/>
  <c r="B1469" i="1"/>
  <c r="C1469" i="1" s="1"/>
  <c r="B1461" i="1"/>
  <c r="C1461" i="1" s="1"/>
  <c r="B378" i="1"/>
  <c r="C378" i="1" s="1"/>
  <c r="B1274" i="1"/>
  <c r="C1274" i="1" s="1"/>
  <c r="B990" i="1"/>
  <c r="C990" i="1" s="1"/>
  <c r="B421" i="1"/>
  <c r="C421" i="1" s="1"/>
  <c r="B600" i="1"/>
  <c r="C600" i="1" s="1"/>
  <c r="B15" i="1"/>
  <c r="C15" i="1" s="1"/>
  <c r="B374" i="1"/>
  <c r="C374" i="1" s="1"/>
  <c r="B289" i="1"/>
  <c r="C289" i="1" s="1"/>
  <c r="B1134" i="1"/>
  <c r="C1134" i="1" s="1"/>
  <c r="B1381" i="1"/>
  <c r="C1381" i="1" s="1"/>
  <c r="B811" i="1"/>
  <c r="C811" i="1" s="1"/>
  <c r="B1324" i="1"/>
  <c r="C1324" i="1" s="1"/>
  <c r="B1208" i="1"/>
  <c r="C1208" i="1" s="1"/>
  <c r="B575" i="1"/>
  <c r="C575" i="1" s="1"/>
  <c r="B665" i="1"/>
  <c r="C665" i="1" s="1"/>
  <c r="B1412" i="1"/>
  <c r="C1412" i="1" s="1"/>
  <c r="B1042" i="1"/>
  <c r="C1042" i="1" s="1"/>
  <c r="B338" i="1"/>
  <c r="C338" i="1" s="1"/>
  <c r="B1151" i="1"/>
  <c r="C1151" i="1" s="1"/>
  <c r="B1174" i="1"/>
  <c r="C1174" i="1" s="1"/>
  <c r="B528" i="1"/>
  <c r="C528" i="1" s="1"/>
  <c r="B487" i="1"/>
  <c r="C487" i="1" s="1"/>
  <c r="B1377" i="1"/>
  <c r="C1377" i="1" s="1"/>
  <c r="B814" i="1"/>
  <c r="C814" i="1" s="1"/>
  <c r="B1368" i="1"/>
  <c r="C1368" i="1" s="1"/>
  <c r="B978" i="1"/>
  <c r="C978" i="1" s="1"/>
  <c r="B1544" i="1"/>
  <c r="C1544" i="1" s="1"/>
  <c r="B994" i="1"/>
  <c r="C994" i="1" s="1"/>
  <c r="B1059" i="1"/>
  <c r="C1059" i="1" s="1"/>
  <c r="B467" i="1"/>
  <c r="C467" i="1" s="1"/>
  <c r="B872" i="1"/>
  <c r="C872" i="1" s="1"/>
  <c r="B798" i="1"/>
  <c r="C798" i="1" s="1"/>
  <c r="B1366" i="1"/>
  <c r="C1366" i="1" s="1"/>
  <c r="B224" i="1"/>
  <c r="C224" i="1" s="1"/>
  <c r="B772" i="1"/>
  <c r="C772" i="1" s="1"/>
  <c r="B254" i="1"/>
  <c r="C254" i="1" s="1"/>
  <c r="B213" i="1"/>
  <c r="C213" i="1" s="1"/>
  <c r="B1361" i="1"/>
  <c r="C1361" i="1" s="1"/>
  <c r="B985" i="1"/>
  <c r="C985" i="1" s="1"/>
  <c r="B1442" i="1"/>
  <c r="C1442" i="1" s="1"/>
  <c r="B908" i="1"/>
  <c r="C908" i="1" s="1"/>
  <c r="B180" i="1"/>
  <c r="C180" i="1" s="1"/>
  <c r="B434" i="1"/>
  <c r="C434" i="1" s="1"/>
  <c r="B154" i="1"/>
  <c r="C154" i="1" s="1"/>
  <c r="B228" i="1"/>
  <c r="C228" i="1" s="1"/>
  <c r="B679" i="1"/>
  <c r="C679" i="1" s="1"/>
  <c r="B745" i="1"/>
  <c r="C745" i="1" s="1"/>
  <c r="B737" i="1"/>
  <c r="C737" i="1" s="1"/>
  <c r="B793" i="1"/>
  <c r="C793" i="1" s="1"/>
  <c r="B723" i="1"/>
  <c r="C723" i="1" s="1"/>
  <c r="B1156" i="1"/>
  <c r="C1156" i="1" s="1"/>
  <c r="B694" i="1"/>
  <c r="C694" i="1" s="1"/>
  <c r="B786" i="1"/>
  <c r="C786" i="1" s="1"/>
  <c r="B937" i="1"/>
  <c r="C937" i="1" s="1"/>
  <c r="B570" i="1"/>
  <c r="C570" i="1" s="1"/>
  <c r="B1263" i="1"/>
  <c r="C1263" i="1" s="1"/>
  <c r="B769" i="1"/>
  <c r="C769" i="1" s="1"/>
  <c r="B749" i="1"/>
  <c r="C749" i="1" s="1"/>
  <c r="B650" i="1"/>
  <c r="C650" i="1" s="1"/>
  <c r="B1520" i="1"/>
  <c r="C1520" i="1" s="1"/>
  <c r="B641" i="1"/>
  <c r="C641" i="1" s="1"/>
  <c r="B892" i="1"/>
  <c r="C892" i="1" s="1"/>
  <c r="B987" i="1"/>
  <c r="C987" i="1" s="1"/>
  <c r="B1420" i="1"/>
  <c r="C1420" i="1" s="1"/>
  <c r="B1002" i="1"/>
  <c r="C1002" i="1" s="1"/>
  <c r="B1139" i="1"/>
  <c r="C1139" i="1" s="1"/>
  <c r="B596" i="1"/>
  <c r="C596" i="1" s="1"/>
  <c r="B919" i="1"/>
  <c r="C919" i="1" s="1"/>
  <c r="B1043" i="1"/>
  <c r="C1043" i="1" s="1"/>
  <c r="B1166" i="1"/>
  <c r="C1166" i="1" s="1"/>
  <c r="B1058" i="1"/>
  <c r="C1058" i="1" s="1"/>
  <c r="B458" i="1"/>
  <c r="C458" i="1" s="1"/>
  <c r="B1037" i="1"/>
  <c r="C1037" i="1" s="1"/>
  <c r="B591" i="1"/>
  <c r="C591" i="1" s="1"/>
  <c r="B935" i="1"/>
  <c r="C935" i="1" s="1"/>
  <c r="B1141" i="1"/>
  <c r="C1141" i="1" s="1"/>
  <c r="B1310" i="1"/>
  <c r="C1310" i="1" s="1"/>
  <c r="B549" i="1"/>
  <c r="C549" i="1" s="1"/>
  <c r="B532" i="1"/>
  <c r="C532" i="1" s="1"/>
  <c r="B100" i="1"/>
  <c r="C100" i="1" s="1"/>
  <c r="B1070" i="1"/>
  <c r="C1070" i="1" s="1"/>
  <c r="B1022" i="1"/>
  <c r="C1022" i="1" s="1"/>
  <c r="B407" i="1"/>
  <c r="C407" i="1" s="1"/>
  <c r="B1023" i="1"/>
  <c r="C1023" i="1" s="1"/>
  <c r="B1313" i="1"/>
  <c r="C1313" i="1" s="1"/>
  <c r="B868" i="1"/>
  <c r="C868" i="1" s="1"/>
  <c r="B382" i="1"/>
  <c r="C382" i="1" s="1"/>
  <c r="B755" i="1"/>
  <c r="C755" i="1" s="1"/>
  <c r="B774" i="1"/>
  <c r="C774" i="1" s="1"/>
  <c r="B1329" i="1"/>
  <c r="C1329" i="1" s="1"/>
  <c r="B730" i="1"/>
  <c r="C730" i="1" s="1"/>
  <c r="B1250" i="1"/>
  <c r="C1250" i="1" s="1"/>
  <c r="B1249" i="1"/>
  <c r="C1249" i="1" s="1"/>
  <c r="B1343" i="1"/>
  <c r="C1343" i="1" s="1"/>
  <c r="B1251" i="1"/>
  <c r="C1251" i="1" s="1"/>
  <c r="B829" i="1"/>
  <c r="C829" i="1" s="1"/>
  <c r="B824" i="1"/>
  <c r="C824" i="1" s="1"/>
  <c r="B594" i="1"/>
  <c r="C594" i="1" s="1"/>
  <c r="B327" i="1"/>
  <c r="C327" i="1" s="1"/>
  <c r="B1148" i="1"/>
  <c r="C1148" i="1" s="1"/>
  <c r="B1145" i="1"/>
  <c r="C1145" i="1" s="1"/>
  <c r="B810" i="1"/>
  <c r="C810" i="1" s="1"/>
  <c r="B801" i="1"/>
  <c r="C801" i="1" s="1"/>
  <c r="B787" i="1"/>
  <c r="C787" i="1" s="1"/>
  <c r="B909" i="1"/>
  <c r="C909" i="1" s="1"/>
  <c r="B1338" i="1"/>
  <c r="C1338" i="1" s="1"/>
  <c r="B1094" i="1"/>
  <c r="C1094" i="1" s="1"/>
  <c r="B816" i="1"/>
  <c r="C816" i="1" s="1"/>
  <c r="B752" i="1"/>
  <c r="C752" i="1" s="1"/>
  <c r="B136" i="1"/>
  <c r="C136" i="1" s="1"/>
  <c r="B891" i="1"/>
  <c r="C891" i="1" s="1"/>
  <c r="B1393" i="1"/>
  <c r="C1393" i="1" s="1"/>
  <c r="B748" i="1"/>
  <c r="C748" i="1" s="1"/>
  <c r="B648" i="1"/>
  <c r="C648" i="1" s="1"/>
  <c r="B1537" i="1"/>
  <c r="C1537" i="1" s="1"/>
  <c r="B552" i="1"/>
  <c r="C552" i="1" s="1"/>
  <c r="B608" i="1"/>
  <c r="C608" i="1" s="1"/>
  <c r="B417" i="1"/>
  <c r="C417" i="1" s="1"/>
  <c r="B470" i="1"/>
  <c r="C470" i="1" s="1"/>
  <c r="B857" i="1"/>
  <c r="C857" i="1" s="1"/>
  <c r="B258" i="1"/>
  <c r="C258" i="1" s="1"/>
  <c r="B701" i="1"/>
  <c r="C701" i="1" s="1"/>
  <c r="B791" i="1"/>
  <c r="C791" i="1" s="1"/>
  <c r="B815" i="1"/>
  <c r="C815" i="1" s="1"/>
  <c r="B974" i="1"/>
  <c r="C974" i="1" s="1"/>
  <c r="B580" i="1"/>
  <c r="C580" i="1" s="1"/>
  <c r="B1212" i="1"/>
  <c r="C1212" i="1" s="1"/>
  <c r="B1150" i="1"/>
  <c r="C1150" i="1" s="1"/>
  <c r="B1099" i="1"/>
  <c r="C1099" i="1" s="1"/>
  <c r="B1235" i="1"/>
  <c r="C1235" i="1" s="1"/>
  <c r="B1190" i="1"/>
  <c r="C1190" i="1" s="1"/>
  <c r="B1183" i="1"/>
  <c r="C1183" i="1" s="1"/>
  <c r="B1140" i="1"/>
  <c r="C1140" i="1" s="1"/>
  <c r="B1201" i="1"/>
  <c r="C1201" i="1" s="1"/>
  <c r="B1100" i="1"/>
  <c r="C1100" i="1" s="1"/>
  <c r="B1314" i="1"/>
  <c r="C1314" i="1" s="1"/>
  <c r="B567" i="1"/>
  <c r="C567" i="1" s="1"/>
  <c r="B1053" i="1"/>
  <c r="C1053" i="1" s="1"/>
  <c r="B584" i="1"/>
  <c r="C584" i="1" s="1"/>
  <c r="B474" i="1"/>
  <c r="C474" i="1" s="1"/>
  <c r="B335" i="1"/>
  <c r="C335" i="1" s="1"/>
  <c r="B582" i="1"/>
  <c r="C582" i="1" s="1"/>
  <c r="B1102" i="1"/>
  <c r="C1102" i="1" s="1"/>
  <c r="B1107" i="1"/>
  <c r="C1107" i="1" s="1"/>
  <c r="B587" i="1"/>
  <c r="C587" i="1" s="1"/>
  <c r="B601" i="1"/>
  <c r="C601" i="1" s="1"/>
  <c r="B1319" i="1"/>
  <c r="C1319" i="1" s="1"/>
  <c r="B472" i="1"/>
  <c r="C472" i="1" s="1"/>
  <c r="B462" i="1"/>
  <c r="C462" i="1" s="1"/>
  <c r="B522" i="1"/>
  <c r="C522" i="1" s="1"/>
  <c r="B1270" i="1"/>
  <c r="C1270" i="1" s="1"/>
  <c r="B1178" i="1"/>
  <c r="C1178" i="1" s="1"/>
  <c r="B1089" i="1"/>
  <c r="C1089" i="1" s="1"/>
  <c r="B283" i="1"/>
  <c r="C283" i="1" s="1"/>
  <c r="B1559" i="1"/>
  <c r="C1559" i="1" s="1"/>
  <c r="B1506" i="1"/>
  <c r="C1506" i="1" s="1"/>
  <c r="B1040" i="1"/>
  <c r="C1040" i="1" s="1"/>
  <c r="B1362" i="1"/>
  <c r="C1362" i="1" s="1"/>
  <c r="B411" i="1"/>
  <c r="C411" i="1" s="1"/>
  <c r="B1369" i="1"/>
  <c r="C1369" i="1" s="1"/>
  <c r="B1523" i="1"/>
  <c r="C1523" i="1" s="1"/>
  <c r="B1024" i="1"/>
  <c r="C1024" i="1" s="1"/>
  <c r="B956" i="1"/>
  <c r="C956" i="1" s="1"/>
  <c r="B1459" i="1"/>
  <c r="C1459" i="1" s="1"/>
  <c r="B253" i="1"/>
  <c r="C253" i="1" s="1"/>
  <c r="B186" i="1"/>
  <c r="C186" i="1" s="1"/>
  <c r="B355" i="1"/>
  <c r="C355" i="1" s="1"/>
  <c r="B1257" i="1"/>
  <c r="C1257" i="1" s="1"/>
  <c r="B282" i="1"/>
  <c r="C282" i="1" s="1"/>
  <c r="B900" i="1"/>
  <c r="C900" i="1" s="1"/>
  <c r="B348" i="1"/>
  <c r="C348" i="1" s="1"/>
  <c r="B349" i="1"/>
  <c r="C349" i="1" s="1"/>
  <c r="B1538" i="1"/>
  <c r="C1538" i="1" s="1"/>
  <c r="B323" i="1"/>
  <c r="C323" i="1" s="1"/>
  <c r="B788" i="1"/>
  <c r="C788" i="1" s="1"/>
  <c r="B732" i="1"/>
  <c r="C732" i="1" s="1"/>
  <c r="B1283" i="1"/>
  <c r="C1283" i="1" s="1"/>
  <c r="B1387" i="1"/>
  <c r="C1387" i="1" s="1"/>
  <c r="B715" i="1"/>
  <c r="C715" i="1" s="1"/>
  <c r="B241" i="1"/>
  <c r="C241" i="1" s="1"/>
  <c r="B505" i="1"/>
  <c r="C505" i="1" s="1"/>
  <c r="C1568" i="1"/>
  <c r="B388" i="1"/>
  <c r="C388" i="1" s="1"/>
  <c r="B297" i="1"/>
  <c r="C297" i="1" s="1"/>
  <c r="B833" i="1"/>
  <c r="C833" i="1" s="1"/>
  <c r="B130" i="1"/>
  <c r="C130" i="1" s="1"/>
  <c r="B185" i="1"/>
  <c r="C185" i="1" s="1"/>
  <c r="B1502" i="1"/>
  <c r="C1502" i="1" s="1"/>
  <c r="B1448" i="1"/>
  <c r="C1448" i="1" s="1"/>
  <c r="B122" i="1"/>
  <c r="C122" i="1" s="1"/>
  <c r="B216" i="1"/>
  <c r="C216" i="1" s="1"/>
  <c r="B525" i="1"/>
  <c r="C525" i="1" s="1"/>
  <c r="B662" i="1"/>
  <c r="C662" i="1" s="1"/>
  <c r="B836" i="1"/>
  <c r="C836" i="1" s="1"/>
  <c r="B1129" i="1"/>
  <c r="C1129" i="1" s="1"/>
  <c r="B668" i="1"/>
  <c r="C668" i="1" s="1"/>
  <c r="B581" i="1"/>
  <c r="C581" i="1" s="1"/>
  <c r="B1300" i="1"/>
  <c r="C1300" i="1" s="1"/>
  <c r="B1195" i="1"/>
  <c r="C1195" i="1" s="1"/>
  <c r="B1342" i="1"/>
  <c r="C1342" i="1" s="1"/>
  <c r="B1346" i="1"/>
  <c r="C1346" i="1" s="1"/>
  <c r="B711" i="1"/>
  <c r="C711" i="1" s="1"/>
  <c r="B1416" i="1"/>
  <c r="C1416" i="1" s="1"/>
  <c r="B938" i="1"/>
  <c r="C938" i="1" s="1"/>
  <c r="B589" i="1"/>
  <c r="C589" i="1" s="1"/>
  <c r="B464" i="1"/>
  <c r="C464" i="1" s="1"/>
  <c r="B807" i="1"/>
  <c r="C807" i="1" s="1"/>
  <c r="B818" i="1"/>
  <c r="C818" i="1" s="1"/>
  <c r="B972" i="1"/>
  <c r="C972" i="1" s="1"/>
  <c r="B763" i="1"/>
  <c r="C763" i="1" s="1"/>
  <c r="B1090" i="1"/>
  <c r="C1090" i="1" s="1"/>
  <c r="B1337" i="1"/>
  <c r="C1337" i="1" s="1"/>
  <c r="B936" i="1"/>
  <c r="C936" i="1" s="1"/>
  <c r="B1079" i="1"/>
  <c r="C1079" i="1" s="1"/>
  <c r="B39" i="1"/>
  <c r="C39" i="1" s="1"/>
  <c r="B771" i="1"/>
  <c r="C771" i="1" s="1"/>
  <c r="B1248" i="1"/>
  <c r="C1248" i="1" s="1"/>
  <c r="B1162" i="1"/>
  <c r="C1162" i="1" s="1"/>
  <c r="B799" i="1"/>
  <c r="C799" i="1" s="1"/>
  <c r="B1071" i="1"/>
  <c r="C1071" i="1" s="1"/>
  <c r="B1244" i="1"/>
  <c r="C1244" i="1" s="1"/>
  <c r="B531" i="1"/>
  <c r="C531" i="1" s="1"/>
  <c r="B1123" i="1"/>
  <c r="C1123" i="1" s="1"/>
  <c r="B1007" i="1"/>
  <c r="C1007" i="1" s="1"/>
  <c r="B1075" i="1"/>
  <c r="C1075" i="1" s="1"/>
  <c r="B562" i="1"/>
  <c r="C562" i="1" s="1"/>
  <c r="B529" i="1"/>
  <c r="C529" i="1" s="1"/>
  <c r="B1321" i="1"/>
  <c r="C1321" i="1" s="1"/>
  <c r="B695" i="1"/>
  <c r="C695" i="1" s="1"/>
  <c r="B1165" i="1"/>
  <c r="C1165" i="1" s="1"/>
  <c r="B977" i="1"/>
  <c r="C977" i="1" s="1"/>
  <c r="B1492" i="1"/>
  <c r="C1492" i="1" s="1"/>
  <c r="B756" i="1"/>
  <c r="C756" i="1" s="1"/>
  <c r="B729" i="1"/>
  <c r="C729" i="1" s="1"/>
  <c r="B1470" i="1"/>
  <c r="C1470" i="1" s="1"/>
  <c r="B913" i="1"/>
  <c r="C913" i="1" s="1"/>
  <c r="B369" i="1"/>
  <c r="C369" i="1" s="1"/>
  <c r="B324" i="1"/>
  <c r="C324" i="1" s="1"/>
  <c r="B1290" i="1"/>
  <c r="C1290" i="1" s="1"/>
  <c r="B1253" i="1"/>
  <c r="C1253" i="1" s="1"/>
  <c r="B700" i="1"/>
  <c r="C700" i="1" s="1"/>
  <c r="B720" i="1"/>
  <c r="C720" i="1" s="1"/>
  <c r="B593" i="1"/>
  <c r="C593" i="1" s="1"/>
  <c r="B1417" i="1"/>
  <c r="C1417" i="1" s="1"/>
  <c r="B1149" i="1"/>
  <c r="C1149" i="1" s="1"/>
  <c r="B1221" i="1"/>
  <c r="C1221" i="1" s="1"/>
  <c r="B576" i="1"/>
  <c r="C576" i="1" s="1"/>
  <c r="B1153" i="1"/>
  <c r="C1153" i="1" s="1"/>
  <c r="B1125" i="1"/>
  <c r="C1125" i="1" s="1"/>
  <c r="B1535" i="1"/>
  <c r="C1535" i="1" s="1"/>
  <c r="B751" i="1"/>
  <c r="C751" i="1" s="1"/>
  <c r="B705" i="1"/>
  <c r="C705" i="1" s="1"/>
  <c r="B1093" i="1"/>
  <c r="C1093" i="1" s="1"/>
  <c r="B1334" i="1"/>
  <c r="C1334" i="1" s="1"/>
  <c r="B934" i="1"/>
  <c r="C934" i="1" s="1"/>
  <c r="B1055" i="1"/>
  <c r="C1055" i="1" s="1"/>
  <c r="B1010" i="1"/>
  <c r="C1010" i="1" s="1"/>
  <c r="B1127" i="1"/>
  <c r="C1127" i="1" s="1"/>
  <c r="B1194" i="1"/>
  <c r="C1194" i="1" s="1"/>
  <c r="B477" i="1"/>
  <c r="C477" i="1" s="1"/>
  <c r="B503" i="1"/>
  <c r="C503" i="1" s="1"/>
  <c r="B1287" i="1"/>
  <c r="C1287" i="1" s="1"/>
  <c r="B1276" i="1"/>
  <c r="C1276" i="1" s="1"/>
  <c r="B1275" i="1"/>
  <c r="C1275" i="1" s="1"/>
  <c r="B1152" i="1"/>
  <c r="C1152" i="1" s="1"/>
  <c r="B544" i="1"/>
  <c r="C544" i="1" s="1"/>
  <c r="B1137" i="1"/>
  <c r="C1137" i="1" s="1"/>
  <c r="B506" i="1"/>
  <c r="C506" i="1" s="1"/>
  <c r="B26" i="1"/>
  <c r="C26" i="1" s="1"/>
  <c r="B782" i="1"/>
  <c r="C782" i="1" s="1"/>
  <c r="B757" i="1"/>
  <c r="C757" i="1" s="1"/>
  <c r="B513" i="1"/>
  <c r="C513" i="1" s="1"/>
  <c r="B1269" i="1"/>
  <c r="C1269" i="1" s="1"/>
  <c r="B1439" i="1"/>
  <c r="C1439" i="1" s="1"/>
  <c r="B982" i="1"/>
  <c r="C982" i="1" s="1"/>
  <c r="B485" i="1"/>
  <c r="C485" i="1" s="1"/>
  <c r="B455" i="1"/>
  <c r="C455" i="1" s="1"/>
  <c r="B1447" i="1"/>
  <c r="C1447" i="1" s="1"/>
  <c r="B1508" i="1"/>
  <c r="C1508" i="1" s="1"/>
  <c r="B1240" i="1"/>
  <c r="C1240" i="1" s="1"/>
  <c r="B1478" i="1"/>
  <c r="C1478" i="1" s="1"/>
  <c r="B1406" i="1"/>
  <c r="C1406" i="1" s="1"/>
  <c r="B318" i="1"/>
  <c r="C318" i="1" s="1"/>
  <c r="B1438" i="1"/>
  <c r="C1438" i="1" s="1"/>
  <c r="B380" i="1"/>
  <c r="C380" i="1" s="1"/>
  <c r="B1467" i="1"/>
  <c r="C1467" i="1" s="1"/>
  <c r="B973" i="1"/>
  <c r="C973" i="1" s="1"/>
  <c r="B638" i="1"/>
  <c r="C638" i="1" s="1"/>
  <c r="B603" i="1"/>
  <c r="C603" i="1" s="1"/>
  <c r="B172" i="1"/>
  <c r="C172" i="1" s="1"/>
  <c r="B406" i="1"/>
  <c r="C406" i="1" s="1"/>
  <c r="B1426" i="1"/>
  <c r="C1426" i="1" s="1"/>
  <c r="B340" i="1"/>
  <c r="C340" i="1" s="1"/>
  <c r="B1389" i="1"/>
  <c r="C1389" i="1" s="1"/>
  <c r="B942" i="1"/>
  <c r="C942" i="1" s="1"/>
  <c r="B200" i="1"/>
  <c r="C200" i="1" s="1"/>
  <c r="B459" i="1"/>
  <c r="C459" i="1" s="1"/>
  <c r="B220" i="1"/>
  <c r="C220" i="1" s="1"/>
  <c r="B320" i="1"/>
  <c r="C320" i="1" s="1"/>
  <c r="B559" i="1"/>
  <c r="C559" i="1" s="1"/>
  <c r="B631" i="1"/>
  <c r="C631" i="1" s="1"/>
  <c r="B440" i="1"/>
  <c r="C440" i="1" s="1"/>
  <c r="B232" i="1"/>
  <c r="C232" i="1" s="1"/>
  <c r="B698" i="1"/>
  <c r="C698" i="1" s="1"/>
  <c r="B707" i="1"/>
  <c r="C707" i="1" s="1"/>
  <c r="B1234" i="1"/>
  <c r="C1234" i="1" s="1"/>
  <c r="B1233" i="1"/>
  <c r="C1233" i="1" s="1"/>
  <c r="B86" i="1"/>
  <c r="C86" i="1" s="1"/>
  <c r="B202" i="1"/>
  <c r="C202" i="1" s="1"/>
  <c r="B895" i="1"/>
  <c r="C895" i="1" s="1"/>
  <c r="B969" i="1"/>
  <c r="C969" i="1" s="1"/>
  <c r="B1160" i="1"/>
  <c r="C1160" i="1" s="1"/>
  <c r="B1252" i="1"/>
  <c r="C1252" i="1" s="1"/>
  <c r="B744" i="1"/>
  <c r="C744" i="1" s="1"/>
  <c r="B1347" i="1"/>
  <c r="C1347" i="1" s="1"/>
  <c r="B736" i="1"/>
  <c r="C736" i="1" s="1"/>
  <c r="B1246" i="1"/>
  <c r="C1246" i="1" s="1"/>
  <c r="B781" i="1"/>
  <c r="C781" i="1" s="1"/>
  <c r="B726" i="1"/>
  <c r="C726" i="1" s="1"/>
  <c r="B806" i="1"/>
  <c r="C806" i="1" s="1"/>
  <c r="B699" i="1"/>
  <c r="C699" i="1" s="1"/>
  <c r="B893" i="1"/>
  <c r="C893" i="1" s="1"/>
  <c r="B768" i="1"/>
  <c r="C768" i="1" s="1"/>
  <c r="B776" i="1"/>
  <c r="C776" i="1" s="1"/>
  <c r="B702" i="1"/>
  <c r="C702" i="1" s="1"/>
  <c r="B1228" i="1"/>
  <c r="C1228" i="1" s="1"/>
  <c r="B1341" i="1"/>
  <c r="C1341" i="1" s="1"/>
  <c r="B800" i="1"/>
  <c r="C800" i="1" s="1"/>
  <c r="B1136" i="1"/>
  <c r="C1136" i="1" s="1"/>
  <c r="B1226" i="1"/>
  <c r="C1226" i="1" s="1"/>
  <c r="B808" i="1"/>
  <c r="C808" i="1" s="1"/>
  <c r="B1082" i="1"/>
  <c r="C1082" i="1" s="1"/>
  <c r="B607" i="1"/>
  <c r="C607" i="1" s="1"/>
  <c r="B140" i="1"/>
  <c r="C140" i="1" s="1"/>
  <c r="B1146" i="1"/>
  <c r="C1146" i="1" s="1"/>
  <c r="B1336" i="1"/>
  <c r="C1336" i="1" s="1"/>
  <c r="B961" i="1"/>
  <c r="C961" i="1" s="1"/>
  <c r="B761" i="1"/>
  <c r="C761" i="1" s="1"/>
  <c r="B588" i="1"/>
  <c r="C588" i="1" s="1"/>
  <c r="B1119" i="1"/>
  <c r="C1119" i="1" s="1"/>
  <c r="B779" i="1"/>
  <c r="C779" i="1" s="1"/>
  <c r="B817" i="1"/>
  <c r="C817" i="1" s="1"/>
  <c r="B790" i="1"/>
  <c r="C790" i="1" s="1"/>
  <c r="B735" i="1"/>
  <c r="C735" i="1" s="1"/>
  <c r="B708" i="1"/>
  <c r="C708" i="1" s="1"/>
  <c r="B1315" i="1"/>
  <c r="C1315" i="1" s="1"/>
  <c r="B1181" i="1"/>
  <c r="C1181" i="1" s="1"/>
  <c r="B1044" i="1"/>
  <c r="C1044" i="1" s="1"/>
  <c r="B1318" i="1"/>
  <c r="C1318" i="1" s="1"/>
  <c r="B1049" i="1"/>
  <c r="C1049" i="1" s="1"/>
  <c r="B1399" i="1"/>
  <c r="C1399" i="1" s="1"/>
  <c r="B1091" i="1"/>
  <c r="C1091" i="1" s="1"/>
  <c r="B1394" i="1"/>
  <c r="C1394" i="1" s="1"/>
  <c r="B1056" i="1"/>
  <c r="C1056" i="1" s="1"/>
  <c r="B328" i="1"/>
  <c r="C328" i="1" s="1"/>
  <c r="B1067" i="1"/>
  <c r="C1067" i="1" s="1"/>
  <c r="B410" i="1"/>
  <c r="C410" i="1" s="1"/>
  <c r="B170" i="1"/>
  <c r="C170" i="1" s="1"/>
  <c r="B981" i="1"/>
  <c r="C981" i="1" s="1"/>
  <c r="B317" i="1"/>
  <c r="C317" i="1" s="1"/>
  <c r="B1289" i="1"/>
  <c r="C1289" i="1" s="1"/>
  <c r="B750" i="1"/>
  <c r="C750" i="1" s="1"/>
  <c r="B805" i="1"/>
  <c r="C805" i="1" s="1"/>
  <c r="B709" i="1"/>
  <c r="C709" i="1" s="1"/>
  <c r="B682" i="1"/>
  <c r="C682" i="1" s="1"/>
  <c r="B1131" i="1"/>
  <c r="C1131" i="1" s="1"/>
  <c r="B1504" i="1"/>
  <c r="C1504" i="1" s="1"/>
  <c r="B1039" i="1"/>
  <c r="C1039" i="1" s="1"/>
  <c r="B831" i="1"/>
  <c r="C831" i="1" s="1"/>
  <c r="B1433" i="1"/>
  <c r="C1433" i="1" s="1"/>
  <c r="B1220" i="1"/>
  <c r="C1220" i="1" s="1"/>
  <c r="B1142" i="1"/>
  <c r="C1142" i="1" s="1"/>
  <c r="B847" i="1"/>
  <c r="C847" i="1" s="1"/>
  <c r="B592" i="1"/>
  <c r="C592" i="1" s="1"/>
  <c r="B1111" i="1"/>
  <c r="C1111" i="1" s="1"/>
  <c r="B1147" i="1"/>
  <c r="C1147" i="1" s="1"/>
  <c r="B11" i="1"/>
  <c r="C11" i="1" s="1"/>
  <c r="B820" i="1"/>
  <c r="C820" i="1" s="1"/>
  <c r="B9" i="1"/>
  <c r="C9" i="1" s="1"/>
  <c r="B759" i="1"/>
  <c r="C759" i="1" s="1"/>
  <c r="B599" i="1"/>
  <c r="C599" i="1" s="1"/>
  <c r="B1086" i="1"/>
  <c r="C1086" i="1" s="1"/>
  <c r="B1210" i="1"/>
  <c r="C1210" i="1" s="1"/>
  <c r="B960" i="1"/>
  <c r="C960" i="1" s="1"/>
  <c r="B1197" i="1"/>
  <c r="C1197" i="1" s="1"/>
  <c r="B1046" i="1"/>
  <c r="C1046" i="1" s="1"/>
  <c r="B524" i="1"/>
  <c r="C524" i="1" s="1"/>
  <c r="B1335" i="1"/>
  <c r="C1335" i="1" s="1"/>
  <c r="B1081" i="1"/>
  <c r="C1081" i="1" s="1"/>
  <c r="B948" i="1"/>
  <c r="C948" i="1" s="1"/>
  <c r="B1088" i="1"/>
  <c r="C1088" i="1" s="1"/>
  <c r="B1279" i="1"/>
  <c r="C1279" i="1" s="1"/>
  <c r="B652" i="1"/>
  <c r="C652" i="1" s="1"/>
  <c r="B645" i="1"/>
  <c r="C645" i="1" s="1"/>
  <c r="B1515" i="1"/>
  <c r="C1515" i="1" s="1"/>
  <c r="B1265" i="1"/>
  <c r="C1265" i="1" s="1"/>
  <c r="B554" i="1"/>
  <c r="C554" i="1" s="1"/>
  <c r="B625" i="1"/>
  <c r="C625" i="1" s="1"/>
  <c r="B1510" i="1"/>
  <c r="C1510" i="1" s="1"/>
  <c r="B1179" i="1"/>
  <c r="C1179" i="1" s="1"/>
  <c r="B1429" i="1"/>
  <c r="C1429" i="1" s="1"/>
  <c r="B1555" i="1"/>
  <c r="C1555" i="1" s="1"/>
  <c r="B1325" i="1"/>
  <c r="C1325" i="1" s="1"/>
  <c r="B643" i="1"/>
  <c r="C643" i="1" s="1"/>
  <c r="B1115" i="1"/>
  <c r="C1115" i="1" s="1"/>
  <c r="B537" i="1"/>
  <c r="C537" i="1" s="1"/>
  <c r="B561" i="1"/>
  <c r="C561" i="1" s="1"/>
  <c r="B1378" i="1"/>
  <c r="C1378" i="1" s="1"/>
  <c r="B1309" i="1"/>
  <c r="C1309" i="1" s="1"/>
  <c r="B471" i="1"/>
  <c r="C471" i="1" s="1"/>
  <c r="B247" i="1"/>
  <c r="C247" i="1" s="1"/>
  <c r="B968" i="1"/>
  <c r="C968" i="1" s="1"/>
  <c r="B1009" i="1"/>
  <c r="C1009" i="1" s="1"/>
  <c r="B497" i="1"/>
  <c r="C497" i="1" s="1"/>
  <c r="B1398" i="1"/>
  <c r="C1398" i="1" s="1"/>
  <c r="B1418" i="1"/>
  <c r="C1418" i="1" s="1"/>
  <c r="B1078" i="1"/>
  <c r="C1078" i="1" s="1"/>
  <c r="B363" i="1"/>
  <c r="C363" i="1" s="1"/>
  <c r="B490" i="1"/>
  <c r="C490" i="1" s="1"/>
  <c r="B465" i="1"/>
  <c r="C465" i="1" s="1"/>
  <c r="B1427" i="1"/>
  <c r="C1427" i="1" s="1"/>
  <c r="B1494" i="1"/>
  <c r="C1494" i="1" s="1"/>
  <c r="B986" i="1"/>
  <c r="C986" i="1" s="1"/>
  <c r="B1255" i="1"/>
  <c r="C1255" i="1" s="1"/>
  <c r="B926" i="1"/>
  <c r="C926" i="1" s="1"/>
  <c r="B518" i="1"/>
  <c r="C518" i="1" s="1"/>
  <c r="B326" i="1"/>
  <c r="C326" i="1" s="1"/>
  <c r="B1083" i="1"/>
  <c r="C1083" i="1" s="1"/>
  <c r="B441" i="1"/>
  <c r="C441" i="1" s="1"/>
  <c r="B342" i="1"/>
  <c r="C342" i="1" s="1"/>
  <c r="B402" i="1"/>
  <c r="C402" i="1" s="1"/>
  <c r="B1441" i="1"/>
  <c r="C1441" i="1" s="1"/>
  <c r="B1303" i="1"/>
  <c r="C1303" i="1" s="1"/>
  <c r="B379" i="1"/>
  <c r="C379" i="1" s="1"/>
  <c r="B1472" i="1"/>
  <c r="C1472" i="1" s="1"/>
  <c r="B1464" i="1"/>
  <c r="C1464" i="1" s="1"/>
  <c r="B1456" i="1"/>
  <c r="C1456" i="1" s="1"/>
  <c r="B1163" i="1"/>
  <c r="C1163" i="1" s="1"/>
  <c r="B391" i="1"/>
  <c r="C391" i="1" s="1"/>
  <c r="B404" i="1"/>
  <c r="C404" i="1" s="1"/>
  <c r="B852" i="1"/>
  <c r="C852" i="1" s="1"/>
  <c r="B921" i="1"/>
  <c r="C921" i="1" s="1"/>
  <c r="B949" i="1"/>
  <c r="C949" i="1" s="1"/>
  <c r="B167" i="1"/>
  <c r="C167" i="1" s="1"/>
  <c r="B353" i="1"/>
  <c r="C353" i="1" s="1"/>
  <c r="B797" i="1"/>
  <c r="C797" i="1" s="1"/>
  <c r="B777" i="1"/>
  <c r="C777" i="1" s="1"/>
  <c r="B770" i="1"/>
  <c r="C770" i="1" s="1"/>
  <c r="B773" i="1"/>
  <c r="C773" i="1" s="1"/>
  <c r="B1558" i="1"/>
  <c r="C1558" i="1" s="1"/>
  <c r="B1365" i="1"/>
  <c r="C1365" i="1" s="1"/>
  <c r="B671" i="1"/>
  <c r="C671" i="1" s="1"/>
  <c r="B663" i="1"/>
  <c r="C663" i="1" s="1"/>
  <c r="B491" i="1"/>
  <c r="C491" i="1" s="1"/>
  <c r="B1288" i="1"/>
  <c r="C1288" i="1" s="1"/>
  <c r="B521" i="1"/>
  <c r="C521" i="1" s="1"/>
  <c r="B493" i="1"/>
  <c r="C493" i="1" s="1"/>
  <c r="B1104" i="1"/>
  <c r="C1104" i="1" s="1"/>
  <c r="B1498" i="1"/>
  <c r="C1498" i="1" s="1"/>
  <c r="B1116" i="1"/>
  <c r="C1116" i="1" s="1"/>
  <c r="B651" i="1"/>
  <c r="C651" i="1" s="1"/>
  <c r="B1437" i="1"/>
  <c r="C1437" i="1" s="1"/>
  <c r="B1513" i="1"/>
  <c r="C1513" i="1" s="1"/>
  <c r="B337" i="1"/>
  <c r="C337" i="1" s="1"/>
  <c r="B920" i="1"/>
  <c r="C920" i="1" s="1"/>
  <c r="B306" i="1"/>
  <c r="C306" i="1" s="1"/>
  <c r="B303" i="1"/>
  <c r="C303" i="1" s="1"/>
  <c r="B1126" i="1"/>
  <c r="C1126" i="1" s="1"/>
  <c r="B727" i="1"/>
  <c r="C727" i="1" s="1"/>
  <c r="B1262" i="1"/>
  <c r="C1262" i="1" s="1"/>
  <c r="B784" i="1"/>
  <c r="C784" i="1" s="1"/>
  <c r="B1144" i="1"/>
  <c r="C1144" i="1" s="1"/>
  <c r="B740" i="1"/>
  <c r="C740" i="1" s="1"/>
  <c r="B794" i="1"/>
  <c r="C794" i="1" s="1"/>
  <c r="B1345" i="1"/>
  <c r="C1345" i="1" s="1"/>
  <c r="B1143" i="1"/>
  <c r="C1143" i="1" s="1"/>
  <c r="B802" i="1"/>
  <c r="C802" i="1" s="1"/>
  <c r="B713" i="1"/>
  <c r="C713" i="1" s="1"/>
  <c r="B1323" i="1"/>
  <c r="C1323" i="1" s="1"/>
  <c r="B958" i="1"/>
  <c r="C958" i="1" s="1"/>
  <c r="B656" i="1"/>
  <c r="C656" i="1" s="1"/>
  <c r="B1196" i="1"/>
  <c r="C1196" i="1" s="1"/>
  <c r="B1050" i="1"/>
  <c r="C1050" i="1" s="1"/>
  <c r="B512" i="1"/>
  <c r="C512" i="1" s="1"/>
  <c r="B1293" i="1"/>
  <c r="C1293" i="1" s="1"/>
  <c r="B1076" i="1"/>
  <c r="C1076" i="1" s="1"/>
  <c r="B640" i="1"/>
  <c r="C640" i="1" s="1"/>
  <c r="B1566" i="1"/>
  <c r="C1566" i="1" s="1"/>
  <c r="B1054" i="1"/>
  <c r="C1054" i="1" s="1"/>
  <c r="B813" i="1"/>
  <c r="C813" i="1" s="1"/>
  <c r="B1410" i="1"/>
  <c r="C1410" i="1" s="1"/>
  <c r="B257" i="1"/>
  <c r="C257" i="1" s="1"/>
  <c r="B1205" i="1"/>
  <c r="C1205" i="1" s="1"/>
  <c r="B585" i="1"/>
  <c r="C585" i="1" s="1"/>
  <c r="B1419" i="1"/>
  <c r="C1419" i="1" s="1"/>
  <c r="B547" i="1"/>
  <c r="C547" i="1" s="1"/>
  <c r="B442" i="1"/>
  <c r="C442" i="1" s="1"/>
  <c r="B1018" i="1"/>
  <c r="C1018" i="1" s="1"/>
  <c r="B1095" i="1"/>
  <c r="C1095" i="1" s="1"/>
  <c r="B1375" i="1"/>
  <c r="C1375" i="1" s="1"/>
  <c r="B902" i="1"/>
  <c r="C902" i="1" s="1"/>
  <c r="B285" i="1"/>
  <c r="C285" i="1" s="1"/>
  <c r="B1294" i="1"/>
  <c r="C1294" i="1" s="1"/>
  <c r="B352" i="1"/>
  <c r="C352" i="1" s="1"/>
  <c r="B639" i="1"/>
  <c r="C639" i="1" s="1"/>
  <c r="B604" i="1"/>
  <c r="C604" i="1" s="1"/>
  <c r="B1432" i="1"/>
  <c r="C1432" i="1" s="1"/>
  <c r="B719" i="1"/>
  <c r="C719" i="1" s="1"/>
  <c r="B1422" i="1"/>
  <c r="C1422" i="1" s="1"/>
  <c r="B780" i="1"/>
  <c r="C780" i="1" s="1"/>
  <c r="B804" i="1"/>
  <c r="C804" i="1" s="1"/>
  <c r="B828" i="1"/>
  <c r="C828" i="1" s="1"/>
  <c r="B1339" i="1"/>
  <c r="C1339" i="1" s="1"/>
  <c r="B706" i="1"/>
  <c r="C706" i="1" s="1"/>
  <c r="B692" i="1"/>
  <c r="C692" i="1" s="1"/>
  <c r="B463" i="1"/>
  <c r="C463" i="1" s="1"/>
  <c r="B678" i="1"/>
  <c r="C678" i="1" s="1"/>
  <c r="B1227" i="1"/>
  <c r="C1227" i="1" s="1"/>
  <c r="B1340" i="1"/>
  <c r="C1340" i="1" s="1"/>
  <c r="B689" i="1"/>
  <c r="C689" i="1" s="1"/>
  <c r="B1259" i="1"/>
  <c r="C1259" i="1" s="1"/>
  <c r="B444" i="1"/>
  <c r="C444" i="1" s="1"/>
  <c r="B602" i="1"/>
  <c r="C602" i="1" s="1"/>
  <c r="B1219" i="1"/>
  <c r="C1219" i="1" s="1"/>
  <c r="B1080" i="1"/>
  <c r="C1080" i="1" s="1"/>
  <c r="B659" i="1"/>
  <c r="C659" i="1" s="1"/>
  <c r="B312" i="1"/>
  <c r="C312" i="1" s="1"/>
  <c r="B1356" i="1"/>
  <c r="C1356" i="1" s="1"/>
  <c r="B510" i="1"/>
  <c r="C510" i="1" s="1"/>
  <c r="B1561" i="1"/>
  <c r="C1561" i="1" s="1"/>
  <c r="B1486" i="1"/>
  <c r="C1486" i="1" s="1"/>
  <c r="B1138" i="1"/>
  <c r="C1138" i="1" s="1"/>
  <c r="B298" i="1"/>
  <c r="C298" i="1" s="1"/>
  <c r="B1333" i="1"/>
  <c r="C1333" i="1" s="1"/>
  <c r="B1109" i="1"/>
  <c r="C1109" i="1" s="1"/>
  <c r="B1133" i="1"/>
  <c r="C1133" i="1" s="1"/>
  <c r="B945" i="1"/>
  <c r="C945" i="1" s="1"/>
  <c r="B1292" i="1"/>
  <c r="C1292" i="1" s="1"/>
  <c r="B1364" i="1"/>
  <c r="C1364" i="1" s="1"/>
  <c r="B1199" i="1"/>
  <c r="C1199" i="1" s="1"/>
  <c r="B940" i="1"/>
  <c r="C940" i="1" s="1"/>
  <c r="B1330" i="1"/>
  <c r="C1330" i="1" s="1"/>
  <c r="B1171" i="1"/>
  <c r="C1171" i="1" s="1"/>
  <c r="B1098" i="1"/>
  <c r="C1098" i="1" s="1"/>
  <c r="B482" i="1"/>
  <c r="C482" i="1" s="1"/>
  <c r="B1316" i="1"/>
  <c r="C1316" i="1" s="1"/>
  <c r="B1328" i="1"/>
  <c r="C1328" i="1" s="1"/>
  <c r="B1072" i="1"/>
  <c r="C1072" i="1" s="1"/>
  <c r="B716" i="1"/>
  <c r="C716" i="1" s="1"/>
  <c r="B635" i="1"/>
  <c r="C635" i="1" s="1"/>
  <c r="B609" i="1"/>
  <c r="C609" i="1" s="1"/>
  <c r="B1203" i="1"/>
  <c r="C1203" i="1" s="1"/>
  <c r="B1211" i="1"/>
  <c r="C1211" i="1" s="1"/>
  <c r="B1167" i="1"/>
  <c r="C1167" i="1" s="1"/>
  <c r="B550" i="1"/>
  <c r="C550" i="1" s="1"/>
  <c r="B574" i="1"/>
  <c r="C574" i="1" s="1"/>
  <c r="B1409" i="1"/>
  <c r="C1409" i="1" s="1"/>
  <c r="B1214" i="1"/>
  <c r="C1214" i="1" s="1"/>
  <c r="B542" i="1"/>
  <c r="C542" i="1" s="1"/>
  <c r="B1408" i="1"/>
  <c r="C1408" i="1" s="1"/>
  <c r="B1302" i="1"/>
  <c r="C1302" i="1" s="1"/>
  <c r="B621" i="1"/>
  <c r="C621" i="1" s="1"/>
  <c r="B614" i="1"/>
  <c r="C614" i="1" s="1"/>
  <c r="B1061" i="1"/>
  <c r="C1061" i="1" s="1"/>
  <c r="B1277" i="1"/>
  <c r="C1277" i="1" s="1"/>
  <c r="B1182" i="1"/>
  <c r="C1182" i="1" s="1"/>
  <c r="B1101" i="1"/>
  <c r="C1101" i="1" s="1"/>
  <c r="B539" i="1"/>
  <c r="C539" i="1" s="1"/>
  <c r="B1395" i="1"/>
  <c r="C1395" i="1" s="1"/>
  <c r="B530" i="1"/>
  <c r="C530" i="1" s="1"/>
  <c r="B533" i="1"/>
  <c r="C533" i="1" s="1"/>
  <c r="B1034" i="1"/>
  <c r="C1034" i="1" s="1"/>
  <c r="B460" i="1"/>
  <c r="C460" i="1" s="1"/>
  <c r="B1012" i="1"/>
  <c r="C1012" i="1" s="1"/>
  <c r="B1011" i="1"/>
  <c r="C1011" i="1" s="1"/>
  <c r="B520" i="1"/>
  <c r="C520" i="1" s="1"/>
  <c r="B1428" i="1"/>
  <c r="C1428" i="1" s="1"/>
  <c r="B1376" i="1"/>
  <c r="C1376" i="1" s="1"/>
  <c r="B305" i="1"/>
  <c r="C305" i="1" s="1"/>
  <c r="B481" i="1"/>
  <c r="C481" i="1" s="1"/>
  <c r="B906" i="1"/>
  <c r="C906" i="1" s="1"/>
  <c r="B903" i="1"/>
  <c r="C903" i="1" s="1"/>
  <c r="B469" i="1"/>
  <c r="C469" i="1" s="1"/>
  <c r="B741" i="1"/>
  <c r="C741" i="1" s="1"/>
  <c r="B1425" i="1"/>
  <c r="C1425" i="1" s="1"/>
  <c r="B1554" i="1"/>
  <c r="C1554" i="1" s="1"/>
  <c r="B1507" i="1"/>
  <c r="C1507" i="1" s="1"/>
  <c r="B947" i="1"/>
  <c r="C947" i="1" s="1"/>
  <c r="B447" i="1"/>
  <c r="C447" i="1" s="1"/>
  <c r="B1435" i="1"/>
  <c r="C1435" i="1" s="1"/>
  <c r="B569" i="1"/>
  <c r="C569" i="1" s="1"/>
  <c r="B1479" i="1"/>
  <c r="C1479" i="1" s="1"/>
  <c r="B448" i="1"/>
  <c r="C448" i="1" s="1"/>
  <c r="B416" i="1"/>
  <c r="C416" i="1" s="1"/>
  <c r="B1084" i="1"/>
  <c r="C1084" i="1" s="1"/>
  <c r="B399" i="1"/>
  <c r="C399" i="1" s="1"/>
  <c r="B280" i="1"/>
  <c r="C280" i="1" s="1"/>
  <c r="B429" i="1"/>
  <c r="C429" i="1" s="1"/>
  <c r="B1222" i="1"/>
  <c r="C1222" i="1" s="1"/>
  <c r="B165" i="1"/>
  <c r="C165" i="1" s="1"/>
  <c r="B955" i="1"/>
  <c r="C955" i="1" s="1"/>
  <c r="B1468" i="1"/>
  <c r="C1468" i="1" s="1"/>
  <c r="B1460" i="1"/>
  <c r="C1460" i="1" s="1"/>
  <c r="B1073" i="1"/>
  <c r="C1073" i="1" s="1"/>
  <c r="B832" i="1"/>
  <c r="C832" i="1" s="1"/>
  <c r="B424" i="1"/>
  <c r="C424" i="1" s="1"/>
  <c r="B376" i="1"/>
  <c r="C376" i="1" s="1"/>
  <c r="B375" i="1"/>
  <c r="C375" i="1" s="1"/>
  <c r="B1297" i="1"/>
  <c r="C1297" i="1" s="1"/>
  <c r="B373" i="1"/>
  <c r="C373" i="1" s="1"/>
  <c r="B1299" i="1"/>
  <c r="C1299" i="1" s="1"/>
  <c r="B1390" i="1"/>
  <c r="C1390" i="1" s="1"/>
  <c r="B368" i="1"/>
  <c r="C368" i="1" s="1"/>
  <c r="B386" i="1"/>
  <c r="C386" i="1" s="1"/>
  <c r="B899" i="1"/>
  <c r="C899" i="1" s="1"/>
  <c r="B89" i="1"/>
  <c r="C89" i="1" s="1"/>
  <c r="B174" i="1"/>
  <c r="C174" i="1" s="1"/>
  <c r="B76" i="1"/>
  <c r="C76" i="1" s="1"/>
  <c r="B742" i="1"/>
  <c r="C742" i="1" s="1"/>
  <c r="B164" i="1"/>
  <c r="C164" i="1" s="1"/>
  <c r="B310" i="1"/>
  <c r="C310" i="1" s="1"/>
  <c r="B669" i="1"/>
  <c r="C669" i="1" s="1"/>
  <c r="B149" i="1"/>
  <c r="C149" i="1" s="1"/>
  <c r="B229" i="1"/>
  <c r="C229" i="1" s="1"/>
  <c r="B236" i="1"/>
  <c r="C236" i="1" s="1"/>
  <c r="B630" i="1"/>
  <c r="C630" i="1" s="1"/>
  <c r="B78" i="1"/>
  <c r="C78" i="1" s="1"/>
  <c r="B418" i="1"/>
  <c r="C418" i="1" s="1"/>
  <c r="B610" i="1"/>
  <c r="C610" i="1" s="1"/>
  <c r="B34" i="1"/>
  <c r="C34" i="1" s="1"/>
  <c r="B125" i="1"/>
  <c r="C125" i="1" s="1"/>
  <c r="B595" i="1"/>
  <c r="C595" i="1" s="1"/>
  <c r="B50" i="1"/>
  <c r="C50" i="1" s="1"/>
  <c r="B2" i="1"/>
  <c r="C2" i="1" s="1"/>
  <c r="B54" i="1"/>
  <c r="C54" i="1" s="1"/>
  <c r="B110" i="1"/>
  <c r="C110" i="1" s="1"/>
  <c r="B511" i="1"/>
  <c r="C511" i="1" s="1"/>
  <c r="B1539" i="1"/>
  <c r="C1539" i="1" s="1"/>
  <c r="B1352" i="1"/>
  <c r="C1352" i="1" s="1"/>
  <c r="B1349" i="1"/>
  <c r="C1349" i="1" s="1"/>
  <c r="B1353" i="1"/>
  <c r="C1353" i="1" s="1"/>
  <c r="B58" i="1"/>
  <c r="C58" i="1" s="1"/>
  <c r="B115" i="1"/>
  <c r="C115" i="1" s="1"/>
  <c r="B117" i="1"/>
  <c r="C117" i="1" s="1"/>
  <c r="B114" i="1"/>
  <c r="C114" i="1" s="1"/>
  <c r="B221" i="1"/>
  <c r="C221" i="1" s="1"/>
  <c r="B1531" i="1"/>
  <c r="C1531" i="1" s="1"/>
  <c r="B80" i="1"/>
  <c r="C80" i="1" s="1"/>
  <c r="B1237" i="1"/>
  <c r="C1237" i="1" s="1"/>
  <c r="B861" i="1"/>
  <c r="C861" i="1" s="1"/>
  <c r="B163" i="1"/>
  <c r="C163" i="1" s="1"/>
  <c r="B30" i="1"/>
  <c r="C30" i="1" s="1"/>
  <c r="B133" i="1"/>
  <c r="C133" i="1" s="1"/>
  <c r="B649" i="1"/>
  <c r="C649" i="1" s="1"/>
  <c r="B1487" i="1"/>
  <c r="C1487" i="1" s="1"/>
  <c r="B760" i="1"/>
  <c r="C760" i="1" s="1"/>
  <c r="B1062" i="1"/>
  <c r="C1062" i="1" s="1"/>
  <c r="B1524" i="1"/>
  <c r="C1524" i="1" s="1"/>
  <c r="B1096" i="1"/>
  <c r="C1096" i="1" s="1"/>
  <c r="B681" i="1"/>
  <c r="C681" i="1" s="1"/>
  <c r="B1124" i="1"/>
  <c r="C1124" i="1" s="1"/>
  <c r="B710" i="1"/>
  <c r="C710" i="1" s="1"/>
  <c r="B1097" i="1"/>
  <c r="C1097" i="1" s="1"/>
  <c r="B1120" i="1"/>
  <c r="C1120" i="1" s="1"/>
  <c r="B704" i="1"/>
  <c r="C704" i="1" s="1"/>
  <c r="B666" i="1"/>
  <c r="C666" i="1" s="1"/>
  <c r="B1413" i="1"/>
  <c r="C1413" i="1" s="1"/>
  <c r="B1130" i="1"/>
  <c r="C1130" i="1" s="1"/>
  <c r="B762" i="1"/>
  <c r="C762" i="1" s="1"/>
  <c r="B1048" i="1"/>
  <c r="C1048" i="1" s="1"/>
  <c r="B583" i="1"/>
  <c r="C583" i="1" s="1"/>
  <c r="B655" i="1"/>
  <c r="C655" i="1" s="1"/>
  <c r="B1550" i="1"/>
  <c r="C1550" i="1" s="1"/>
  <c r="B572" i="1"/>
  <c r="C572" i="1" s="1"/>
  <c r="B667" i="1"/>
  <c r="C667" i="1" s="1"/>
  <c r="B551" i="1"/>
  <c r="C551" i="1" s="1"/>
  <c r="B556" i="1"/>
  <c r="C556" i="1" s="1"/>
  <c r="B611" i="1"/>
  <c r="C611" i="1" s="1"/>
  <c r="B1047" i="1"/>
  <c r="C1047" i="1" s="1"/>
  <c r="B336" i="1"/>
  <c r="C336" i="1" s="1"/>
  <c r="B1198" i="1"/>
  <c r="C1198" i="1" s="1"/>
  <c r="B400" i="1"/>
  <c r="C400" i="1" s="1"/>
  <c r="B1215" i="1"/>
  <c r="C1215" i="1" s="1"/>
  <c r="B1033" i="1"/>
  <c r="C1033" i="1" s="1"/>
  <c r="B1157" i="1"/>
  <c r="C1157" i="1" s="1"/>
  <c r="B262" i="1"/>
  <c r="C262" i="1" s="1"/>
  <c r="B1155" i="1"/>
  <c r="C1155" i="1" s="1"/>
  <c r="B1031" i="1"/>
  <c r="C1031" i="1" s="1"/>
  <c r="B1103" i="1"/>
  <c r="C1103" i="1" s="1"/>
  <c r="B718" i="1"/>
  <c r="C718" i="1" s="1"/>
  <c r="B1407" i="1"/>
  <c r="C1407" i="1" s="1"/>
  <c r="B647" i="1"/>
  <c r="C647" i="1" s="1"/>
  <c r="B543" i="1"/>
  <c r="C543" i="1" s="1"/>
  <c r="B1322" i="1"/>
  <c r="C1322" i="1" s="1"/>
  <c r="B1184" i="1"/>
  <c r="C1184" i="1" s="1"/>
  <c r="B1108" i="1"/>
  <c r="C1108" i="1" s="1"/>
  <c r="B1173" i="1"/>
  <c r="C1173" i="1" s="1"/>
  <c r="B538" i="1"/>
  <c r="C538" i="1" s="1"/>
  <c r="B1006" i="1"/>
  <c r="C1006" i="1" s="1"/>
  <c r="B566" i="1"/>
  <c r="C566" i="1" s="1"/>
  <c r="B1019" i="1"/>
  <c r="C1019" i="1" s="1"/>
  <c r="B426" i="1"/>
  <c r="C426" i="1" s="1"/>
  <c r="B1268" i="1"/>
  <c r="C1268" i="1" s="1"/>
  <c r="B1105" i="1"/>
  <c r="C1105" i="1" s="1"/>
  <c r="B1087" i="1"/>
  <c r="C1087" i="1" s="1"/>
  <c r="B975" i="1"/>
  <c r="C975" i="1" s="1"/>
  <c r="B819" i="1"/>
  <c r="C819" i="1" s="1"/>
  <c r="B486" i="1"/>
  <c r="C486" i="1" s="1"/>
  <c r="B361" i="1"/>
  <c r="C361" i="1" s="1"/>
  <c r="B1374" i="1"/>
  <c r="C1374" i="1" s="1"/>
  <c r="B1254" i="1"/>
  <c r="C1254" i="1" s="1"/>
  <c r="B1168" i="1"/>
  <c r="C1168" i="1" s="1"/>
  <c r="B1444" i="1"/>
  <c r="C1444" i="1" s="1"/>
  <c r="B1446" i="1"/>
  <c r="C1446" i="1" s="1"/>
  <c r="B1505" i="1"/>
  <c r="C1505" i="1" s="1"/>
  <c r="B456" i="1"/>
  <c r="C456" i="1" s="1"/>
  <c r="B989" i="1"/>
  <c r="C989" i="1" s="1"/>
  <c r="B931" i="1"/>
  <c r="C931" i="1" s="1"/>
  <c r="B425" i="1"/>
  <c r="C425" i="1" s="1"/>
  <c r="B898" i="1"/>
  <c r="C898" i="1" s="1"/>
  <c r="B916" i="1"/>
  <c r="C916" i="1" s="1"/>
  <c r="B1370" i="1"/>
  <c r="C1370" i="1" s="1"/>
  <c r="B964" i="1"/>
  <c r="C964" i="1" s="1"/>
  <c r="B360" i="1"/>
  <c r="C360" i="1" s="1"/>
  <c r="B930" i="1"/>
  <c r="C930" i="1" s="1"/>
  <c r="B976" i="1"/>
  <c r="C976" i="1" s="1"/>
  <c r="B409" i="1"/>
  <c r="C409" i="1" s="1"/>
  <c r="B19" i="1"/>
  <c r="C19" i="1" s="1"/>
  <c r="B403" i="1"/>
  <c r="C403" i="1" s="1"/>
  <c r="B1466" i="1"/>
  <c r="C1466" i="1" s="1"/>
  <c r="B1458" i="1"/>
  <c r="C1458" i="1" s="1"/>
  <c r="B427" i="1"/>
  <c r="C427" i="1" s="1"/>
  <c r="B685" i="1"/>
  <c r="C685" i="1" s="1"/>
  <c r="B612" i="1"/>
  <c r="C612" i="1" s="1"/>
  <c r="B1525" i="1"/>
  <c r="C1525" i="1" s="1"/>
  <c r="B351" i="1"/>
  <c r="C351" i="1" s="1"/>
  <c r="B1296" i="1"/>
  <c r="C1296" i="1" s="1"/>
  <c r="B372" i="1"/>
  <c r="C372" i="1" s="1"/>
  <c r="B954" i="1"/>
  <c r="C954" i="1" s="1"/>
  <c r="B168" i="1"/>
  <c r="C168" i="1" s="1"/>
  <c r="B1225" i="1"/>
  <c r="C1225" i="1" s="1"/>
  <c r="B680" i="1"/>
  <c r="C680" i="1" s="1"/>
  <c r="B517" i="1"/>
  <c r="C517" i="1" s="1"/>
  <c r="B7" i="1"/>
  <c r="C7" i="1" s="1"/>
  <c r="B1380" i="1"/>
  <c r="C1380" i="1" s="1"/>
  <c r="B676" i="1"/>
  <c r="C676" i="1" s="1"/>
  <c r="B738" i="1"/>
  <c r="C738" i="1" s="1"/>
  <c r="B1490" i="1"/>
  <c r="C1490" i="1" s="1"/>
  <c r="B1430" i="1"/>
  <c r="C1430" i="1" s="1"/>
  <c r="B1331" i="1"/>
  <c r="C1331" i="1" s="1"/>
  <c r="B1117" i="1"/>
  <c r="C1117" i="1" s="1"/>
  <c r="B712" i="1"/>
  <c r="C712" i="1" s="1"/>
  <c r="B849" i="1"/>
  <c r="C849" i="1" s="1"/>
  <c r="B1069" i="1"/>
  <c r="C1069" i="1" s="1"/>
  <c r="B484" i="1"/>
  <c r="C484" i="1" s="1"/>
  <c r="B1549" i="1"/>
  <c r="C1549" i="1" s="1"/>
  <c r="B573" i="1"/>
  <c r="C573" i="1" s="1"/>
  <c r="B1327" i="1"/>
  <c r="C1327" i="1" s="1"/>
  <c r="B1186" i="1"/>
  <c r="C1186" i="1" s="1"/>
  <c r="B1245" i="1"/>
  <c r="C1245" i="1" s="1"/>
  <c r="B478" i="1"/>
  <c r="C478" i="1" s="1"/>
  <c r="B826" i="1"/>
  <c r="C826" i="1" s="1"/>
  <c r="B1511" i="1"/>
  <c r="C1511" i="1" s="1"/>
  <c r="B495" i="1"/>
  <c r="C495" i="1" s="1"/>
  <c r="B1519" i="1"/>
  <c r="C1519" i="1" s="1"/>
  <c r="B540" i="1"/>
  <c r="C540" i="1" s="1"/>
  <c r="B812" i="1"/>
  <c r="C812" i="1" s="1"/>
  <c r="B553" i="1"/>
  <c r="C553" i="1" s="1"/>
  <c r="B1038" i="1"/>
  <c r="C1038" i="1" s="1"/>
  <c r="B555" i="1"/>
  <c r="C555" i="1" s="1"/>
  <c r="B546" i="1"/>
  <c r="C546" i="1" s="1"/>
  <c r="B606" i="1"/>
  <c r="C606" i="1" s="1"/>
  <c r="B501" i="1"/>
  <c r="C501" i="1" s="1"/>
  <c r="B1017" i="1"/>
  <c r="C1017" i="1" s="1"/>
  <c r="B644" i="1"/>
  <c r="C644" i="1" s="1"/>
  <c r="B1278" i="1"/>
  <c r="C1278" i="1" s="1"/>
  <c r="B1264" i="1"/>
  <c r="C1264" i="1" s="1"/>
  <c r="B1029" i="1"/>
  <c r="C1029" i="1" s="1"/>
  <c r="B1051" i="1"/>
  <c r="C1051" i="1" s="1"/>
  <c r="B557" i="1"/>
  <c r="C557" i="1" s="1"/>
  <c r="B1363" i="1"/>
  <c r="C1363" i="1" s="1"/>
  <c r="B527" i="1"/>
  <c r="C527" i="1" s="1"/>
  <c r="B526" i="1"/>
  <c r="C526" i="1" s="1"/>
  <c r="B1020" i="1"/>
  <c r="C1020" i="1" s="1"/>
  <c r="B1064" i="1"/>
  <c r="C1064" i="1" s="1"/>
  <c r="B1106" i="1"/>
  <c r="C1106" i="1" s="1"/>
  <c r="B498" i="1"/>
  <c r="C498" i="1" s="1"/>
  <c r="B500" i="1"/>
  <c r="C500" i="1" s="1"/>
  <c r="B432" i="1"/>
  <c r="C432" i="1" s="1"/>
  <c r="B492" i="1"/>
  <c r="C492" i="1" s="1"/>
  <c r="B405" i="1"/>
  <c r="C405" i="1" s="1"/>
  <c r="B1110" i="1"/>
  <c r="C1110" i="1" s="1"/>
  <c r="B1312" i="1"/>
  <c r="C1312" i="1" s="1"/>
  <c r="B1068" i="1"/>
  <c r="C1068" i="1" s="1"/>
  <c r="B454" i="1"/>
  <c r="C454" i="1" s="1"/>
  <c r="B446" i="1"/>
  <c r="C446" i="1" s="1"/>
  <c r="B1445" i="1"/>
  <c r="C1445" i="1" s="1"/>
  <c r="B1495" i="1"/>
  <c r="C1495" i="1" s="1"/>
  <c r="B457" i="1"/>
  <c r="C457" i="1" s="1"/>
  <c r="B466" i="1"/>
  <c r="C466" i="1" s="1"/>
  <c r="B395" i="1"/>
  <c r="C395" i="1" s="1"/>
  <c r="B925" i="1"/>
  <c r="C925" i="1" s="1"/>
  <c r="B381" i="1"/>
  <c r="C381" i="1" s="1"/>
  <c r="B423" i="1"/>
  <c r="C423" i="1" s="1"/>
  <c r="B1306" i="1"/>
  <c r="C1306" i="1" s="1"/>
  <c r="B904" i="1"/>
  <c r="C904" i="1" s="1"/>
  <c r="B1027" i="1"/>
  <c r="C1027" i="1" s="1"/>
  <c r="B766" i="1"/>
  <c r="C766" i="1" s="1"/>
  <c r="B431" i="1"/>
  <c r="C431" i="1" s="1"/>
  <c r="B1421" i="1"/>
  <c r="C1421" i="1" s="1"/>
  <c r="B897" i="1"/>
  <c r="C897" i="1" s="1"/>
  <c r="B1473" i="1"/>
  <c r="C1473" i="1" s="1"/>
  <c r="B1465" i="1"/>
  <c r="C1465" i="1" s="1"/>
  <c r="B1457" i="1"/>
  <c r="C1457" i="1" s="1"/>
  <c r="B1304" i="1"/>
  <c r="C1304" i="1" s="1"/>
  <c r="B422" i="1"/>
  <c r="C422" i="1" s="1"/>
  <c r="B598" i="1"/>
  <c r="C598" i="1" s="1"/>
  <c r="B963" i="1"/>
  <c r="C963" i="1" s="1"/>
  <c r="B14" i="1"/>
  <c r="C14" i="1" s="1"/>
  <c r="B1112" i="1"/>
  <c r="C1112" i="1" s="1"/>
  <c r="B171" i="1"/>
  <c r="C171" i="1" s="1"/>
  <c r="B988" i="1"/>
  <c r="C988" i="1" s="1"/>
  <c r="B390" i="1"/>
  <c r="C390" i="1" s="1"/>
  <c r="B1239" i="1"/>
  <c r="C1239" i="1" s="1"/>
  <c r="B367" i="1"/>
  <c r="C367" i="1" s="1"/>
  <c r="B226" i="1"/>
  <c r="C226" i="1" s="1"/>
  <c r="B370" i="1"/>
  <c r="C370" i="1" s="1"/>
  <c r="B933" i="1"/>
  <c r="C933" i="1" s="1"/>
  <c r="B227" i="1"/>
  <c r="C227" i="1" s="1"/>
  <c r="B927" i="1"/>
  <c r="C927" i="1" s="1"/>
  <c r="B1052" i="1"/>
  <c r="C1052" i="1" s="1"/>
  <c r="B992" i="1"/>
  <c r="C992" i="1" s="1"/>
  <c r="B778" i="1"/>
  <c r="C778" i="1" s="1"/>
  <c r="B952" i="1"/>
  <c r="C952" i="1" s="1"/>
  <c r="B1207" i="1"/>
  <c r="C1207" i="1" s="1"/>
  <c r="B971" i="1"/>
  <c r="C971" i="1" s="1"/>
  <c r="B152" i="1"/>
  <c r="C152" i="1" s="1"/>
  <c r="B1028" i="1"/>
  <c r="C1028" i="1" s="1"/>
  <c r="B173" i="1"/>
  <c r="C173" i="1" s="1"/>
  <c r="B308" i="1"/>
  <c r="C308" i="1" s="1"/>
  <c r="B321" i="1"/>
  <c r="C321" i="1" s="1"/>
  <c r="B795" i="1"/>
  <c r="C795" i="1" s="1"/>
  <c r="B252" i="1"/>
  <c r="C252" i="1" s="1"/>
  <c r="B451" i="1"/>
  <c r="C451" i="1" s="1"/>
  <c r="B1545" i="1"/>
  <c r="C1545" i="1" s="1"/>
  <c r="B590" i="1"/>
  <c r="C590" i="1" s="1"/>
  <c r="B1281" i="1"/>
  <c r="C1281" i="1" s="1"/>
  <c r="B438" i="1"/>
  <c r="C438" i="1" s="1"/>
  <c r="B435" i="1"/>
  <c r="C435" i="1" s="1"/>
  <c r="B234" i="1"/>
  <c r="C234" i="1" s="1"/>
  <c r="B259" i="1"/>
  <c r="C259" i="1" s="1"/>
  <c r="B1077" i="1"/>
  <c r="C1077" i="1" s="1"/>
  <c r="B211" i="1"/>
  <c r="C211" i="1" s="1"/>
  <c r="B169" i="1"/>
  <c r="C169" i="1" s="1"/>
  <c r="B673" i="1"/>
  <c r="C673" i="1" s="1"/>
  <c r="B194" i="1"/>
  <c r="C194" i="1" s="1"/>
  <c r="B275" i="1"/>
  <c r="C275" i="1" s="1"/>
  <c r="B187" i="1"/>
  <c r="C187" i="1" s="1"/>
  <c r="B1358" i="1"/>
  <c r="C1358" i="1" s="1"/>
  <c r="B993" i="1"/>
  <c r="C993" i="1" s="1"/>
  <c r="B269" i="1"/>
  <c r="C269" i="1" s="1"/>
  <c r="B1357" i="1"/>
  <c r="C1357" i="1" s="1"/>
  <c r="B142" i="1"/>
  <c r="C142" i="1" s="1"/>
  <c r="B1060" i="1"/>
  <c r="C1060" i="1" s="1"/>
  <c r="B183" i="1"/>
  <c r="C183" i="1" s="1"/>
  <c r="B99" i="1"/>
  <c r="C99" i="1" s="1"/>
  <c r="B71" i="1"/>
  <c r="C71" i="1" s="1"/>
  <c r="B1477" i="1"/>
  <c r="C1477" i="1" s="1"/>
  <c r="B642" i="1"/>
  <c r="C642" i="1" s="1"/>
  <c r="B1158" i="1"/>
  <c r="C1158" i="1" s="1"/>
  <c r="B105" i="1"/>
  <c r="C105" i="1" s="1"/>
  <c r="B102" i="1"/>
  <c r="C102" i="1" s="1"/>
  <c r="B98" i="1"/>
  <c r="C98" i="1" s="1"/>
  <c r="B176" i="1"/>
  <c r="C176" i="1" s="1"/>
  <c r="B118" i="1"/>
  <c r="C118" i="1" s="1"/>
  <c r="B94" i="1"/>
  <c r="C94" i="1" s="1"/>
  <c r="B743" i="1"/>
  <c r="C743" i="1" s="1"/>
  <c r="B1489" i="1"/>
  <c r="C1489" i="1" s="1"/>
  <c r="B496" i="1"/>
  <c r="C496" i="1" s="1"/>
  <c r="B408" i="1"/>
  <c r="C408" i="1" s="1"/>
  <c r="B882" i="1"/>
  <c r="C882" i="1" s="1"/>
  <c r="B18" i="1"/>
  <c r="C18" i="1" s="1"/>
  <c r="B36" i="1"/>
  <c r="C36" i="1" s="1"/>
  <c r="B350" i="1"/>
  <c r="C350" i="1" s="1"/>
  <c r="B77" i="1"/>
  <c r="C77" i="1" s="1"/>
  <c r="B924" i="1"/>
  <c r="C924" i="1" s="1"/>
  <c r="B43" i="1"/>
  <c r="C43" i="1" s="1"/>
  <c r="B225" i="1"/>
  <c r="C225" i="1" s="1"/>
  <c r="B45" i="1"/>
  <c r="C45" i="1" s="1"/>
  <c r="B617" i="1"/>
  <c r="C617" i="1" s="1"/>
  <c r="B880" i="1"/>
  <c r="C880" i="1" s="1"/>
  <c r="B502" i="1"/>
  <c r="C502" i="1" s="1"/>
  <c r="B41" i="1"/>
  <c r="C41" i="1" s="1"/>
  <c r="B922" i="1"/>
  <c r="C922" i="1" s="1"/>
  <c r="B177" i="1"/>
  <c r="C177" i="1" s="1"/>
  <c r="B1284" i="1"/>
  <c r="C1284" i="1" s="1"/>
  <c r="B32" i="1"/>
  <c r="C32" i="1" s="1"/>
  <c r="B479" i="1"/>
  <c r="C479" i="1" s="1"/>
  <c r="B121" i="1"/>
  <c r="C121" i="1" s="1"/>
  <c r="B884" i="1"/>
  <c r="C884" i="1" s="1"/>
  <c r="B843" i="1"/>
  <c r="C843" i="1" s="1"/>
  <c r="B153" i="1"/>
  <c r="C153" i="1" s="1"/>
  <c r="B433" i="1"/>
  <c r="C433" i="1" s="1"/>
  <c r="B436" i="1"/>
  <c r="C436" i="1" s="1"/>
  <c r="B28" i="1"/>
  <c r="C28" i="1" s="1"/>
  <c r="B239" i="1"/>
  <c r="C239" i="1" s="1"/>
  <c r="B134" i="1"/>
  <c r="C134" i="1" s="1"/>
  <c r="B1527" i="1"/>
  <c r="C1527" i="1" s="1"/>
  <c r="B1230" i="1"/>
  <c r="C1230" i="1" s="1"/>
  <c r="B1014" i="1"/>
  <c r="C1014" i="1" s="1"/>
  <c r="B534" i="1"/>
  <c r="C534" i="1" s="1"/>
  <c r="B733" i="1"/>
  <c r="C733" i="1" s="1"/>
  <c r="B1209" i="1"/>
  <c r="C1209" i="1" s="1"/>
  <c r="B1118" i="1"/>
  <c r="C1118" i="1" s="1"/>
  <c r="B731" i="1"/>
  <c r="C731" i="1" s="1"/>
  <c r="B753" i="1"/>
  <c r="C753" i="1" s="1"/>
  <c r="B1560" i="1"/>
  <c r="C1560" i="1" s="1"/>
  <c r="B1414" i="1"/>
  <c r="C1414" i="1" s="1"/>
  <c r="B830" i="1"/>
  <c r="C830" i="1" s="1"/>
  <c r="B1229" i="1"/>
  <c r="C1229" i="1" s="1"/>
  <c r="B636" i="1"/>
  <c r="C636" i="1" s="1"/>
  <c r="B1415" i="1"/>
  <c r="C1415" i="1" s="1"/>
  <c r="B674" i="1"/>
  <c r="C674" i="1" s="1"/>
  <c r="B628" i="1"/>
  <c r="C628" i="1" s="1"/>
  <c r="B1177" i="1"/>
  <c r="C1177" i="1" s="1"/>
  <c r="B1224" i="1"/>
  <c r="C1224" i="1" s="1"/>
  <c r="B1066" i="1"/>
  <c r="C1066" i="1" s="1"/>
  <c r="B660" i="1"/>
  <c r="C660" i="1" s="1"/>
  <c r="B1206" i="1"/>
  <c r="C1206" i="1" s="1"/>
  <c r="B483" i="1"/>
  <c r="C483" i="1" s="1"/>
  <c r="B1547" i="1"/>
  <c r="C1547" i="1" s="1"/>
  <c r="B1514" i="1"/>
  <c r="C1514" i="1" s="1"/>
  <c r="B597" i="1"/>
  <c r="C597" i="1" s="1"/>
  <c r="B1114" i="1"/>
  <c r="C1114" i="1" s="1"/>
  <c r="B615" i="1"/>
  <c r="C615" i="1" s="1"/>
  <c r="B979" i="1"/>
  <c r="C979" i="1" s="1"/>
  <c r="B1092" i="1"/>
  <c r="C1092" i="1" s="1"/>
  <c r="B911" i="1"/>
  <c r="C911" i="1" s="1"/>
  <c r="B1485" i="1"/>
  <c r="C1485" i="1" s="1"/>
  <c r="B1169" i="1"/>
  <c r="C1169" i="1" s="1"/>
  <c r="B785" i="1"/>
  <c r="C785" i="1" s="1"/>
  <c r="B571" i="1"/>
  <c r="C571" i="1" s="1"/>
  <c r="B1035" i="1"/>
  <c r="C1035" i="1" s="1"/>
  <c r="B1326" i="1"/>
  <c r="C1326" i="1" s="1"/>
  <c r="B286" i="1"/>
  <c r="C286" i="1" s="1"/>
  <c r="B1032" i="1"/>
  <c r="C1032" i="1" s="1"/>
  <c r="B1154" i="1"/>
  <c r="C1154" i="1" s="1"/>
  <c r="B1301" i="1"/>
  <c r="C1301" i="1" s="1"/>
  <c r="B1041" i="1"/>
  <c r="C1041" i="1" s="1"/>
  <c r="B883" i="1"/>
  <c r="C883" i="1" s="1"/>
  <c r="B1187" i="1"/>
  <c r="C1187" i="1" s="1"/>
  <c r="B545" i="1"/>
  <c r="C545" i="1" s="1"/>
  <c r="B579" i="1"/>
  <c r="C579" i="1" s="1"/>
  <c r="B1200" i="1"/>
  <c r="C1200" i="1" s="1"/>
  <c r="B1320" i="1"/>
  <c r="C1320" i="1" s="1"/>
  <c r="B1030" i="1"/>
  <c r="C1030" i="1" s="1"/>
  <c r="B1180" i="1"/>
  <c r="C1180" i="1" s="1"/>
  <c r="B998" i="1"/>
  <c r="C998" i="1" s="1"/>
  <c r="B1005" i="1"/>
  <c r="C1005" i="1" s="1"/>
  <c r="B563" i="1"/>
  <c r="C563" i="1" s="1"/>
  <c r="B514" i="1"/>
  <c r="C514" i="1" s="1"/>
  <c r="B1397" i="1"/>
  <c r="C1397" i="1" s="1"/>
  <c r="B1271" i="1"/>
  <c r="C1271" i="1" s="1"/>
  <c r="B980" i="1"/>
  <c r="C980" i="1" s="1"/>
  <c r="B516" i="1"/>
  <c r="C516" i="1" s="1"/>
  <c r="B1311" i="1"/>
  <c r="C1311" i="1" s="1"/>
  <c r="B1503" i="1"/>
  <c r="C1503" i="1" s="1"/>
  <c r="B294" i="1"/>
  <c r="C294" i="1" s="1"/>
  <c r="B488" i="1"/>
  <c r="C488" i="1" s="1"/>
  <c r="B1372" i="1"/>
  <c r="C1372" i="1" s="1"/>
  <c r="B846" i="1"/>
  <c r="C846" i="1" s="1"/>
  <c r="B1260" i="1"/>
  <c r="C1260" i="1" s="1"/>
  <c r="B475" i="1"/>
  <c r="C475" i="1" s="1"/>
  <c r="B1493" i="1"/>
  <c r="C1493" i="1" s="1"/>
  <c r="B939" i="1"/>
  <c r="C939" i="1" s="1"/>
  <c r="B1308" i="1"/>
  <c r="C1308" i="1" s="1"/>
  <c r="B1045" i="1"/>
  <c r="C1045" i="1" s="1"/>
  <c r="B428" i="1"/>
  <c r="C428" i="1" s="1"/>
  <c r="B397" i="1"/>
  <c r="C397" i="1" s="1"/>
  <c r="B1391" i="1"/>
  <c r="C1391" i="1" s="1"/>
  <c r="B1371" i="1"/>
  <c r="C1371" i="1" s="1"/>
  <c r="B419" i="1"/>
  <c r="C419" i="1" s="1"/>
  <c r="B1534" i="1"/>
  <c r="C1534" i="1" s="1"/>
  <c r="B1440" i="1"/>
  <c r="C1440" i="1" s="1"/>
  <c r="B1273" i="1"/>
  <c r="C1273" i="1" s="1"/>
  <c r="B401" i="1"/>
  <c r="C401" i="1" s="1"/>
  <c r="B237" i="1"/>
  <c r="C237" i="1" s="1"/>
  <c r="B1471" i="1"/>
  <c r="C1471" i="1" s="1"/>
  <c r="B1463" i="1"/>
  <c r="C1463" i="1" s="1"/>
  <c r="B1455" i="1"/>
  <c r="C1455" i="1" s="1"/>
  <c r="B967" i="1"/>
  <c r="C967" i="1" s="1"/>
  <c r="B1424" i="1"/>
  <c r="C1424" i="1" s="1"/>
  <c r="B377" i="1"/>
  <c r="C377" i="1" s="1"/>
  <c r="B413" i="1"/>
  <c r="C413" i="1" s="1"/>
  <c r="B923" i="1"/>
  <c r="C923" i="1" s="1"/>
  <c r="B357" i="1"/>
  <c r="C357" i="1" s="1"/>
  <c r="B371" i="1"/>
  <c r="C371" i="1" s="1"/>
  <c r="B823" i="1"/>
  <c r="C823" i="1" s="1"/>
  <c r="B287" i="1"/>
  <c r="C287" i="1" s="1"/>
  <c r="B189" i="1"/>
  <c r="C189" i="1" s="1"/>
  <c r="B962" i="1"/>
  <c r="C962" i="1" s="1"/>
  <c r="B358" i="1"/>
  <c r="C358" i="1" s="1"/>
  <c r="B392" i="1"/>
  <c r="C392" i="1" s="1"/>
  <c r="B825" i="1"/>
  <c r="C825" i="1" s="1"/>
  <c r="B767" i="1"/>
  <c r="C767" i="1" s="1"/>
  <c r="B950" i="1"/>
  <c r="C950" i="1" s="1"/>
  <c r="B192" i="1"/>
  <c r="C192" i="1" s="1"/>
  <c r="B1295" i="1"/>
  <c r="C1295" i="1" s="1"/>
  <c r="B1008" i="1"/>
  <c r="C1008" i="1" s="1"/>
  <c r="B188" i="1"/>
  <c r="C188" i="1" s="1"/>
  <c r="B1188" i="1"/>
  <c r="C1188" i="1" s="1"/>
  <c r="B334" i="1"/>
  <c r="C334" i="1" s="1"/>
  <c r="B918" i="1"/>
  <c r="C918" i="1" s="1"/>
  <c r="B389" i="1"/>
  <c r="C389" i="1" s="1"/>
  <c r="B1546" i="1"/>
  <c r="C1546" i="1" s="1"/>
  <c r="B910" i="1"/>
  <c r="C910" i="1" s="1"/>
  <c r="B1423" i="1"/>
  <c r="C1423" i="1" s="1"/>
  <c r="B290" i="1"/>
  <c r="C290" i="1" s="1"/>
  <c r="B206" i="1"/>
  <c r="C206" i="1" s="1"/>
  <c r="B315" i="1"/>
  <c r="C315" i="1" s="1"/>
  <c r="B291" i="1"/>
  <c r="C291" i="1" s="1"/>
  <c r="B1405" i="1"/>
  <c r="C1405" i="1" s="1"/>
  <c r="B267" i="1"/>
  <c r="C267" i="1" s="1"/>
  <c r="B568" i="1"/>
  <c r="C568" i="1" s="1"/>
  <c r="B322" i="1"/>
  <c r="C322" i="1" s="1"/>
  <c r="B191" i="1"/>
  <c r="C191" i="1" s="1"/>
  <c r="B890" i="1"/>
  <c r="C890" i="1" s="1"/>
  <c r="B764" i="1"/>
  <c r="C764" i="1" s="1"/>
  <c r="B112" i="1"/>
  <c r="C112" i="1" s="1"/>
  <c r="B299" i="1"/>
  <c r="C299" i="1" s="1"/>
  <c r="B273" i="1"/>
  <c r="C273" i="1" s="1"/>
  <c r="B271" i="1"/>
  <c r="C271" i="1" s="1"/>
  <c r="B1074" i="1"/>
  <c r="C1074" i="1" s="1"/>
  <c r="B672" i="1"/>
  <c r="C672" i="1" s="1"/>
  <c r="B199" i="1"/>
  <c r="C199" i="1" s="1"/>
  <c r="B626" i="1"/>
  <c r="C626" i="1" s="1"/>
  <c r="B160" i="1"/>
  <c r="C160" i="1" s="1"/>
  <c r="B1401" i="1"/>
  <c r="C1401" i="1" s="1"/>
  <c r="B143" i="1"/>
  <c r="C143" i="1" s="1"/>
  <c r="B1450" i="1"/>
  <c r="C1450" i="1" s="1"/>
  <c r="B1518" i="1"/>
  <c r="C1518" i="1" s="1"/>
  <c r="B123" i="1"/>
  <c r="C123" i="1" s="1"/>
  <c r="B157" i="1"/>
  <c r="C157" i="1" s="1"/>
  <c r="B113" i="1"/>
  <c r="C113" i="1" s="1"/>
  <c r="B93" i="1"/>
  <c r="C93" i="1" s="1"/>
  <c r="B983" i="1"/>
  <c r="C983" i="1" s="1"/>
  <c r="B104" i="1"/>
  <c r="C104" i="1" s="1"/>
  <c r="B107" i="1"/>
  <c r="C107" i="1" s="1"/>
  <c r="B1383" i="1"/>
  <c r="C1383" i="1" s="1"/>
  <c r="B1307" i="1"/>
  <c r="C1307" i="1" s="1"/>
  <c r="B92" i="1"/>
  <c r="C92" i="1" s="1"/>
  <c r="B1521" i="1"/>
  <c r="C1521" i="1" s="1"/>
  <c r="B66" i="1"/>
  <c r="C66" i="1" s="1"/>
  <c r="B150" i="1"/>
  <c r="C150" i="1" s="1"/>
  <c r="B1528" i="1"/>
  <c r="C1528" i="1" s="1"/>
  <c r="B243" i="1"/>
  <c r="C243" i="1" s="1"/>
  <c r="B60" i="1"/>
  <c r="C60" i="1" s="1"/>
  <c r="B722" i="1"/>
  <c r="C722" i="1" s="1"/>
  <c r="B265" i="1"/>
  <c r="C265" i="1" s="1"/>
  <c r="B686" i="1"/>
  <c r="C686" i="1" s="1"/>
  <c r="B223" i="1"/>
  <c r="C223" i="1" s="1"/>
  <c r="B842" i="1"/>
  <c r="C842" i="1" s="1"/>
  <c r="B867" i="1"/>
  <c r="C867" i="1" s="1"/>
  <c r="B329" i="1"/>
  <c r="C329" i="1" s="1"/>
  <c r="B263" i="1"/>
  <c r="C263" i="1" s="1"/>
  <c r="B333" i="1"/>
  <c r="C333" i="1" s="1"/>
  <c r="B332" i="1"/>
  <c r="C332" i="1" s="1"/>
  <c r="B212" i="1"/>
  <c r="C212" i="1" s="1"/>
  <c r="B1565" i="1"/>
  <c r="C1565" i="1" s="1"/>
  <c r="B1532" i="1"/>
  <c r="C1532" i="1" s="1"/>
  <c r="B135" i="1"/>
  <c r="C135" i="1" s="1"/>
  <c r="B1355" i="1"/>
  <c r="C1355" i="1" s="1"/>
  <c r="B1516" i="1"/>
  <c r="C1516" i="1" s="1"/>
  <c r="B1286" i="1"/>
  <c r="C1286" i="1" s="1"/>
  <c r="B677" i="1"/>
  <c r="C677" i="1" s="1"/>
  <c r="B866" i="1"/>
  <c r="C866" i="1" s="1"/>
  <c r="B144" i="1"/>
  <c r="C144" i="1" s="1"/>
  <c r="B657" i="1"/>
  <c r="C657" i="1" s="1"/>
  <c r="B871" i="1"/>
  <c r="C871" i="1" s="1"/>
  <c r="B64" i="1"/>
  <c r="C64" i="1" s="1"/>
  <c r="B1526" i="1"/>
  <c r="C1526" i="1" s="1"/>
  <c r="B146" i="1"/>
  <c r="C146" i="1" s="1"/>
  <c r="B633" i="1"/>
  <c r="C633" i="1" s="1"/>
  <c r="B855" i="1"/>
  <c r="C855" i="1" s="1"/>
  <c r="B619" i="1"/>
  <c r="C619" i="1" s="1"/>
  <c r="B264" i="1"/>
  <c r="C264" i="1" s="1"/>
  <c r="B364" i="1"/>
  <c r="C364" i="1" s="1"/>
  <c r="B330" i="1"/>
  <c r="C330" i="1" s="1"/>
  <c r="B507" i="1"/>
  <c r="C507" i="1" s="1"/>
  <c r="B894" i="1"/>
  <c r="C894" i="1" s="1"/>
  <c r="B1543" i="1"/>
  <c r="C1543" i="1" s="1"/>
  <c r="B201" i="1"/>
  <c r="C201" i="1" s="1"/>
  <c r="B997" i="1"/>
  <c r="C997" i="1" s="1"/>
  <c r="B1004" i="1"/>
  <c r="C1004" i="1" s="1"/>
  <c r="B1172" i="1"/>
  <c r="C1172" i="1" s="1"/>
  <c r="B319" i="1"/>
  <c r="C319" i="1" s="1"/>
  <c r="B1533" i="1"/>
  <c r="C1533" i="1" s="1"/>
  <c r="B851" i="1"/>
  <c r="C851" i="1" s="1"/>
  <c r="B288" i="1"/>
  <c r="C288" i="1" s="1"/>
  <c r="B803" i="1"/>
  <c r="C803" i="1" s="1"/>
  <c r="B586" i="1"/>
  <c r="C586" i="1" s="1"/>
  <c r="B693" i="1"/>
  <c r="C693" i="1" s="1"/>
  <c r="B697" i="1"/>
  <c r="C697" i="1" s="1"/>
  <c r="B1170" i="1"/>
  <c r="C1170" i="1" s="1"/>
  <c r="B876" i="1"/>
  <c r="C876" i="1" s="1"/>
  <c r="B268" i="1"/>
  <c r="C268" i="1" s="1"/>
  <c r="B344" i="1"/>
  <c r="C344" i="1" s="1"/>
  <c r="B214" i="1"/>
  <c r="C214" i="1" s="1"/>
  <c r="B1404" i="1"/>
  <c r="C1404" i="1" s="1"/>
  <c r="B218" i="1"/>
  <c r="C218" i="1" s="1"/>
  <c r="B277" i="1"/>
  <c r="C277" i="1" s="1"/>
  <c r="B541" i="1"/>
  <c r="C541" i="1" s="1"/>
  <c r="B222" i="1"/>
  <c r="C222" i="1" s="1"/>
  <c r="B137" i="1"/>
  <c r="C137" i="1" s="1"/>
  <c r="B879" i="1"/>
  <c r="C879" i="1" s="1"/>
  <c r="B932" i="1"/>
  <c r="C932" i="1" s="1"/>
  <c r="B758" i="1"/>
  <c r="C758" i="1" s="1"/>
  <c r="B1403" i="1"/>
  <c r="C1403" i="1" s="1"/>
  <c r="B127" i="1"/>
  <c r="C127" i="1" s="1"/>
  <c r="B249" i="1"/>
  <c r="C249" i="1" s="1"/>
  <c r="B132" i="1"/>
  <c r="C132" i="1" s="1"/>
  <c r="B126" i="1"/>
  <c r="C126" i="1" s="1"/>
  <c r="B1449" i="1"/>
  <c r="C1449" i="1" s="1"/>
  <c r="B670" i="1"/>
  <c r="C670" i="1" s="1"/>
  <c r="B356" i="1"/>
  <c r="C356" i="1" s="1"/>
  <c r="B109" i="1"/>
  <c r="C109" i="1" s="1"/>
  <c r="B523" i="1"/>
  <c r="C523" i="1" s="1"/>
  <c r="B661" i="1"/>
  <c r="C661" i="1" s="1"/>
  <c r="B178" i="1"/>
  <c r="C178" i="1" s="1"/>
  <c r="B822" i="1"/>
  <c r="C822" i="1" s="1"/>
  <c r="B1453" i="1"/>
  <c r="C1453" i="1" s="1"/>
  <c r="B260" i="1"/>
  <c r="C260" i="1" s="1"/>
  <c r="B97" i="1"/>
  <c r="C97" i="1" s="1"/>
  <c r="B912" i="1"/>
  <c r="C912" i="1" s="1"/>
  <c r="B307" i="1"/>
  <c r="C307" i="1" s="1"/>
  <c r="B1499" i="1"/>
  <c r="C1499" i="1" s="1"/>
  <c r="B101" i="1"/>
  <c r="C101" i="1" s="1"/>
  <c r="B204" i="1"/>
  <c r="C204" i="1" s="1"/>
  <c r="B345" i="1"/>
  <c r="C345" i="1" s="1"/>
  <c r="B1483" i="1"/>
  <c r="C1483" i="1" s="1"/>
  <c r="B725" i="1"/>
  <c r="C725" i="1" s="1"/>
  <c r="B68" i="1"/>
  <c r="C68" i="1" s="1"/>
  <c r="B53" i="1"/>
  <c r="C53" i="1" s="1"/>
  <c r="B81" i="1"/>
  <c r="C81" i="1" s="1"/>
  <c r="B618" i="1"/>
  <c r="C618" i="1" s="1"/>
  <c r="B293" i="1"/>
  <c r="C293" i="1" s="1"/>
  <c r="B161" i="1"/>
  <c r="C161" i="1" s="1"/>
  <c r="B21" i="1"/>
  <c r="C21" i="1" s="1"/>
  <c r="B881" i="1"/>
  <c r="C881" i="1" s="1"/>
  <c r="B219" i="1"/>
  <c r="C219" i="1" s="1"/>
  <c r="B1285" i="1"/>
  <c r="C1285" i="1" s="1"/>
  <c r="B1562" i="1"/>
  <c r="C1562" i="1" s="1"/>
  <c r="B1232" i="1"/>
  <c r="C1232" i="1" s="1"/>
  <c r="B1351" i="1"/>
  <c r="C1351" i="1" s="1"/>
  <c r="B1354" i="1"/>
  <c r="C1354" i="1" s="1"/>
  <c r="B1238" i="1"/>
  <c r="C1238" i="1" s="1"/>
  <c r="B865" i="1"/>
  <c r="C865" i="1" s="1"/>
  <c r="B210" i="1"/>
  <c r="C210" i="1" s="1"/>
  <c r="B250" i="1"/>
  <c r="C250" i="1" s="1"/>
  <c r="B24" i="1"/>
  <c r="C24" i="1" s="1"/>
  <c r="B159" i="1"/>
  <c r="C159" i="1" s="1"/>
  <c r="B203" i="1"/>
  <c r="C203" i="1" s="1"/>
  <c r="B848" i="1"/>
  <c r="C848" i="1" s="1"/>
  <c r="B17" i="1"/>
  <c r="C17" i="1" s="1"/>
  <c r="B1016" i="1"/>
  <c r="C1016" i="1" s="1"/>
  <c r="B1242" i="1"/>
  <c r="C1242" i="1" s="1"/>
  <c r="B690" i="1"/>
  <c r="C690" i="1" s="1"/>
  <c r="B1241" i="1"/>
  <c r="C1241" i="1" s="1"/>
  <c r="B1434" i="1"/>
  <c r="C1434" i="1" s="1"/>
  <c r="B896" i="1"/>
  <c r="C896" i="1" s="1"/>
  <c r="B366" i="1"/>
  <c r="C366" i="1" s="1"/>
  <c r="B261" i="1"/>
  <c r="C261" i="1" s="1"/>
  <c r="B943" i="1"/>
  <c r="C943" i="1" s="1"/>
  <c r="B255" i="1"/>
  <c r="C255" i="1" s="1"/>
  <c r="B1298" i="1"/>
  <c r="C1298" i="1" s="1"/>
  <c r="B325" i="1"/>
  <c r="C325" i="1" s="1"/>
  <c r="B664" i="1"/>
  <c r="C664" i="1" s="1"/>
  <c r="B915" i="1"/>
  <c r="C915" i="1" s="1"/>
  <c r="B304" i="1"/>
  <c r="C304" i="1" s="1"/>
  <c r="B957" i="1"/>
  <c r="C957" i="1" s="1"/>
  <c r="B789" i="1"/>
  <c r="C789" i="1" s="1"/>
  <c r="B845" i="1"/>
  <c r="C845" i="1" s="1"/>
  <c r="B279" i="1"/>
  <c r="C279" i="1" s="1"/>
  <c r="B1272" i="1"/>
  <c r="C1272" i="1" s="1"/>
  <c r="B728" i="1"/>
  <c r="C728" i="1" s="1"/>
  <c r="B439" i="1"/>
  <c r="C439" i="1" s="1"/>
  <c r="B245" i="1"/>
  <c r="C245" i="1" s="1"/>
  <c r="B292" i="1"/>
  <c r="C292" i="1" s="1"/>
  <c r="B281" i="1"/>
  <c r="C281" i="1" s="1"/>
  <c r="B888" i="1"/>
  <c r="C888" i="1" s="1"/>
  <c r="B1063" i="1"/>
  <c r="C1063" i="1" s="1"/>
  <c r="B688" i="1"/>
  <c r="C688" i="1" s="1"/>
  <c r="B1488" i="1"/>
  <c r="C1488" i="1" s="1"/>
  <c r="B420" i="1"/>
  <c r="C420" i="1" s="1"/>
  <c r="B1386" i="1"/>
  <c r="C1386" i="1" s="1"/>
  <c r="B929" i="1"/>
  <c r="C929" i="1" s="1"/>
  <c r="B854" i="1"/>
  <c r="C854" i="1" s="1"/>
  <c r="B494" i="1"/>
  <c r="C494" i="1" s="1"/>
  <c r="B856" i="1"/>
  <c r="C856" i="1" s="1"/>
  <c r="B272" i="1"/>
  <c r="C272" i="1" s="1"/>
  <c r="B85" i="1"/>
  <c r="C85" i="1" s="1"/>
  <c r="B270" i="1"/>
  <c r="C270" i="1" s="1"/>
  <c r="B139" i="1"/>
  <c r="C139" i="1" s="1"/>
  <c r="B412" i="1"/>
  <c r="C412" i="1" s="1"/>
  <c r="B624" i="1"/>
  <c r="C624" i="1" s="1"/>
  <c r="B1402" i="1"/>
  <c r="C1402" i="1" s="1"/>
  <c r="B953" i="1"/>
  <c r="C953" i="1" s="1"/>
  <c r="B1501" i="1"/>
  <c r="C1501" i="1" s="1"/>
  <c r="B1431" i="1"/>
  <c r="C1431" i="1" s="1"/>
  <c r="B198" i="1"/>
  <c r="C198" i="1" s="1"/>
  <c r="B120" i="1"/>
  <c r="C120" i="1" s="1"/>
  <c r="B156" i="1"/>
  <c r="C156" i="1" s="1"/>
  <c r="B385" i="1"/>
  <c r="C385" i="1" s="1"/>
  <c r="B783" i="1"/>
  <c r="C783" i="1" s="1"/>
  <c r="B684" i="1"/>
  <c r="C684" i="1" s="1"/>
  <c r="B37" i="1"/>
  <c r="C37" i="1" s="1"/>
  <c r="B504" i="1"/>
  <c r="C504" i="1" s="1"/>
  <c r="B73" i="1"/>
  <c r="C73" i="1" s="1"/>
  <c r="B184" i="1"/>
  <c r="C184" i="1" s="1"/>
  <c r="B72" i="1"/>
  <c r="C72" i="1" s="1"/>
  <c r="B69" i="1"/>
  <c r="C69" i="1" s="1"/>
  <c r="B984" i="1"/>
  <c r="C984" i="1" s="1"/>
  <c r="B1015" i="1"/>
  <c r="C1015" i="1" s="1"/>
  <c r="B821" i="1"/>
  <c r="C821" i="1" s="1"/>
  <c r="B83" i="1"/>
  <c r="C83" i="1" s="1"/>
  <c r="B634" i="1"/>
  <c r="C634" i="1" s="1"/>
  <c r="B1481" i="1"/>
  <c r="C1481" i="1" s="1"/>
  <c r="B341" i="1"/>
  <c r="C341" i="1" s="1"/>
  <c r="B47" i="1"/>
  <c r="C47" i="1" s="1"/>
  <c r="B1382" i="1"/>
  <c r="C1382" i="1" s="1"/>
  <c r="B46" i="1"/>
  <c r="C46" i="1" s="1"/>
  <c r="B33" i="1"/>
  <c r="C33" i="1" s="1"/>
  <c r="B190" i="1"/>
  <c r="C190" i="1" s="1"/>
  <c r="B1497" i="1"/>
  <c r="C1497" i="1" s="1"/>
  <c r="B1512" i="1"/>
  <c r="C1512" i="1" s="1"/>
  <c r="B1280" i="1"/>
  <c r="C1280" i="1" s="1"/>
  <c r="B10" i="1"/>
  <c r="C10" i="1" s="1"/>
  <c r="B1529" i="1"/>
  <c r="C1529" i="1" s="1"/>
  <c r="B1436" i="1"/>
  <c r="C1436" i="1" s="1"/>
  <c r="B1553" i="1"/>
  <c r="C1553" i="1" s="1"/>
  <c r="B1350" i="1"/>
  <c r="C1350" i="1" s="1"/>
  <c r="B1496" i="1"/>
  <c r="C1496" i="1" s="1"/>
  <c r="B863" i="1"/>
  <c r="C863" i="1" s="1"/>
  <c r="B1003" i="1"/>
  <c r="C1003" i="1" s="1"/>
  <c r="B999" i="1"/>
  <c r="C999" i="1" s="1"/>
  <c r="B1026" i="1"/>
  <c r="C1026" i="1" s="1"/>
  <c r="B108" i="1"/>
  <c r="C108" i="1" s="1"/>
  <c r="B850" i="1"/>
  <c r="C850" i="1" s="1"/>
  <c r="B548" i="1"/>
  <c r="C548" i="1" s="1"/>
  <c r="B205" i="1"/>
  <c r="C205" i="1" s="1"/>
  <c r="B8" i="1"/>
  <c r="C8" i="1" s="1"/>
  <c r="B839" i="1"/>
  <c r="C839" i="1" s="1"/>
  <c r="B63" i="1"/>
  <c r="C63" i="1" s="1"/>
  <c r="B907" i="1"/>
  <c r="C907" i="1" s="1"/>
  <c r="B946" i="1"/>
  <c r="C946" i="1" s="1"/>
  <c r="B889" i="1"/>
  <c r="C889" i="1" s="1"/>
  <c r="B1132" i="1"/>
  <c r="C1132" i="1" s="1"/>
  <c r="B1291" i="1"/>
  <c r="C1291" i="1" s="1"/>
  <c r="B1282" i="1"/>
  <c r="C1282" i="1" s="1"/>
  <c r="B331" i="1"/>
  <c r="C331" i="1" s="1"/>
  <c r="B995" i="1"/>
  <c r="C995" i="1" s="1"/>
  <c r="B231" i="1"/>
  <c r="C231" i="1" s="1"/>
  <c r="B917" i="1"/>
  <c r="C917" i="1" s="1"/>
  <c r="B765" i="1"/>
  <c r="C765" i="1" s="1"/>
  <c r="B1256" i="1"/>
  <c r="C1256" i="1" s="1"/>
  <c r="B834" i="1"/>
  <c r="C834" i="1" s="1"/>
  <c r="B278" i="1"/>
  <c r="C278" i="1" s="1"/>
  <c r="B301" i="1"/>
  <c r="C301" i="1" s="1"/>
  <c r="B207" i="1"/>
  <c r="C207" i="1" s="1"/>
  <c r="B235" i="1"/>
  <c r="C235" i="1" s="1"/>
  <c r="B703" i="1"/>
  <c r="C703" i="1" s="1"/>
  <c r="B242" i="1"/>
  <c r="C242" i="1" s="1"/>
  <c r="B875" i="1"/>
  <c r="C875" i="1" s="1"/>
  <c r="B577" i="1"/>
  <c r="C577" i="1" s="1"/>
  <c r="B870" i="1"/>
  <c r="C870" i="1" s="1"/>
  <c r="B256" i="1"/>
  <c r="C256" i="1" s="1"/>
  <c r="B195" i="1"/>
  <c r="C195" i="1" s="1"/>
  <c r="B1536" i="1"/>
  <c r="C1536" i="1" s="1"/>
  <c r="B1360" i="1"/>
  <c r="C1360" i="1" s="1"/>
  <c r="B354" i="1"/>
  <c r="C354" i="1" s="1"/>
  <c r="B1359" i="1"/>
  <c r="C1359" i="1" s="1"/>
  <c r="B1216" i="1"/>
  <c r="C1216" i="1" s="1"/>
  <c r="B1192" i="1"/>
  <c r="C1192" i="1" s="1"/>
  <c r="B141" i="1"/>
  <c r="C141" i="1" s="1"/>
  <c r="B1213" i="1"/>
  <c r="C1213" i="1" s="1"/>
  <c r="B1384" i="1"/>
  <c r="C1384" i="1" s="1"/>
  <c r="B128" i="1"/>
  <c r="C128" i="1" s="1"/>
  <c r="B131" i="1"/>
  <c r="C131" i="1" s="1"/>
  <c r="B296" i="1"/>
  <c r="C296" i="1" s="1"/>
  <c r="B67" i="1"/>
  <c r="C67" i="1" s="1"/>
  <c r="B747" i="1"/>
  <c r="C747" i="1" s="1"/>
  <c r="B637" i="1"/>
  <c r="C637" i="1" s="1"/>
  <c r="B6" i="1"/>
  <c r="C6" i="1" s="1"/>
  <c r="B1400" i="1"/>
  <c r="C1400" i="1" s="1"/>
  <c r="B215" i="1"/>
  <c r="C215" i="1" s="1"/>
  <c r="B155" i="1"/>
  <c r="C155" i="1" s="1"/>
  <c r="B996" i="1"/>
  <c r="C996" i="1" s="1"/>
  <c r="B535" i="1"/>
  <c r="C535" i="1" s="1"/>
  <c r="B558" i="1"/>
  <c r="C558" i="1" s="1"/>
  <c r="B1476" i="1"/>
  <c r="C1476" i="1" s="1"/>
  <c r="B75" i="1"/>
  <c r="C75" i="1" s="1"/>
  <c r="B1491" i="1"/>
  <c r="C1491" i="1" s="1"/>
  <c r="B1500" i="1"/>
  <c r="C1500" i="1" s="1"/>
  <c r="B70" i="1"/>
  <c r="C70" i="1" s="1"/>
  <c r="B162" i="1"/>
  <c r="C162" i="1" s="1"/>
  <c r="B90" i="1"/>
  <c r="C90" i="1" s="1"/>
  <c r="B59" i="1"/>
  <c r="C59" i="1" s="1"/>
  <c r="B1122" i="1"/>
  <c r="C1122" i="1" s="1"/>
  <c r="B398" i="1"/>
  <c r="C398" i="1" s="1"/>
  <c r="B55" i="1"/>
  <c r="C55" i="1" s="1"/>
  <c r="B3" i="1"/>
  <c r="C3" i="1" s="1"/>
  <c r="B138" i="1"/>
  <c r="C138" i="1" s="1"/>
  <c r="B841" i="1"/>
  <c r="C841" i="1" s="1"/>
  <c r="B316" i="1"/>
  <c r="C316" i="1" s="1"/>
  <c r="B175" i="1"/>
  <c r="C175" i="1" s="1"/>
  <c r="B383" i="1"/>
  <c r="C383" i="1" s="1"/>
  <c r="B343" i="1"/>
  <c r="C343" i="1" s="1"/>
  <c r="B4" i="1"/>
  <c r="C4" i="1" s="1"/>
  <c r="B106" i="1"/>
  <c r="C106" i="1" s="1"/>
  <c r="B1243" i="1"/>
  <c r="C1243" i="1" s="1"/>
  <c r="B230" i="1"/>
  <c r="C230" i="1" s="1"/>
  <c r="B1552" i="1"/>
  <c r="C1552" i="1" s="1"/>
  <c r="B885" i="1"/>
  <c r="C885" i="1" s="1"/>
  <c r="B116" i="1"/>
  <c r="C116" i="1" s="1"/>
  <c r="B754" i="1"/>
  <c r="C754" i="1" s="1"/>
  <c r="B873" i="1"/>
  <c r="C873" i="1" s="1"/>
  <c r="B877" i="1"/>
  <c r="C877" i="1" s="1"/>
  <c r="B166" i="1"/>
  <c r="C166" i="1" s="1"/>
  <c r="B874" i="1"/>
  <c r="C874" i="1" s="1"/>
  <c r="B714" i="1"/>
  <c r="C714" i="1" s="1"/>
  <c r="B57" i="1"/>
  <c r="C57" i="1" s="1"/>
  <c r="B838" i="1"/>
  <c r="C838" i="1" s="1"/>
  <c r="B148" i="1"/>
  <c r="C148" i="1" s="1"/>
  <c r="B1236" i="1"/>
  <c r="C1236" i="1" s="1"/>
  <c r="B853" i="1"/>
  <c r="C853" i="1" s="1"/>
  <c r="B687" i="1"/>
  <c r="C687" i="1" s="1"/>
  <c r="B1065" i="1"/>
  <c r="C1065" i="1" s="1"/>
  <c r="B394" i="1"/>
  <c r="C394" i="1" s="1"/>
  <c r="B1452" i="1"/>
  <c r="C1452" i="1" s="1"/>
  <c r="B928" i="1"/>
  <c r="C928" i="1" s="1"/>
  <c r="B359" i="1"/>
  <c r="C359" i="1" s="1"/>
  <c r="B339" i="1"/>
  <c r="C339" i="1" s="1"/>
  <c r="B346" i="1"/>
  <c r="C346" i="1" s="1"/>
  <c r="B396" i="1"/>
  <c r="C396" i="1" s="1"/>
  <c r="B1021" i="1"/>
  <c r="C1021" i="1" s="1"/>
  <c r="B1367" i="1"/>
  <c r="C1367" i="1" s="1"/>
  <c r="B1258" i="1"/>
  <c r="C1258" i="1" s="1"/>
  <c r="B300" i="1"/>
  <c r="C300" i="1" s="1"/>
  <c r="B1548" i="1"/>
  <c r="C1548" i="1" s="1"/>
  <c r="B869" i="1"/>
  <c r="C869" i="1" s="1"/>
  <c r="B314" i="1"/>
  <c r="C314" i="1" s="1"/>
  <c r="B914" i="1"/>
  <c r="C914" i="1" s="1"/>
  <c r="B1161" i="1"/>
  <c r="C1161" i="1" s="1"/>
  <c r="B302" i="1"/>
  <c r="C302" i="1" s="1"/>
  <c r="B1176" i="1"/>
  <c r="C1176" i="1" s="1"/>
  <c r="B1388" i="1"/>
  <c r="C1388" i="1" s="1"/>
  <c r="B970" i="1"/>
  <c r="C970" i="1" s="1"/>
  <c r="B240" i="1"/>
  <c r="C240" i="1" s="1"/>
  <c r="B284" i="1"/>
  <c r="C284" i="1" s="1"/>
  <c r="B1396" i="1"/>
  <c r="C1396" i="1" s="1"/>
  <c r="B208" i="1"/>
  <c r="C208" i="1" s="1"/>
  <c r="B266" i="1"/>
  <c r="C266" i="1" s="1"/>
  <c r="B365" i="1"/>
  <c r="C365" i="1" s="1"/>
  <c r="B1451" i="1"/>
  <c r="C1451" i="1" s="1"/>
  <c r="B1159" i="1"/>
  <c r="C1159" i="1" s="1"/>
  <c r="B276" i="1"/>
  <c r="C276" i="1" s="1"/>
  <c r="B182" i="1"/>
  <c r="C182" i="1" s="1"/>
  <c r="B313" i="1"/>
  <c r="C313" i="1" s="1"/>
  <c r="B181" i="1"/>
  <c r="C181" i="1" s="1"/>
  <c r="B158" i="1"/>
  <c r="C158" i="1" s="1"/>
  <c r="B217" i="1"/>
  <c r="C217" i="1" s="1"/>
  <c r="B179" i="1"/>
  <c r="C179" i="1" s="1"/>
  <c r="B129" i="1"/>
  <c r="C129" i="1" s="1"/>
  <c r="B627" i="1"/>
  <c r="C627" i="1" s="1"/>
  <c r="B251" i="1"/>
  <c r="C251" i="1" s="1"/>
  <c r="B415" i="1"/>
  <c r="C415" i="1" s="1"/>
  <c r="B721" i="1"/>
  <c r="C721" i="1" s="1"/>
  <c r="B941" i="1"/>
  <c r="C941" i="1" s="1"/>
  <c r="B646" i="1"/>
  <c r="C646" i="1" s="1"/>
  <c r="B519" i="1"/>
  <c r="C519" i="1" s="1"/>
  <c r="B515" i="1"/>
  <c r="C515" i="1" s="1"/>
  <c r="B901" i="1"/>
  <c r="C901" i="1" s="1"/>
  <c r="B1475" i="1"/>
  <c r="C1475" i="1" s="1"/>
  <c r="B622" i="1"/>
  <c r="C622" i="1" s="1"/>
  <c r="B84" i="1"/>
  <c r="C84" i="1" s="1"/>
  <c r="B82" i="1"/>
  <c r="C82" i="1" s="1"/>
  <c r="B96" i="1"/>
  <c r="C96" i="1" s="1"/>
  <c r="B565" i="1"/>
  <c r="C565" i="1" s="1"/>
  <c r="B103" i="1"/>
  <c r="C103" i="1" s="1"/>
  <c r="B437" i="1"/>
  <c r="C437" i="1" s="1"/>
  <c r="B74" i="1"/>
  <c r="C74" i="1" s="1"/>
  <c r="B1567" i="1"/>
  <c r="C1567" i="1" s="1"/>
  <c r="B991" i="1"/>
  <c r="C991" i="1" s="1"/>
  <c r="B295" i="1"/>
  <c r="C295" i="1" s="1"/>
  <c r="B1482" i="1"/>
  <c r="C1482" i="1" s="1"/>
  <c r="B79" i="1"/>
  <c r="C79" i="1" s="1"/>
  <c r="B311" i="1"/>
  <c r="C311" i="1" s="1"/>
  <c r="B87" i="1"/>
  <c r="C87" i="1" s="1"/>
  <c r="B22" i="1"/>
  <c r="C22" i="1" s="1"/>
  <c r="B49" i="1"/>
  <c r="C49" i="1" s="1"/>
  <c r="B151" i="1"/>
  <c r="C151" i="1" s="1"/>
  <c r="B430" i="1"/>
  <c r="C430" i="1" s="1"/>
  <c r="B12" i="1"/>
  <c r="C12" i="1" s="1"/>
  <c r="B52" i="1"/>
  <c r="C52" i="1" s="1"/>
  <c r="B1036" i="1"/>
  <c r="C1036" i="1" s="1"/>
  <c r="B886" i="1"/>
  <c r="C886" i="1" s="1"/>
  <c r="B1563" i="1"/>
  <c r="C1563" i="1" s="1"/>
  <c r="B31" i="1"/>
  <c r="C31" i="1" s="1"/>
  <c r="B145" i="1"/>
  <c r="C145" i="1" s="1"/>
  <c r="B1541" i="1"/>
  <c r="C1541" i="1" s="1"/>
  <c r="B5" i="1"/>
  <c r="C5" i="1" s="1"/>
  <c r="B119" i="1"/>
  <c r="C119" i="1" s="1"/>
  <c r="B48" i="1"/>
  <c r="C48" i="1" s="1"/>
  <c r="B209" i="1"/>
  <c r="C209" i="1" s="1"/>
  <c r="B13" i="1"/>
  <c r="C13" i="1" s="1"/>
  <c r="B1530" i="1"/>
  <c r="C1530" i="1" s="1"/>
  <c r="B844" i="1"/>
  <c r="C844" i="1" s="1"/>
  <c r="B27" i="1"/>
  <c r="C27" i="1" s="1"/>
  <c r="B61" i="1"/>
  <c r="C61" i="1" s="1"/>
  <c r="B16" i="1"/>
  <c r="C16" i="1" s="1"/>
  <c r="B56" i="1"/>
  <c r="C56" i="1" s="1"/>
  <c r="B147" i="1"/>
  <c r="C147" i="1" s="1"/>
  <c r="R2" i="3" l="1"/>
  <c r="R10" i="3"/>
  <c r="R18" i="3"/>
  <c r="R26" i="3"/>
  <c r="R34" i="3"/>
  <c r="R42" i="3"/>
  <c r="R50" i="3"/>
  <c r="R58" i="3"/>
  <c r="R66" i="3"/>
  <c r="R74" i="3"/>
  <c r="R82" i="3"/>
  <c r="R90" i="3"/>
  <c r="R98" i="3"/>
  <c r="R106" i="3"/>
  <c r="R114" i="3"/>
  <c r="R122" i="3"/>
  <c r="R130" i="3"/>
  <c r="R138" i="3"/>
  <c r="R146" i="3"/>
  <c r="R154" i="3"/>
  <c r="R162" i="3"/>
  <c r="R170" i="3"/>
  <c r="R178" i="3"/>
  <c r="R186" i="3"/>
  <c r="R194" i="3"/>
  <c r="R202" i="3"/>
  <c r="R210" i="3"/>
  <c r="R218" i="3"/>
  <c r="R226" i="3"/>
  <c r="R234" i="3"/>
  <c r="R242" i="3"/>
  <c r="R250" i="3"/>
  <c r="R258" i="3"/>
  <c r="R266" i="3"/>
  <c r="R274" i="3"/>
  <c r="R282" i="3"/>
  <c r="R290" i="3"/>
  <c r="R298" i="3"/>
  <c r="R306" i="3"/>
  <c r="R314" i="3"/>
  <c r="R322" i="3"/>
  <c r="R330" i="3"/>
  <c r="R338" i="3"/>
  <c r="R346" i="3"/>
  <c r="R354" i="3"/>
  <c r="R362" i="3"/>
  <c r="R370" i="3"/>
  <c r="R378" i="3"/>
  <c r="R386" i="3"/>
  <c r="R394" i="3"/>
  <c r="R402" i="3"/>
  <c r="R410" i="3"/>
  <c r="R418" i="3"/>
  <c r="R426" i="3"/>
  <c r="R434" i="3"/>
  <c r="R442" i="3"/>
  <c r="R450" i="3"/>
  <c r="R458" i="3"/>
  <c r="R466" i="3"/>
  <c r="R474" i="3"/>
  <c r="R482" i="3"/>
  <c r="R490" i="3"/>
  <c r="R498" i="3"/>
  <c r="R506" i="3"/>
  <c r="R514" i="3"/>
  <c r="R522" i="3"/>
  <c r="R530" i="3"/>
  <c r="R538" i="3"/>
  <c r="S4" i="3"/>
  <c r="S12" i="3"/>
  <c r="S20" i="3"/>
  <c r="S28" i="3"/>
  <c r="R3" i="3"/>
  <c r="R11" i="3"/>
  <c r="R19" i="3"/>
  <c r="R27" i="3"/>
  <c r="R35" i="3"/>
  <c r="R43" i="3"/>
  <c r="R51" i="3"/>
  <c r="R59" i="3"/>
  <c r="R67" i="3"/>
  <c r="R75" i="3"/>
  <c r="R83" i="3"/>
  <c r="R91" i="3"/>
  <c r="R99" i="3"/>
  <c r="R107" i="3"/>
  <c r="R115" i="3"/>
  <c r="R123" i="3"/>
  <c r="R131" i="3"/>
  <c r="R139" i="3"/>
  <c r="R147" i="3"/>
  <c r="R155" i="3"/>
  <c r="R163" i="3"/>
  <c r="R171" i="3"/>
  <c r="R179" i="3"/>
  <c r="R187" i="3"/>
  <c r="R195" i="3"/>
  <c r="R203" i="3"/>
  <c r="R211" i="3"/>
  <c r="R219" i="3"/>
  <c r="R227" i="3"/>
  <c r="R235" i="3"/>
  <c r="R243" i="3"/>
  <c r="R251" i="3"/>
  <c r="R259" i="3"/>
  <c r="R267" i="3"/>
  <c r="R275" i="3"/>
  <c r="R283" i="3"/>
  <c r="R291" i="3"/>
  <c r="R299" i="3"/>
  <c r="R307" i="3"/>
  <c r="R315" i="3"/>
  <c r="R323" i="3"/>
  <c r="R331" i="3"/>
  <c r="R339" i="3"/>
  <c r="R347" i="3"/>
  <c r="R355" i="3"/>
  <c r="R363" i="3"/>
  <c r="R371" i="3"/>
  <c r="R379" i="3"/>
  <c r="R387" i="3"/>
  <c r="R395" i="3"/>
  <c r="R403" i="3"/>
  <c r="R411" i="3"/>
  <c r="R419" i="3"/>
  <c r="R427" i="3"/>
  <c r="R435" i="3"/>
  <c r="R443" i="3"/>
  <c r="R451" i="3"/>
  <c r="R459" i="3"/>
  <c r="R467" i="3"/>
  <c r="R475" i="3"/>
  <c r="R483" i="3"/>
  <c r="R491" i="3"/>
  <c r="R499" i="3"/>
  <c r="R507" i="3"/>
  <c r="R515" i="3"/>
  <c r="R523" i="3"/>
  <c r="R531" i="3"/>
  <c r="R539" i="3"/>
  <c r="S5" i="3"/>
  <c r="S13" i="3"/>
  <c r="S21" i="3"/>
  <c r="S29" i="3"/>
  <c r="S37" i="3"/>
  <c r="S45" i="3"/>
  <c r="S53" i="3"/>
  <c r="S61" i="3"/>
  <c r="S69" i="3"/>
  <c r="S77" i="3"/>
  <c r="S85" i="3"/>
  <c r="S93" i="3"/>
  <c r="S101" i="3"/>
  <c r="S109" i="3"/>
  <c r="S117" i="3"/>
  <c r="S125" i="3"/>
  <c r="S133" i="3"/>
  <c r="R4" i="3"/>
  <c r="R12" i="3"/>
  <c r="R20" i="3"/>
  <c r="R28" i="3"/>
  <c r="R36" i="3"/>
  <c r="R44" i="3"/>
  <c r="R52" i="3"/>
  <c r="R60" i="3"/>
  <c r="R68" i="3"/>
  <c r="R76" i="3"/>
  <c r="R84" i="3"/>
  <c r="R92" i="3"/>
  <c r="R100" i="3"/>
  <c r="R108" i="3"/>
  <c r="R116" i="3"/>
  <c r="R124" i="3"/>
  <c r="R132" i="3"/>
  <c r="R140" i="3"/>
  <c r="R148" i="3"/>
  <c r="R156" i="3"/>
  <c r="R164" i="3"/>
  <c r="R172" i="3"/>
  <c r="R180" i="3"/>
  <c r="R188" i="3"/>
  <c r="R196" i="3"/>
  <c r="R204" i="3"/>
  <c r="R212" i="3"/>
  <c r="R220" i="3"/>
  <c r="R228" i="3"/>
  <c r="R236" i="3"/>
  <c r="R244" i="3"/>
  <c r="R252" i="3"/>
  <c r="R260" i="3"/>
  <c r="R268" i="3"/>
  <c r="R276" i="3"/>
  <c r="R284" i="3"/>
  <c r="R292" i="3"/>
  <c r="R300" i="3"/>
  <c r="R308" i="3"/>
  <c r="R316" i="3"/>
  <c r="R324" i="3"/>
  <c r="R332" i="3"/>
  <c r="R340" i="3"/>
  <c r="R348" i="3"/>
  <c r="R356" i="3"/>
  <c r="R364" i="3"/>
  <c r="R372" i="3"/>
  <c r="R380" i="3"/>
  <c r="R388" i="3"/>
  <c r="R396" i="3"/>
  <c r="R404" i="3"/>
  <c r="R412" i="3"/>
  <c r="R420" i="3"/>
  <c r="R428" i="3"/>
  <c r="R436" i="3"/>
  <c r="R444" i="3"/>
  <c r="R452" i="3"/>
  <c r="R460" i="3"/>
  <c r="R468" i="3"/>
  <c r="R476" i="3"/>
  <c r="R484" i="3"/>
  <c r="R492" i="3"/>
  <c r="R500" i="3"/>
  <c r="R508" i="3"/>
  <c r="R516" i="3"/>
  <c r="R524" i="3"/>
  <c r="R532" i="3"/>
  <c r="R5" i="3"/>
  <c r="R13" i="3"/>
  <c r="R21" i="3"/>
  <c r="R29" i="3"/>
  <c r="R37" i="3"/>
  <c r="R45" i="3"/>
  <c r="R53" i="3"/>
  <c r="R61" i="3"/>
  <c r="R69" i="3"/>
  <c r="R77" i="3"/>
  <c r="R85" i="3"/>
  <c r="R93" i="3"/>
  <c r="R101" i="3"/>
  <c r="R109" i="3"/>
  <c r="R117" i="3"/>
  <c r="R125" i="3"/>
  <c r="R133" i="3"/>
  <c r="R141" i="3"/>
  <c r="R149" i="3"/>
  <c r="R157" i="3"/>
  <c r="R165" i="3"/>
  <c r="R173" i="3"/>
  <c r="R181" i="3"/>
  <c r="R189" i="3"/>
  <c r="R197" i="3"/>
  <c r="R205" i="3"/>
  <c r="R213" i="3"/>
  <c r="R221" i="3"/>
  <c r="R229" i="3"/>
  <c r="R237" i="3"/>
  <c r="R245" i="3"/>
  <c r="R253" i="3"/>
  <c r="R261" i="3"/>
  <c r="R269" i="3"/>
  <c r="R277" i="3"/>
  <c r="R285" i="3"/>
  <c r="R293" i="3"/>
  <c r="R301" i="3"/>
  <c r="R309" i="3"/>
  <c r="R317" i="3"/>
  <c r="R325" i="3"/>
  <c r="R333" i="3"/>
  <c r="R341" i="3"/>
  <c r="R349" i="3"/>
  <c r="R357" i="3"/>
  <c r="R365" i="3"/>
  <c r="R373" i="3"/>
  <c r="R381" i="3"/>
  <c r="R389" i="3"/>
  <c r="R397" i="3"/>
  <c r="R405" i="3"/>
  <c r="R413" i="3"/>
  <c r="R421" i="3"/>
  <c r="R429" i="3"/>
  <c r="R437" i="3"/>
  <c r="R445" i="3"/>
  <c r="R453" i="3"/>
  <c r="R461" i="3"/>
  <c r="R469" i="3"/>
  <c r="R477" i="3"/>
  <c r="R485" i="3"/>
  <c r="R493" i="3"/>
  <c r="R501" i="3"/>
  <c r="R509" i="3"/>
  <c r="R517" i="3"/>
  <c r="R525" i="3"/>
  <c r="R533" i="3"/>
  <c r="R541" i="3"/>
  <c r="S7" i="3"/>
  <c r="S15" i="3"/>
  <c r="S23" i="3"/>
  <c r="S31" i="3"/>
  <c r="R6" i="3"/>
  <c r="R14" i="3"/>
  <c r="R22" i="3"/>
  <c r="R30" i="3"/>
  <c r="R38" i="3"/>
  <c r="R46" i="3"/>
  <c r="R54" i="3"/>
  <c r="R62" i="3"/>
  <c r="R70" i="3"/>
  <c r="R78" i="3"/>
  <c r="R86" i="3"/>
  <c r="R94" i="3"/>
  <c r="R102" i="3"/>
  <c r="R110" i="3"/>
  <c r="R118" i="3"/>
  <c r="R126" i="3"/>
  <c r="R134" i="3"/>
  <c r="R142" i="3"/>
  <c r="R150" i="3"/>
  <c r="R158" i="3"/>
  <c r="R166" i="3"/>
  <c r="R174" i="3"/>
  <c r="R182" i="3"/>
  <c r="R190" i="3"/>
  <c r="R198" i="3"/>
  <c r="R206" i="3"/>
  <c r="R214" i="3"/>
  <c r="R222" i="3"/>
  <c r="R230" i="3"/>
  <c r="R238" i="3"/>
  <c r="R246" i="3"/>
  <c r="R254" i="3"/>
  <c r="R262" i="3"/>
  <c r="R270" i="3"/>
  <c r="R278" i="3"/>
  <c r="R286" i="3"/>
  <c r="R294" i="3"/>
  <c r="R302" i="3"/>
  <c r="R310" i="3"/>
  <c r="R318" i="3"/>
  <c r="R326" i="3"/>
  <c r="R334" i="3"/>
  <c r="R342" i="3"/>
  <c r="R350" i="3"/>
  <c r="R358" i="3"/>
  <c r="R366" i="3"/>
  <c r="R374" i="3"/>
  <c r="R382" i="3"/>
  <c r="R390" i="3"/>
  <c r="R398" i="3"/>
  <c r="R406" i="3"/>
  <c r="R414" i="3"/>
  <c r="R422" i="3"/>
  <c r="R430" i="3"/>
  <c r="R438" i="3"/>
  <c r="R446" i="3"/>
  <c r="R454" i="3"/>
  <c r="R462" i="3"/>
  <c r="R7" i="3"/>
  <c r="R15" i="3"/>
  <c r="R23" i="3"/>
  <c r="R31" i="3"/>
  <c r="R39" i="3"/>
  <c r="R47" i="3"/>
  <c r="R55" i="3"/>
  <c r="R63" i="3"/>
  <c r="R71" i="3"/>
  <c r="R79" i="3"/>
  <c r="R87" i="3"/>
  <c r="R95" i="3"/>
  <c r="R8" i="3"/>
  <c r="R16" i="3"/>
  <c r="R24" i="3"/>
  <c r="R32" i="3"/>
  <c r="R40" i="3"/>
  <c r="R48" i="3"/>
  <c r="R56" i="3"/>
  <c r="R64" i="3"/>
  <c r="R72" i="3"/>
  <c r="R80" i="3"/>
  <c r="R88" i="3"/>
  <c r="R96" i="3"/>
  <c r="R104" i="3"/>
  <c r="R112" i="3"/>
  <c r="R120" i="3"/>
  <c r="R128" i="3"/>
  <c r="R136" i="3"/>
  <c r="R144" i="3"/>
  <c r="R152" i="3"/>
  <c r="R160" i="3"/>
  <c r="R168" i="3"/>
  <c r="R176" i="3"/>
  <c r="R184" i="3"/>
  <c r="R192" i="3"/>
  <c r="R200" i="3"/>
  <c r="R208" i="3"/>
  <c r="R216" i="3"/>
  <c r="R224" i="3"/>
  <c r="R232" i="3"/>
  <c r="R240" i="3"/>
  <c r="R248" i="3"/>
  <c r="R256" i="3"/>
  <c r="R264" i="3"/>
  <c r="R272" i="3"/>
  <c r="R280" i="3"/>
  <c r="R288" i="3"/>
  <c r="R296" i="3"/>
  <c r="R304" i="3"/>
  <c r="R312" i="3"/>
  <c r="R320" i="3"/>
  <c r="R328" i="3"/>
  <c r="R336" i="3"/>
  <c r="R344" i="3"/>
  <c r="R352" i="3"/>
  <c r="R360" i="3"/>
  <c r="R368" i="3"/>
  <c r="R376" i="3"/>
  <c r="R384" i="3"/>
  <c r="R392" i="3"/>
  <c r="R400" i="3"/>
  <c r="R408" i="3"/>
  <c r="R416" i="3"/>
  <c r="R424" i="3"/>
  <c r="R432" i="3"/>
  <c r="R440" i="3"/>
  <c r="R448" i="3"/>
  <c r="R456" i="3"/>
  <c r="R464" i="3"/>
  <c r="R472" i="3"/>
  <c r="R9" i="3"/>
  <c r="R17" i="3"/>
  <c r="R25" i="3"/>
  <c r="R33" i="3"/>
  <c r="R41" i="3"/>
  <c r="R49" i="3"/>
  <c r="R57" i="3"/>
  <c r="R65" i="3"/>
  <c r="R73" i="3"/>
  <c r="R81" i="3"/>
  <c r="R89" i="3"/>
  <c r="R97" i="3"/>
  <c r="R105" i="3"/>
  <c r="R113" i="3"/>
  <c r="R121" i="3"/>
  <c r="R129" i="3"/>
  <c r="R137" i="3"/>
  <c r="R145" i="3"/>
  <c r="R153" i="3"/>
  <c r="R161" i="3"/>
  <c r="R169" i="3"/>
  <c r="R177" i="3"/>
  <c r="R185" i="3"/>
  <c r="R193" i="3"/>
  <c r="R201" i="3"/>
  <c r="R209" i="3"/>
  <c r="R217" i="3"/>
  <c r="R225" i="3"/>
  <c r="R233" i="3"/>
  <c r="R241" i="3"/>
  <c r="R249" i="3"/>
  <c r="R257" i="3"/>
  <c r="R265" i="3"/>
  <c r="R273" i="3"/>
  <c r="R281" i="3"/>
  <c r="R289" i="3"/>
  <c r="R297" i="3"/>
  <c r="R305" i="3"/>
  <c r="R313" i="3"/>
  <c r="R321" i="3"/>
  <c r="R329" i="3"/>
  <c r="R337" i="3"/>
  <c r="R345" i="3"/>
  <c r="R353" i="3"/>
  <c r="R361" i="3"/>
  <c r="R369" i="3"/>
  <c r="R377" i="3"/>
  <c r="R385" i="3"/>
  <c r="R393" i="3"/>
  <c r="R401" i="3"/>
  <c r="R409" i="3"/>
  <c r="R417" i="3"/>
  <c r="R425" i="3"/>
  <c r="R433" i="3"/>
  <c r="R441" i="3"/>
  <c r="R449" i="3"/>
  <c r="R457" i="3"/>
  <c r="R465" i="3"/>
  <c r="R473" i="3"/>
  <c r="R103" i="3"/>
  <c r="R167" i="3"/>
  <c r="R231" i="3"/>
  <c r="R295" i="3"/>
  <c r="R359" i="3"/>
  <c r="R423" i="3"/>
  <c r="R478" i="3"/>
  <c r="R494" i="3"/>
  <c r="R510" i="3"/>
  <c r="R526" i="3"/>
  <c r="R540" i="3"/>
  <c r="S10" i="3"/>
  <c r="S24" i="3"/>
  <c r="S35" i="3"/>
  <c r="S44" i="3"/>
  <c r="S54" i="3"/>
  <c r="S63" i="3"/>
  <c r="S72" i="3"/>
  <c r="S81" i="3"/>
  <c r="S90" i="3"/>
  <c r="S99" i="3"/>
  <c r="S108" i="3"/>
  <c r="S118" i="3"/>
  <c r="S127" i="3"/>
  <c r="S136" i="3"/>
  <c r="S144" i="3"/>
  <c r="S152" i="3"/>
  <c r="S160" i="3"/>
  <c r="S168" i="3"/>
  <c r="S176" i="3"/>
  <c r="S184" i="3"/>
  <c r="S192" i="3"/>
  <c r="S200" i="3"/>
  <c r="S208" i="3"/>
  <c r="S216" i="3"/>
  <c r="S224" i="3"/>
  <c r="S232" i="3"/>
  <c r="S240" i="3"/>
  <c r="S248" i="3"/>
  <c r="S256" i="3"/>
  <c r="S264" i="3"/>
  <c r="S272" i="3"/>
  <c r="S280" i="3"/>
  <c r="S288" i="3"/>
  <c r="S296" i="3"/>
  <c r="S304" i="3"/>
  <c r="S312" i="3"/>
  <c r="S320" i="3"/>
  <c r="S328" i="3"/>
  <c r="S336" i="3"/>
  <c r="S344" i="3"/>
  <c r="S352" i="3"/>
  <c r="S360" i="3"/>
  <c r="S368" i="3"/>
  <c r="S376" i="3"/>
  <c r="S384" i="3"/>
  <c r="S392" i="3"/>
  <c r="S400" i="3"/>
  <c r="S408" i="3"/>
  <c r="S416" i="3"/>
  <c r="S424" i="3"/>
  <c r="S432" i="3"/>
  <c r="S440" i="3"/>
  <c r="S448" i="3"/>
  <c r="S456" i="3"/>
  <c r="S464" i="3"/>
  <c r="S472" i="3"/>
  <c r="S480" i="3"/>
  <c r="S488" i="3"/>
  <c r="S496" i="3"/>
  <c r="S504" i="3"/>
  <c r="S512" i="3"/>
  <c r="S520" i="3"/>
  <c r="S528" i="3"/>
  <c r="S536" i="3"/>
  <c r="Q2" i="3"/>
  <c r="Q10" i="3"/>
  <c r="Q18" i="3"/>
  <c r="Q26" i="3"/>
  <c r="Q34" i="3"/>
  <c r="Q42" i="3"/>
  <c r="Q50" i="3"/>
  <c r="Q58" i="3"/>
  <c r="Q66" i="3"/>
  <c r="Q74" i="3"/>
  <c r="R111" i="3"/>
  <c r="R175" i="3"/>
  <c r="R239" i="3"/>
  <c r="R303" i="3"/>
  <c r="R367" i="3"/>
  <c r="R431" i="3"/>
  <c r="R479" i="3"/>
  <c r="R495" i="3"/>
  <c r="R511" i="3"/>
  <c r="R527" i="3"/>
  <c r="R542" i="3"/>
  <c r="S11" i="3"/>
  <c r="S25" i="3"/>
  <c r="S36" i="3"/>
  <c r="S46" i="3"/>
  <c r="S55" i="3"/>
  <c r="S64" i="3"/>
  <c r="S73" i="3"/>
  <c r="S82" i="3"/>
  <c r="S91" i="3"/>
  <c r="S100" i="3"/>
  <c r="S110" i="3"/>
  <c r="S119" i="3"/>
  <c r="S128" i="3"/>
  <c r="S137" i="3"/>
  <c r="S145" i="3"/>
  <c r="S153" i="3"/>
  <c r="S161" i="3"/>
  <c r="S169" i="3"/>
  <c r="S177" i="3"/>
  <c r="S185" i="3"/>
  <c r="S193" i="3"/>
  <c r="S201" i="3"/>
  <c r="S209" i="3"/>
  <c r="S217" i="3"/>
  <c r="S225" i="3"/>
  <c r="S233" i="3"/>
  <c r="S241" i="3"/>
  <c r="S249" i="3"/>
  <c r="S257" i="3"/>
  <c r="S265" i="3"/>
  <c r="S273" i="3"/>
  <c r="S281" i="3"/>
  <c r="S289" i="3"/>
  <c r="S297" i="3"/>
  <c r="S305" i="3"/>
  <c r="S313" i="3"/>
  <c r="S321" i="3"/>
  <c r="S329" i="3"/>
  <c r="S337" i="3"/>
  <c r="S345" i="3"/>
  <c r="S353" i="3"/>
  <c r="S361" i="3"/>
  <c r="S369" i="3"/>
  <c r="S377" i="3"/>
  <c r="S385" i="3"/>
  <c r="S393" i="3"/>
  <c r="S401" i="3"/>
  <c r="S409" i="3"/>
  <c r="S417" i="3"/>
  <c r="S425" i="3"/>
  <c r="S433" i="3"/>
  <c r="S441" i="3"/>
  <c r="S449" i="3"/>
  <c r="S457" i="3"/>
  <c r="S465" i="3"/>
  <c r="S473" i="3"/>
  <c r="S481" i="3"/>
  <c r="S489" i="3"/>
  <c r="S497" i="3"/>
  <c r="S505" i="3"/>
  <c r="S513" i="3"/>
  <c r="S521" i="3"/>
  <c r="S529" i="3"/>
  <c r="S537" i="3"/>
  <c r="Q3" i="3"/>
  <c r="Q11" i="3"/>
  <c r="Q19" i="3"/>
  <c r="Q27" i="3"/>
  <c r="Q35" i="3"/>
  <c r="Q43" i="3"/>
  <c r="Q51" i="3"/>
  <c r="Q59" i="3"/>
  <c r="Q67" i="3"/>
  <c r="Q75" i="3"/>
  <c r="R119" i="3"/>
  <c r="R183" i="3"/>
  <c r="R247" i="3"/>
  <c r="R311" i="3"/>
  <c r="R375" i="3"/>
  <c r="R439" i="3"/>
  <c r="R480" i="3"/>
  <c r="R496" i="3"/>
  <c r="R512" i="3"/>
  <c r="R528" i="3"/>
  <c r="R543" i="3"/>
  <c r="S14" i="3"/>
  <c r="S26" i="3"/>
  <c r="S38" i="3"/>
  <c r="S47" i="3"/>
  <c r="S56" i="3"/>
  <c r="S65" i="3"/>
  <c r="S74" i="3"/>
  <c r="S83" i="3"/>
  <c r="S92" i="3"/>
  <c r="S102" i="3"/>
  <c r="S111" i="3"/>
  <c r="S120" i="3"/>
  <c r="S129" i="3"/>
  <c r="S138" i="3"/>
  <c r="S146" i="3"/>
  <c r="S154" i="3"/>
  <c r="S162" i="3"/>
  <c r="S170" i="3"/>
  <c r="S178" i="3"/>
  <c r="S186" i="3"/>
  <c r="S194" i="3"/>
  <c r="S202" i="3"/>
  <c r="S210" i="3"/>
  <c r="S218" i="3"/>
  <c r="S226" i="3"/>
  <c r="S234" i="3"/>
  <c r="S242" i="3"/>
  <c r="S250" i="3"/>
  <c r="S258" i="3"/>
  <c r="S266" i="3"/>
  <c r="S274" i="3"/>
  <c r="S282" i="3"/>
  <c r="S290" i="3"/>
  <c r="S298" i="3"/>
  <c r="S306" i="3"/>
  <c r="S314" i="3"/>
  <c r="S322" i="3"/>
  <c r="S330" i="3"/>
  <c r="S338" i="3"/>
  <c r="S346" i="3"/>
  <c r="S354" i="3"/>
  <c r="S362" i="3"/>
  <c r="S370" i="3"/>
  <c r="S378" i="3"/>
  <c r="S386" i="3"/>
  <c r="S394" i="3"/>
  <c r="S402" i="3"/>
  <c r="S410" i="3"/>
  <c r="S418" i="3"/>
  <c r="S426" i="3"/>
  <c r="S434" i="3"/>
  <c r="S442" i="3"/>
  <c r="S450" i="3"/>
  <c r="S458" i="3"/>
  <c r="S466" i="3"/>
  <c r="S474" i="3"/>
  <c r="S482" i="3"/>
  <c r="S490" i="3"/>
  <c r="S498" i="3"/>
  <c r="S506" i="3"/>
  <c r="S514" i="3"/>
  <c r="S522" i="3"/>
  <c r="S530" i="3"/>
  <c r="S538" i="3"/>
  <c r="Q4" i="3"/>
  <c r="R127" i="3"/>
  <c r="R191" i="3"/>
  <c r="R255" i="3"/>
  <c r="R319" i="3"/>
  <c r="R383" i="3"/>
  <c r="R447" i="3"/>
  <c r="R481" i="3"/>
  <c r="R497" i="3"/>
  <c r="R513" i="3"/>
  <c r="R529" i="3"/>
  <c r="S2" i="3"/>
  <c r="S16" i="3"/>
  <c r="S27" i="3"/>
  <c r="S39" i="3"/>
  <c r="S48" i="3"/>
  <c r="S57" i="3"/>
  <c r="S66" i="3"/>
  <c r="S75" i="3"/>
  <c r="S84" i="3"/>
  <c r="S94" i="3"/>
  <c r="S103" i="3"/>
  <c r="S112" i="3"/>
  <c r="S121" i="3"/>
  <c r="S130" i="3"/>
  <c r="S139" i="3"/>
  <c r="S147" i="3"/>
  <c r="S155" i="3"/>
  <c r="S163" i="3"/>
  <c r="S171" i="3"/>
  <c r="S179" i="3"/>
  <c r="S187" i="3"/>
  <c r="S195" i="3"/>
  <c r="S203" i="3"/>
  <c r="S211" i="3"/>
  <c r="S219" i="3"/>
  <c r="S227" i="3"/>
  <c r="S235" i="3"/>
  <c r="S243" i="3"/>
  <c r="S251" i="3"/>
  <c r="S259" i="3"/>
  <c r="S267" i="3"/>
  <c r="S275" i="3"/>
  <c r="S283" i="3"/>
  <c r="S291" i="3"/>
  <c r="S299" i="3"/>
  <c r="S307" i="3"/>
  <c r="S315" i="3"/>
  <c r="S323" i="3"/>
  <c r="S331" i="3"/>
  <c r="S339" i="3"/>
  <c r="S347" i="3"/>
  <c r="S355" i="3"/>
  <c r="S363" i="3"/>
  <c r="S371" i="3"/>
  <c r="S379" i="3"/>
  <c r="S387" i="3"/>
  <c r="S395" i="3"/>
  <c r="S403" i="3"/>
  <c r="S411" i="3"/>
  <c r="S419" i="3"/>
  <c r="S427" i="3"/>
  <c r="S435" i="3"/>
  <c r="S443" i="3"/>
  <c r="S451" i="3"/>
  <c r="S459" i="3"/>
  <c r="S467" i="3"/>
  <c r="S475" i="3"/>
  <c r="S483" i="3"/>
  <c r="S491" i="3"/>
  <c r="S499" i="3"/>
  <c r="S507" i="3"/>
  <c r="S515" i="3"/>
  <c r="S523" i="3"/>
  <c r="S531" i="3"/>
  <c r="S539" i="3"/>
  <c r="Q5" i="3"/>
  <c r="Q13" i="3"/>
  <c r="Q21" i="3"/>
  <c r="Q29" i="3"/>
  <c r="Q37" i="3"/>
  <c r="Q45" i="3"/>
  <c r="Q53" i="3"/>
  <c r="Q61" i="3"/>
  <c r="R135" i="3"/>
  <c r="R199" i="3"/>
  <c r="R263" i="3"/>
  <c r="R327" i="3"/>
  <c r="R391" i="3"/>
  <c r="R455" i="3"/>
  <c r="R486" i="3"/>
  <c r="R502" i="3"/>
  <c r="R518" i="3"/>
  <c r="R534" i="3"/>
  <c r="S3" i="3"/>
  <c r="S17" i="3"/>
  <c r="S30" i="3"/>
  <c r="S40" i="3"/>
  <c r="S49" i="3"/>
  <c r="S58" i="3"/>
  <c r="S67" i="3"/>
  <c r="S76" i="3"/>
  <c r="S86" i="3"/>
  <c r="S95" i="3"/>
  <c r="S104" i="3"/>
  <c r="S113" i="3"/>
  <c r="S122" i="3"/>
  <c r="S131" i="3"/>
  <c r="S140" i="3"/>
  <c r="S148" i="3"/>
  <c r="S156" i="3"/>
  <c r="S164" i="3"/>
  <c r="S172" i="3"/>
  <c r="S180" i="3"/>
  <c r="S188" i="3"/>
  <c r="S196" i="3"/>
  <c r="S204" i="3"/>
  <c r="S212" i="3"/>
  <c r="S220" i="3"/>
  <c r="S228" i="3"/>
  <c r="S236" i="3"/>
  <c r="S244" i="3"/>
  <c r="S252" i="3"/>
  <c r="S260" i="3"/>
  <c r="S268" i="3"/>
  <c r="S276" i="3"/>
  <c r="S284" i="3"/>
  <c r="S292" i="3"/>
  <c r="S300" i="3"/>
  <c r="S308" i="3"/>
  <c r="S316" i="3"/>
  <c r="S324" i="3"/>
  <c r="S332" i="3"/>
  <c r="S340" i="3"/>
  <c r="S348" i="3"/>
  <c r="S356" i="3"/>
  <c r="S364" i="3"/>
  <c r="S372" i="3"/>
  <c r="S380" i="3"/>
  <c r="S388" i="3"/>
  <c r="S396" i="3"/>
  <c r="S404" i="3"/>
  <c r="S412" i="3"/>
  <c r="S420" i="3"/>
  <c r="S428" i="3"/>
  <c r="S436" i="3"/>
  <c r="S444" i="3"/>
  <c r="S452" i="3"/>
  <c r="S460" i="3"/>
  <c r="S468" i="3"/>
  <c r="S476" i="3"/>
  <c r="S484" i="3"/>
  <c r="S492" i="3"/>
  <c r="S500" i="3"/>
  <c r="S508" i="3"/>
  <c r="S516" i="3"/>
  <c r="S524" i="3"/>
  <c r="S532" i="3"/>
  <c r="S540" i="3"/>
  <c r="Q6" i="3"/>
  <c r="Q14" i="3"/>
  <c r="Q22" i="3"/>
  <c r="Q30" i="3"/>
  <c r="Q38" i="3"/>
  <c r="Q46" i="3"/>
  <c r="R143" i="3"/>
  <c r="R207" i="3"/>
  <c r="R271" i="3"/>
  <c r="R335" i="3"/>
  <c r="R399" i="3"/>
  <c r="R463" i="3"/>
  <c r="R487" i="3"/>
  <c r="R503" i="3"/>
  <c r="R519" i="3"/>
  <c r="R535" i="3"/>
  <c r="S6" i="3"/>
  <c r="S18" i="3"/>
  <c r="S32" i="3"/>
  <c r="S41" i="3"/>
  <c r="S50" i="3"/>
  <c r="S59" i="3"/>
  <c r="S68" i="3"/>
  <c r="S78" i="3"/>
  <c r="S87" i="3"/>
  <c r="S96" i="3"/>
  <c r="S105" i="3"/>
  <c r="S114" i="3"/>
  <c r="S123" i="3"/>
  <c r="S132" i="3"/>
  <c r="S141" i="3"/>
  <c r="S149" i="3"/>
  <c r="S157" i="3"/>
  <c r="S165" i="3"/>
  <c r="S173" i="3"/>
  <c r="S181" i="3"/>
  <c r="S189" i="3"/>
  <c r="S197" i="3"/>
  <c r="S205" i="3"/>
  <c r="S213" i="3"/>
  <c r="S221" i="3"/>
  <c r="S229" i="3"/>
  <c r="S237" i="3"/>
  <c r="S245" i="3"/>
  <c r="S253" i="3"/>
  <c r="S261" i="3"/>
  <c r="S269" i="3"/>
  <c r="S277" i="3"/>
  <c r="S285" i="3"/>
  <c r="S293" i="3"/>
  <c r="S301" i="3"/>
  <c r="S309" i="3"/>
  <c r="S317" i="3"/>
  <c r="S325" i="3"/>
  <c r="S333" i="3"/>
  <c r="S341" i="3"/>
  <c r="S349" i="3"/>
  <c r="S357" i="3"/>
  <c r="S365" i="3"/>
  <c r="S373" i="3"/>
  <c r="S381" i="3"/>
  <c r="S389" i="3"/>
  <c r="S397" i="3"/>
  <c r="S405" i="3"/>
  <c r="S413" i="3"/>
  <c r="S421" i="3"/>
  <c r="S429" i="3"/>
  <c r="S437" i="3"/>
  <c r="S445" i="3"/>
  <c r="S453" i="3"/>
  <c r="S461" i="3"/>
  <c r="S469" i="3"/>
  <c r="S477" i="3"/>
  <c r="S485" i="3"/>
  <c r="S493" i="3"/>
  <c r="S501" i="3"/>
  <c r="S509" i="3"/>
  <c r="S517" i="3"/>
  <c r="S525" i="3"/>
  <c r="S533" i="3"/>
  <c r="S541" i="3"/>
  <c r="Q7" i="3"/>
  <c r="Q15" i="3"/>
  <c r="Q23" i="3"/>
  <c r="Q31" i="3"/>
  <c r="Q39" i="3"/>
  <c r="Q47" i="3"/>
  <c r="Q55" i="3"/>
  <c r="Q63" i="3"/>
  <c r="Q71" i="3"/>
  <c r="R151" i="3"/>
  <c r="R407" i="3"/>
  <c r="R520" i="3"/>
  <c r="S33" i="3"/>
  <c r="S70" i="3"/>
  <c r="S106" i="3"/>
  <c r="S142" i="3"/>
  <c r="S174" i="3"/>
  <c r="S206" i="3"/>
  <c r="S238" i="3"/>
  <c r="S270" i="3"/>
  <c r="S302" i="3"/>
  <c r="S334" i="3"/>
  <c r="S366" i="3"/>
  <c r="S398" i="3"/>
  <c r="S430" i="3"/>
  <c r="S462" i="3"/>
  <c r="S494" i="3"/>
  <c r="S526" i="3"/>
  <c r="Q12" i="3"/>
  <c r="Q33" i="3"/>
  <c r="Q54" i="3"/>
  <c r="Q69" i="3"/>
  <c r="Q80" i="3"/>
  <c r="Q88" i="3"/>
  <c r="Q96" i="3"/>
  <c r="Q104" i="3"/>
  <c r="Q112" i="3"/>
  <c r="Q120" i="3"/>
  <c r="Q128" i="3"/>
  <c r="Q136" i="3"/>
  <c r="Q144" i="3"/>
  <c r="Q152" i="3"/>
  <c r="Q160" i="3"/>
  <c r="Q168" i="3"/>
  <c r="Q176" i="3"/>
  <c r="Q184" i="3"/>
  <c r="Q192" i="3"/>
  <c r="Q200" i="3"/>
  <c r="Q208" i="3"/>
  <c r="Q216" i="3"/>
  <c r="Q224" i="3"/>
  <c r="Q232" i="3"/>
  <c r="Q240" i="3"/>
  <c r="Q248" i="3"/>
  <c r="Q256" i="3"/>
  <c r="Q264" i="3"/>
  <c r="Q272" i="3"/>
  <c r="Q280" i="3"/>
  <c r="Q288" i="3"/>
  <c r="Q296" i="3"/>
  <c r="Q304" i="3"/>
  <c r="Q312" i="3"/>
  <c r="Q320" i="3"/>
  <c r="Q328" i="3"/>
  <c r="Q336" i="3"/>
  <c r="Q344" i="3"/>
  <c r="Q352" i="3"/>
  <c r="Q360" i="3"/>
  <c r="Q368" i="3"/>
  <c r="Q376" i="3"/>
  <c r="Q384" i="3"/>
  <c r="Q392" i="3"/>
  <c r="Q400" i="3"/>
  <c r="Q408" i="3"/>
  <c r="Q416" i="3"/>
  <c r="Q424" i="3"/>
  <c r="Q432" i="3"/>
  <c r="Q440" i="3"/>
  <c r="Q448" i="3"/>
  <c r="Q456" i="3"/>
  <c r="Q464" i="3"/>
  <c r="Q472" i="3"/>
  <c r="Q480" i="3"/>
  <c r="Q488" i="3"/>
  <c r="Q496" i="3"/>
  <c r="Q504" i="3"/>
  <c r="Q512" i="3"/>
  <c r="Q520" i="3"/>
  <c r="Q528" i="3"/>
  <c r="Q536" i="3"/>
  <c r="P3" i="3"/>
  <c r="L9" i="3"/>
  <c r="L17" i="3"/>
  <c r="R159" i="3"/>
  <c r="R415" i="3"/>
  <c r="R521" i="3"/>
  <c r="S34" i="3"/>
  <c r="S71" i="3"/>
  <c r="S107" i="3"/>
  <c r="S143" i="3"/>
  <c r="S175" i="3"/>
  <c r="S207" i="3"/>
  <c r="S239" i="3"/>
  <c r="S271" i="3"/>
  <c r="S303" i="3"/>
  <c r="S335" i="3"/>
  <c r="S367" i="3"/>
  <c r="S399" i="3"/>
  <c r="S431" i="3"/>
  <c r="S463" i="3"/>
  <c r="S495" i="3"/>
  <c r="S527" i="3"/>
  <c r="Q16" i="3"/>
  <c r="Q36" i="3"/>
  <c r="Q56" i="3"/>
  <c r="Q70" i="3"/>
  <c r="Q81" i="3"/>
  <c r="Q89" i="3"/>
  <c r="Q97" i="3"/>
  <c r="Q105" i="3"/>
  <c r="Q113" i="3"/>
  <c r="Q121" i="3"/>
  <c r="Q129" i="3"/>
  <c r="Q137" i="3"/>
  <c r="Q145" i="3"/>
  <c r="Q153" i="3"/>
  <c r="Q161" i="3"/>
  <c r="Q169" i="3"/>
  <c r="Q177" i="3"/>
  <c r="Q185" i="3"/>
  <c r="Q193" i="3"/>
  <c r="Q201" i="3"/>
  <c r="Q209" i="3"/>
  <c r="Q217" i="3"/>
  <c r="Q225" i="3"/>
  <c r="Q233" i="3"/>
  <c r="Q241" i="3"/>
  <c r="Q249" i="3"/>
  <c r="Q257" i="3"/>
  <c r="Q265" i="3"/>
  <c r="Q273" i="3"/>
  <c r="Q281" i="3"/>
  <c r="Q289" i="3"/>
  <c r="Q297" i="3"/>
  <c r="Q305" i="3"/>
  <c r="Q313" i="3"/>
  <c r="Q321" i="3"/>
  <c r="Q329" i="3"/>
  <c r="Q337" i="3"/>
  <c r="Q345" i="3"/>
  <c r="Q353" i="3"/>
  <c r="Q361" i="3"/>
  <c r="Q369" i="3"/>
  <c r="Q377" i="3"/>
  <c r="Q385" i="3"/>
  <c r="Q393" i="3"/>
  <c r="Q401" i="3"/>
  <c r="Q409" i="3"/>
  <c r="Q417" i="3"/>
  <c r="Q425" i="3"/>
  <c r="Q433" i="3"/>
  <c r="Q441" i="3"/>
  <c r="Q449" i="3"/>
  <c r="Q457" i="3"/>
  <c r="Q465" i="3"/>
  <c r="Q473" i="3"/>
  <c r="Q481" i="3"/>
  <c r="Q489" i="3"/>
  <c r="Q497" i="3"/>
  <c r="Q505" i="3"/>
  <c r="Q513" i="3"/>
  <c r="Q521" i="3"/>
  <c r="Q529" i="3"/>
  <c r="Q537" i="3"/>
  <c r="L2" i="3"/>
  <c r="L10" i="3"/>
  <c r="L18" i="3"/>
  <c r="L26" i="3"/>
  <c r="L34" i="3"/>
  <c r="L42" i="3"/>
  <c r="L50" i="3"/>
  <c r="R215" i="3"/>
  <c r="R470" i="3"/>
  <c r="R536" i="3"/>
  <c r="S42" i="3"/>
  <c r="S79" i="3"/>
  <c r="S115" i="3"/>
  <c r="S150" i="3"/>
  <c r="S182" i="3"/>
  <c r="S214" i="3"/>
  <c r="S246" i="3"/>
  <c r="S278" i="3"/>
  <c r="S310" i="3"/>
  <c r="S342" i="3"/>
  <c r="S374" i="3"/>
  <c r="S406" i="3"/>
  <c r="S438" i="3"/>
  <c r="S470" i="3"/>
  <c r="S502" i="3"/>
  <c r="S534" i="3"/>
  <c r="Q17" i="3"/>
  <c r="Q40" i="3"/>
  <c r="Q57" i="3"/>
  <c r="Q72" i="3"/>
  <c r="Q82" i="3"/>
  <c r="Q90" i="3"/>
  <c r="Q98" i="3"/>
  <c r="Q106" i="3"/>
  <c r="Q114" i="3"/>
  <c r="Q122" i="3"/>
  <c r="Q130" i="3"/>
  <c r="Q138" i="3"/>
  <c r="Q146" i="3"/>
  <c r="Q154" i="3"/>
  <c r="Q162" i="3"/>
  <c r="Q170" i="3"/>
  <c r="Q178" i="3"/>
  <c r="Q186" i="3"/>
  <c r="Q194" i="3"/>
  <c r="Q202" i="3"/>
  <c r="Q210" i="3"/>
  <c r="Q218" i="3"/>
  <c r="Q226" i="3"/>
  <c r="Q234" i="3"/>
  <c r="Q242" i="3"/>
  <c r="Q250" i="3"/>
  <c r="Q258" i="3"/>
  <c r="Q266" i="3"/>
  <c r="Q274" i="3"/>
  <c r="Q282" i="3"/>
  <c r="Q290" i="3"/>
  <c r="Q298" i="3"/>
  <c r="Q306" i="3"/>
  <c r="Q314" i="3"/>
  <c r="Q322" i="3"/>
  <c r="Q330" i="3"/>
  <c r="Q338" i="3"/>
  <c r="Q346" i="3"/>
  <c r="Q354" i="3"/>
  <c r="Q362" i="3"/>
  <c r="Q370" i="3"/>
  <c r="Q378" i="3"/>
  <c r="Q386" i="3"/>
  <c r="Q394" i="3"/>
  <c r="Q402" i="3"/>
  <c r="Q410" i="3"/>
  <c r="Q418" i="3"/>
  <c r="Q426" i="3"/>
  <c r="Q434" i="3"/>
  <c r="Q442" i="3"/>
  <c r="Q450" i="3"/>
  <c r="Q458" i="3"/>
  <c r="Q466" i="3"/>
  <c r="Q474" i="3"/>
  <c r="Q482" i="3"/>
  <c r="Q490" i="3"/>
  <c r="Q498" i="3"/>
  <c r="Q506" i="3"/>
  <c r="Q514" i="3"/>
  <c r="Q522" i="3"/>
  <c r="Q530" i="3"/>
  <c r="R223" i="3"/>
  <c r="R471" i="3"/>
  <c r="R537" i="3"/>
  <c r="S43" i="3"/>
  <c r="S80" i="3"/>
  <c r="S116" i="3"/>
  <c r="S151" i="3"/>
  <c r="S183" i="3"/>
  <c r="S215" i="3"/>
  <c r="S247" i="3"/>
  <c r="S279" i="3"/>
  <c r="S311" i="3"/>
  <c r="S343" i="3"/>
  <c r="S375" i="3"/>
  <c r="S407" i="3"/>
  <c r="S439" i="3"/>
  <c r="S471" i="3"/>
  <c r="S503" i="3"/>
  <c r="S535" i="3"/>
  <c r="Q20" i="3"/>
  <c r="Q41" i="3"/>
  <c r="Q60" i="3"/>
  <c r="Q73" i="3"/>
  <c r="Q83" i="3"/>
  <c r="Q91" i="3"/>
  <c r="Q99" i="3"/>
  <c r="Q107" i="3"/>
  <c r="Q115" i="3"/>
  <c r="Q123" i="3"/>
  <c r="Q131" i="3"/>
  <c r="Q139" i="3"/>
  <c r="Q147" i="3"/>
  <c r="Q155" i="3"/>
  <c r="Q163" i="3"/>
  <c r="Q171" i="3"/>
  <c r="Q179" i="3"/>
  <c r="Q187" i="3"/>
  <c r="Q195" i="3"/>
  <c r="Q203" i="3"/>
  <c r="Q211" i="3"/>
  <c r="Q219" i="3"/>
  <c r="Q227" i="3"/>
  <c r="Q235" i="3"/>
  <c r="Q243" i="3"/>
  <c r="Q251" i="3"/>
  <c r="Q259" i="3"/>
  <c r="Q267" i="3"/>
  <c r="Q275" i="3"/>
  <c r="Q283" i="3"/>
  <c r="Q291" i="3"/>
  <c r="Q299" i="3"/>
  <c r="Q307" i="3"/>
  <c r="Q315" i="3"/>
  <c r="Q323" i="3"/>
  <c r="Q331" i="3"/>
  <c r="Q339" i="3"/>
  <c r="Q347" i="3"/>
  <c r="Q355" i="3"/>
  <c r="Q363" i="3"/>
  <c r="Q371" i="3"/>
  <c r="Q379" i="3"/>
  <c r="Q387" i="3"/>
  <c r="Q395" i="3"/>
  <c r="Q403" i="3"/>
  <c r="Q411" i="3"/>
  <c r="Q419" i="3"/>
  <c r="Q427" i="3"/>
  <c r="Q435" i="3"/>
  <c r="Q443" i="3"/>
  <c r="Q451" i="3"/>
  <c r="Q459" i="3"/>
  <c r="Q467" i="3"/>
  <c r="Q475" i="3"/>
  <c r="Q483" i="3"/>
  <c r="Q491" i="3"/>
  <c r="Q499" i="3"/>
  <c r="Q507" i="3"/>
  <c r="Q515" i="3"/>
  <c r="Q523" i="3"/>
  <c r="Q531" i="3"/>
  <c r="Q539" i="3"/>
  <c r="L4" i="3"/>
  <c r="L12" i="3"/>
  <c r="L20" i="3"/>
  <c r="L28" i="3"/>
  <c r="R279" i="3"/>
  <c r="R488" i="3"/>
  <c r="S8" i="3"/>
  <c r="S51" i="3"/>
  <c r="S88" i="3"/>
  <c r="S124" i="3"/>
  <c r="S158" i="3"/>
  <c r="S190" i="3"/>
  <c r="S222" i="3"/>
  <c r="S254" i="3"/>
  <c r="S286" i="3"/>
  <c r="S318" i="3"/>
  <c r="S350" i="3"/>
  <c r="S382" i="3"/>
  <c r="S414" i="3"/>
  <c r="S446" i="3"/>
  <c r="S478" i="3"/>
  <c r="S510" i="3"/>
  <c r="S542" i="3"/>
  <c r="Q24" i="3"/>
  <c r="Q44" i="3"/>
  <c r="Q62" i="3"/>
  <c r="Q76" i="3"/>
  <c r="Q84" i="3"/>
  <c r="Q92" i="3"/>
  <c r="Q100" i="3"/>
  <c r="Q108" i="3"/>
  <c r="Q116" i="3"/>
  <c r="Q124" i="3"/>
  <c r="Q132" i="3"/>
  <c r="Q140" i="3"/>
  <c r="Q148" i="3"/>
  <c r="Q156" i="3"/>
  <c r="Q164" i="3"/>
  <c r="Q172" i="3"/>
  <c r="Q180" i="3"/>
  <c r="Q188" i="3"/>
  <c r="Q196" i="3"/>
  <c r="Q204" i="3"/>
  <c r="Q212" i="3"/>
  <c r="Q220" i="3"/>
  <c r="Q228" i="3"/>
  <c r="Q236" i="3"/>
  <c r="Q244" i="3"/>
  <c r="Q252" i="3"/>
  <c r="Q260" i="3"/>
  <c r="Q268" i="3"/>
  <c r="Q276" i="3"/>
  <c r="Q284" i="3"/>
  <c r="Q292" i="3"/>
  <c r="Q300" i="3"/>
  <c r="Q308" i="3"/>
  <c r="Q316" i="3"/>
  <c r="Q324" i="3"/>
  <c r="Q332" i="3"/>
  <c r="Q340" i="3"/>
  <c r="Q348" i="3"/>
  <c r="Q356" i="3"/>
  <c r="Q364" i="3"/>
  <c r="Q372" i="3"/>
  <c r="Q380" i="3"/>
  <c r="Q388" i="3"/>
  <c r="Q396" i="3"/>
  <c r="Q404" i="3"/>
  <c r="Q412" i="3"/>
  <c r="Q420" i="3"/>
  <c r="Q428" i="3"/>
  <c r="Q436" i="3"/>
  <c r="Q444" i="3"/>
  <c r="Q452" i="3"/>
  <c r="R287" i="3"/>
  <c r="R489" i="3"/>
  <c r="S9" i="3"/>
  <c r="S52" i="3"/>
  <c r="S89" i="3"/>
  <c r="S126" i="3"/>
  <c r="S159" i="3"/>
  <c r="S191" i="3"/>
  <c r="S223" i="3"/>
  <c r="S255" i="3"/>
  <c r="S287" i="3"/>
  <c r="S319" i="3"/>
  <c r="S351" i="3"/>
  <c r="S383" i="3"/>
  <c r="S415" i="3"/>
  <c r="S447" i="3"/>
  <c r="S479" i="3"/>
  <c r="S511" i="3"/>
  <c r="S543" i="3"/>
  <c r="Q25" i="3"/>
  <c r="Q48" i="3"/>
  <c r="Q64" i="3"/>
  <c r="Q77" i="3"/>
  <c r="Q85" i="3"/>
  <c r="Q93" i="3"/>
  <c r="Q101" i="3"/>
  <c r="Q109" i="3"/>
  <c r="Q117" i="3"/>
  <c r="Q125" i="3"/>
  <c r="Q133" i="3"/>
  <c r="Q141" i="3"/>
  <c r="Q149" i="3"/>
  <c r="Q157" i="3"/>
  <c r="Q165" i="3"/>
  <c r="Q173" i="3"/>
  <c r="Q181" i="3"/>
  <c r="Q189" i="3"/>
  <c r="Q197" i="3"/>
  <c r="Q205" i="3"/>
  <c r="Q213" i="3"/>
  <c r="Q221" i="3"/>
  <c r="Q229" i="3"/>
  <c r="Q237" i="3"/>
  <c r="Q245" i="3"/>
  <c r="Q253" i="3"/>
  <c r="Q261" i="3"/>
  <c r="Q269" i="3"/>
  <c r="Q277" i="3"/>
  <c r="Q285" i="3"/>
  <c r="Q293" i="3"/>
  <c r="Q301" i="3"/>
  <c r="Q309" i="3"/>
  <c r="Q317" i="3"/>
  <c r="Q325" i="3"/>
  <c r="Q333" i="3"/>
  <c r="Q341" i="3"/>
  <c r="Q349" i="3"/>
  <c r="Q357" i="3"/>
  <c r="Q365" i="3"/>
  <c r="Q373" i="3"/>
  <c r="Q381" i="3"/>
  <c r="Q389" i="3"/>
  <c r="Q397" i="3"/>
  <c r="Q405" i="3"/>
  <c r="Q413" i="3"/>
  <c r="Q421" i="3"/>
  <c r="Q429" i="3"/>
  <c r="Q437" i="3"/>
  <c r="Q445" i="3"/>
  <c r="Q453" i="3"/>
  <c r="Q461" i="3"/>
  <c r="Q469" i="3"/>
  <c r="Q477" i="3"/>
  <c r="Q485" i="3"/>
  <c r="Q493" i="3"/>
  <c r="Q501" i="3"/>
  <c r="Q509" i="3"/>
  <c r="Q517" i="3"/>
  <c r="Q525" i="3"/>
  <c r="Q533" i="3"/>
  <c r="Q541" i="3"/>
  <c r="L6" i="3"/>
  <c r="L14" i="3"/>
  <c r="R343" i="3"/>
  <c r="S97" i="3"/>
  <c r="S230" i="3"/>
  <c r="S358" i="3"/>
  <c r="S486" i="3"/>
  <c r="Q49" i="3"/>
  <c r="Q94" i="3"/>
  <c r="Q126" i="3"/>
  <c r="Q158" i="3"/>
  <c r="Q190" i="3"/>
  <c r="Q222" i="3"/>
  <c r="Q254" i="3"/>
  <c r="Q286" i="3"/>
  <c r="Q318" i="3"/>
  <c r="Q350" i="3"/>
  <c r="Q382" i="3"/>
  <c r="Q414" i="3"/>
  <c r="Q446" i="3"/>
  <c r="Q470" i="3"/>
  <c r="Q492" i="3"/>
  <c r="Q511" i="3"/>
  <c r="Q534" i="3"/>
  <c r="L7" i="3"/>
  <c r="L22" i="3"/>
  <c r="L32" i="3"/>
  <c r="L41" i="3"/>
  <c r="L51" i="3"/>
  <c r="L59" i="3"/>
  <c r="L67" i="3"/>
  <c r="L75" i="3"/>
  <c r="L83" i="3"/>
  <c r="L91" i="3"/>
  <c r="L99" i="3"/>
  <c r="L107" i="3"/>
  <c r="L115" i="3"/>
  <c r="L123" i="3"/>
  <c r="L131" i="3"/>
  <c r="L139" i="3"/>
  <c r="L147" i="3"/>
  <c r="L155" i="3"/>
  <c r="L163" i="3"/>
  <c r="L171" i="3"/>
  <c r="L179" i="3"/>
  <c r="L187" i="3"/>
  <c r="L195" i="3"/>
  <c r="L203" i="3"/>
  <c r="L211" i="3"/>
  <c r="L219" i="3"/>
  <c r="L227" i="3"/>
  <c r="L235" i="3"/>
  <c r="L243" i="3"/>
  <c r="L251" i="3"/>
  <c r="L259" i="3"/>
  <c r="L267" i="3"/>
  <c r="L275" i="3"/>
  <c r="L283" i="3"/>
  <c r="L291" i="3"/>
  <c r="L299" i="3"/>
  <c r="L307" i="3"/>
  <c r="L315" i="3"/>
  <c r="L323" i="3"/>
  <c r="L331" i="3"/>
  <c r="L339" i="3"/>
  <c r="L347" i="3"/>
  <c r="L355" i="3"/>
  <c r="L363" i="3"/>
  <c r="L371" i="3"/>
  <c r="L379" i="3"/>
  <c r="L387" i="3"/>
  <c r="L395" i="3"/>
  <c r="L403" i="3"/>
  <c r="L411" i="3"/>
  <c r="L419" i="3"/>
  <c r="L427" i="3"/>
  <c r="L435" i="3"/>
  <c r="L443" i="3"/>
  <c r="L451" i="3"/>
  <c r="L459" i="3"/>
  <c r="L467" i="3"/>
  <c r="R351" i="3"/>
  <c r="S98" i="3"/>
  <c r="S231" i="3"/>
  <c r="S359" i="3"/>
  <c r="S487" i="3"/>
  <c r="Q52" i="3"/>
  <c r="Q95" i="3"/>
  <c r="Q127" i="3"/>
  <c r="Q159" i="3"/>
  <c r="Q191" i="3"/>
  <c r="Q223" i="3"/>
  <c r="Q255" i="3"/>
  <c r="Q287" i="3"/>
  <c r="Q319" i="3"/>
  <c r="Q351" i="3"/>
  <c r="Q383" i="3"/>
  <c r="Q415" i="3"/>
  <c r="Q447" i="3"/>
  <c r="Q471" i="3"/>
  <c r="Q494" i="3"/>
  <c r="Q516" i="3"/>
  <c r="Q535" i="3"/>
  <c r="L8" i="3"/>
  <c r="L23" i="3"/>
  <c r="L33" i="3"/>
  <c r="L43" i="3"/>
  <c r="L52" i="3"/>
  <c r="L60" i="3"/>
  <c r="L68" i="3"/>
  <c r="L76" i="3"/>
  <c r="L84" i="3"/>
  <c r="L92" i="3"/>
  <c r="L100" i="3"/>
  <c r="L108" i="3"/>
  <c r="L116" i="3"/>
  <c r="L124" i="3"/>
  <c r="L132" i="3"/>
  <c r="L140" i="3"/>
  <c r="L148" i="3"/>
  <c r="L156" i="3"/>
  <c r="L164" i="3"/>
  <c r="L172" i="3"/>
  <c r="L180" i="3"/>
  <c r="L188" i="3"/>
  <c r="L196" i="3"/>
  <c r="L204" i="3"/>
  <c r="L212" i="3"/>
  <c r="L220" i="3"/>
  <c r="L228" i="3"/>
  <c r="L236" i="3"/>
  <c r="L244" i="3"/>
  <c r="L252" i="3"/>
  <c r="L260" i="3"/>
  <c r="L268" i="3"/>
  <c r="L276" i="3"/>
  <c r="L284" i="3"/>
  <c r="L292" i="3"/>
  <c r="L300" i="3"/>
  <c r="L308" i="3"/>
  <c r="L316" i="3"/>
  <c r="L324" i="3"/>
  <c r="L332" i="3"/>
  <c r="L340" i="3"/>
  <c r="L348" i="3"/>
  <c r="L356" i="3"/>
  <c r="L364" i="3"/>
  <c r="L372" i="3"/>
  <c r="L380" i="3"/>
  <c r="L388" i="3"/>
  <c r="L396" i="3"/>
  <c r="L404" i="3"/>
  <c r="L412" i="3"/>
  <c r="L420" i="3"/>
  <c r="L428" i="3"/>
  <c r="L436" i="3"/>
  <c r="L444" i="3"/>
  <c r="L452" i="3"/>
  <c r="L460" i="3"/>
  <c r="L468" i="3"/>
  <c r="L476" i="3"/>
  <c r="L484" i="3"/>
  <c r="L492" i="3"/>
  <c r="L500" i="3"/>
  <c r="L508" i="3"/>
  <c r="L516" i="3"/>
  <c r="L524" i="3"/>
  <c r="R504" i="3"/>
  <c r="S134" i="3"/>
  <c r="S262" i="3"/>
  <c r="S390" i="3"/>
  <c r="S518" i="3"/>
  <c r="Q65" i="3"/>
  <c r="Q102" i="3"/>
  <c r="Q134" i="3"/>
  <c r="Q166" i="3"/>
  <c r="Q198" i="3"/>
  <c r="Q230" i="3"/>
  <c r="Q262" i="3"/>
  <c r="Q294" i="3"/>
  <c r="Q326" i="3"/>
  <c r="Q358" i="3"/>
  <c r="Q390" i="3"/>
  <c r="Q422" i="3"/>
  <c r="Q454" i="3"/>
  <c r="Q476" i="3"/>
  <c r="Q495" i="3"/>
  <c r="Q518" i="3"/>
  <c r="Q538" i="3"/>
  <c r="L11" i="3"/>
  <c r="L24" i="3"/>
  <c r="L35" i="3"/>
  <c r="L44" i="3"/>
  <c r="L53" i="3"/>
  <c r="L61" i="3"/>
  <c r="L69" i="3"/>
  <c r="L77" i="3"/>
  <c r="L85" i="3"/>
  <c r="L93" i="3"/>
  <c r="L101" i="3"/>
  <c r="L109" i="3"/>
  <c r="L117" i="3"/>
  <c r="L125" i="3"/>
  <c r="L133" i="3"/>
  <c r="L141" i="3"/>
  <c r="L149" i="3"/>
  <c r="L157" i="3"/>
  <c r="L165" i="3"/>
  <c r="L173" i="3"/>
  <c r="L181" i="3"/>
  <c r="L189" i="3"/>
  <c r="L197" i="3"/>
  <c r="L205" i="3"/>
  <c r="L213" i="3"/>
  <c r="L221" i="3"/>
  <c r="L229" i="3"/>
  <c r="L237" i="3"/>
  <c r="L245" i="3"/>
  <c r="L253" i="3"/>
  <c r="L261" i="3"/>
  <c r="L269" i="3"/>
  <c r="L277" i="3"/>
  <c r="L285" i="3"/>
  <c r="L293" i="3"/>
  <c r="L301" i="3"/>
  <c r="L309" i="3"/>
  <c r="L317" i="3"/>
  <c r="L325" i="3"/>
  <c r="L333" i="3"/>
  <c r="L341" i="3"/>
  <c r="L349" i="3"/>
  <c r="L357" i="3"/>
  <c r="L365" i="3"/>
  <c r="L373" i="3"/>
  <c r="L381" i="3"/>
  <c r="L389" i="3"/>
  <c r="L397" i="3"/>
  <c r="L405" i="3"/>
  <c r="L413" i="3"/>
  <c r="L421" i="3"/>
  <c r="L429" i="3"/>
  <c r="L437" i="3"/>
  <c r="L445" i="3"/>
  <c r="L453" i="3"/>
  <c r="L461" i="3"/>
  <c r="L469" i="3"/>
  <c r="L477" i="3"/>
  <c r="L485" i="3"/>
  <c r="L493" i="3"/>
  <c r="L501" i="3"/>
  <c r="L509" i="3"/>
  <c r="R505" i="3"/>
  <c r="S135" i="3"/>
  <c r="S263" i="3"/>
  <c r="S391" i="3"/>
  <c r="S519" i="3"/>
  <c r="Q68" i="3"/>
  <c r="Q103" i="3"/>
  <c r="Q135" i="3"/>
  <c r="Q167" i="3"/>
  <c r="Q199" i="3"/>
  <c r="Q231" i="3"/>
  <c r="Q263" i="3"/>
  <c r="Q295" i="3"/>
  <c r="Q327" i="3"/>
  <c r="Q359" i="3"/>
  <c r="Q391" i="3"/>
  <c r="Q423" i="3"/>
  <c r="Q455" i="3"/>
  <c r="Q478" i="3"/>
  <c r="Q500" i="3"/>
  <c r="Q519" i="3"/>
  <c r="Q540" i="3"/>
  <c r="L13" i="3"/>
  <c r="L25" i="3"/>
  <c r="L36" i="3"/>
  <c r="L45" i="3"/>
  <c r="L54" i="3"/>
  <c r="L62" i="3"/>
  <c r="L70" i="3"/>
  <c r="L78" i="3"/>
  <c r="L86" i="3"/>
  <c r="L94" i="3"/>
  <c r="L102" i="3"/>
  <c r="L110" i="3"/>
  <c r="L118" i="3"/>
  <c r="L126" i="3"/>
  <c r="L134" i="3"/>
  <c r="L142" i="3"/>
  <c r="L150" i="3"/>
  <c r="L158" i="3"/>
  <c r="L166" i="3"/>
  <c r="L174" i="3"/>
  <c r="L182" i="3"/>
  <c r="L190" i="3"/>
  <c r="L198" i="3"/>
  <c r="L206" i="3"/>
  <c r="L214" i="3"/>
  <c r="L222" i="3"/>
  <c r="L230" i="3"/>
  <c r="L238" i="3"/>
  <c r="L246" i="3"/>
  <c r="L254" i="3"/>
  <c r="L262" i="3"/>
  <c r="L270" i="3"/>
  <c r="L278" i="3"/>
  <c r="L286" i="3"/>
  <c r="L294" i="3"/>
  <c r="L302" i="3"/>
  <c r="L310" i="3"/>
  <c r="L318" i="3"/>
  <c r="L326" i="3"/>
  <c r="L334" i="3"/>
  <c r="L342" i="3"/>
  <c r="L350" i="3"/>
  <c r="L358" i="3"/>
  <c r="L366" i="3"/>
  <c r="L374" i="3"/>
  <c r="L382" i="3"/>
  <c r="L390" i="3"/>
  <c r="L398" i="3"/>
  <c r="L406" i="3"/>
  <c r="L414" i="3"/>
  <c r="L422" i="3"/>
  <c r="L430" i="3"/>
  <c r="L438" i="3"/>
  <c r="L446" i="3"/>
  <c r="L454" i="3"/>
  <c r="L462" i="3"/>
  <c r="L470" i="3"/>
  <c r="L478" i="3"/>
  <c r="L486" i="3"/>
  <c r="S19" i="3"/>
  <c r="S166" i="3"/>
  <c r="S294" i="3"/>
  <c r="S422" i="3"/>
  <c r="Q8" i="3"/>
  <c r="Q78" i="3"/>
  <c r="Q110" i="3"/>
  <c r="Q142" i="3"/>
  <c r="Q174" i="3"/>
  <c r="Q206" i="3"/>
  <c r="Q238" i="3"/>
  <c r="Q270" i="3"/>
  <c r="Q302" i="3"/>
  <c r="Q334" i="3"/>
  <c r="Q366" i="3"/>
  <c r="Q398" i="3"/>
  <c r="Q430" i="3"/>
  <c r="Q460" i="3"/>
  <c r="Q479" i="3"/>
  <c r="Q502" i="3"/>
  <c r="Q524" i="3"/>
  <c r="Q542" i="3"/>
  <c r="L15" i="3"/>
  <c r="L27" i="3"/>
  <c r="L37" i="3"/>
  <c r="L46" i="3"/>
  <c r="L55" i="3"/>
  <c r="L63" i="3"/>
  <c r="L71" i="3"/>
  <c r="L79" i="3"/>
  <c r="L87" i="3"/>
  <c r="L95" i="3"/>
  <c r="L103" i="3"/>
  <c r="L111" i="3"/>
  <c r="L119" i="3"/>
  <c r="L127" i="3"/>
  <c r="L135" i="3"/>
  <c r="L143" i="3"/>
  <c r="L151" i="3"/>
  <c r="L159" i="3"/>
  <c r="L167" i="3"/>
  <c r="L175" i="3"/>
  <c r="L183" i="3"/>
  <c r="L191" i="3"/>
  <c r="L199" i="3"/>
  <c r="L207" i="3"/>
  <c r="L215" i="3"/>
  <c r="L223" i="3"/>
  <c r="L231" i="3"/>
  <c r="L239" i="3"/>
  <c r="L247" i="3"/>
  <c r="L255" i="3"/>
  <c r="L263" i="3"/>
  <c r="L271" i="3"/>
  <c r="L279" i="3"/>
  <c r="L287" i="3"/>
  <c r="L295" i="3"/>
  <c r="L303" i="3"/>
  <c r="L311" i="3"/>
  <c r="L319" i="3"/>
  <c r="L327" i="3"/>
  <c r="L335" i="3"/>
  <c r="L343" i="3"/>
  <c r="L351" i="3"/>
  <c r="L359" i="3"/>
  <c r="L367" i="3"/>
  <c r="L375" i="3"/>
  <c r="L383" i="3"/>
  <c r="L391" i="3"/>
  <c r="L399" i="3"/>
  <c r="L407" i="3"/>
  <c r="L415" i="3"/>
  <c r="L423" i="3"/>
  <c r="L431" i="3"/>
  <c r="L439" i="3"/>
  <c r="L447" i="3"/>
  <c r="L455" i="3"/>
  <c r="S22" i="3"/>
  <c r="S167" i="3"/>
  <c r="S295" i="3"/>
  <c r="S423" i="3"/>
  <c r="Q9" i="3"/>
  <c r="Q79" i="3"/>
  <c r="Q111" i="3"/>
  <c r="Q143" i="3"/>
  <c r="Q175" i="3"/>
  <c r="Q207" i="3"/>
  <c r="Q239" i="3"/>
  <c r="Q271" i="3"/>
  <c r="Q303" i="3"/>
  <c r="Q335" i="3"/>
  <c r="Q367" i="3"/>
  <c r="Q399" i="3"/>
  <c r="Q431" i="3"/>
  <c r="Q462" i="3"/>
  <c r="Q484" i="3"/>
  <c r="Q503" i="3"/>
  <c r="Q526" i="3"/>
  <c r="Q543" i="3"/>
  <c r="L16" i="3"/>
  <c r="L29" i="3"/>
  <c r="L38" i="3"/>
  <c r="L47" i="3"/>
  <c r="L56" i="3"/>
  <c r="L64" i="3"/>
  <c r="L72" i="3"/>
  <c r="L80" i="3"/>
  <c r="L88" i="3"/>
  <c r="L96" i="3"/>
  <c r="L104" i="3"/>
  <c r="L112" i="3"/>
  <c r="L120" i="3"/>
  <c r="L128" i="3"/>
  <c r="L136" i="3"/>
  <c r="L144" i="3"/>
  <c r="L152" i="3"/>
  <c r="L160" i="3"/>
  <c r="L168" i="3"/>
  <c r="L176" i="3"/>
  <c r="L184" i="3"/>
  <c r="L192" i="3"/>
  <c r="L200" i="3"/>
  <c r="L208" i="3"/>
  <c r="L216" i="3"/>
  <c r="L224" i="3"/>
  <c r="L232" i="3"/>
  <c r="L240" i="3"/>
  <c r="L248" i="3"/>
  <c r="L256" i="3"/>
  <c r="L264" i="3"/>
  <c r="L272" i="3"/>
  <c r="L280" i="3"/>
  <c r="L288" i="3"/>
  <c r="L296" i="3"/>
  <c r="L304" i="3"/>
  <c r="L312" i="3"/>
  <c r="L320" i="3"/>
  <c r="L328" i="3"/>
  <c r="L336" i="3"/>
  <c r="L344" i="3"/>
  <c r="L352" i="3"/>
  <c r="L360" i="3"/>
  <c r="L368" i="3"/>
  <c r="L376" i="3"/>
  <c r="L384" i="3"/>
  <c r="L392" i="3"/>
  <c r="L400" i="3"/>
  <c r="L408" i="3"/>
  <c r="L416" i="3"/>
  <c r="L424" i="3"/>
  <c r="L432" i="3"/>
  <c r="L440" i="3"/>
  <c r="L448" i="3"/>
  <c r="L456" i="3"/>
  <c r="L464" i="3"/>
  <c r="L472" i="3"/>
  <c r="L480" i="3"/>
  <c r="L488" i="3"/>
  <c r="L496" i="3"/>
  <c r="L504" i="3"/>
  <c r="L512" i="3"/>
  <c r="L520" i="3"/>
  <c r="S60" i="3"/>
  <c r="Q28" i="3"/>
  <c r="Q182" i="3"/>
  <c r="Q310" i="3"/>
  <c r="S62" i="3"/>
  <c r="Q32" i="3"/>
  <c r="Q183" i="3"/>
  <c r="Q311" i="3"/>
  <c r="Q439" i="3"/>
  <c r="Q532" i="3"/>
  <c r="L40" i="3"/>
  <c r="L74" i="3"/>
  <c r="L106" i="3"/>
  <c r="L138" i="3"/>
  <c r="L170" i="3"/>
  <c r="L202" i="3"/>
  <c r="L234" i="3"/>
  <c r="L266" i="3"/>
  <c r="L298" i="3"/>
  <c r="L330" i="3"/>
  <c r="L362" i="3"/>
  <c r="L394" i="3"/>
  <c r="L426" i="3"/>
  <c r="L458" i="3"/>
  <c r="L479" i="3"/>
  <c r="L494" i="3"/>
  <c r="L506" i="3"/>
  <c r="L518" i="3"/>
  <c r="L528" i="3"/>
  <c r="L536" i="3"/>
  <c r="K2" i="3"/>
  <c r="K10" i="3"/>
  <c r="K18" i="3"/>
  <c r="K26" i="3"/>
  <c r="K34" i="3"/>
  <c r="K42" i="3"/>
  <c r="K50" i="3"/>
  <c r="K58" i="3"/>
  <c r="K66" i="3"/>
  <c r="K74" i="3"/>
  <c r="K82" i="3"/>
  <c r="K90" i="3"/>
  <c r="K98" i="3"/>
  <c r="K106" i="3"/>
  <c r="K114" i="3"/>
  <c r="K122" i="3"/>
  <c r="K130" i="3"/>
  <c r="K138" i="3"/>
  <c r="K146" i="3"/>
  <c r="K154" i="3"/>
  <c r="K162" i="3"/>
  <c r="K170" i="3"/>
  <c r="K178" i="3"/>
  <c r="K186" i="3"/>
  <c r="K194" i="3"/>
  <c r="K202" i="3"/>
  <c r="K210" i="3"/>
  <c r="K218" i="3"/>
  <c r="K226" i="3"/>
  <c r="K234" i="3"/>
  <c r="K242" i="3"/>
  <c r="K250" i="3"/>
  <c r="K258" i="3"/>
  <c r="K266" i="3"/>
  <c r="K274" i="3"/>
  <c r="K282" i="3"/>
  <c r="S198" i="3"/>
  <c r="Q86" i="3"/>
  <c r="Q214" i="3"/>
  <c r="Q342" i="3"/>
  <c r="Q463" i="3"/>
  <c r="L3" i="3"/>
  <c r="L48" i="3"/>
  <c r="L81" i="3"/>
  <c r="L113" i="3"/>
  <c r="L145" i="3"/>
  <c r="L177" i="3"/>
  <c r="L209" i="3"/>
  <c r="L241" i="3"/>
  <c r="L273" i="3"/>
  <c r="L305" i="3"/>
  <c r="L337" i="3"/>
  <c r="L369" i="3"/>
  <c r="L401" i="3"/>
  <c r="L433" i="3"/>
  <c r="L463" i="3"/>
  <c r="L481" i="3"/>
  <c r="L495" i="3"/>
  <c r="L507" i="3"/>
  <c r="L519" i="3"/>
  <c r="L529" i="3"/>
  <c r="L537" i="3"/>
  <c r="K3" i="3"/>
  <c r="K11" i="3"/>
  <c r="K19" i="3"/>
  <c r="K27" i="3"/>
  <c r="K35" i="3"/>
  <c r="K43" i="3"/>
  <c r="K51" i="3"/>
  <c r="K59" i="3"/>
  <c r="K67" i="3"/>
  <c r="K75" i="3"/>
  <c r="K83" i="3"/>
  <c r="K91" i="3"/>
  <c r="K99" i="3"/>
  <c r="K107" i="3"/>
  <c r="K115" i="3"/>
  <c r="K123" i="3"/>
  <c r="K131" i="3"/>
  <c r="K139" i="3"/>
  <c r="K147" i="3"/>
  <c r="K155" i="3"/>
  <c r="K163" i="3"/>
  <c r="K171" i="3"/>
  <c r="K179" i="3"/>
  <c r="K187" i="3"/>
  <c r="K195" i="3"/>
  <c r="K203" i="3"/>
  <c r="K211" i="3"/>
  <c r="K219" i="3"/>
  <c r="K227" i="3"/>
  <c r="K235" i="3"/>
  <c r="K243" i="3"/>
  <c r="K251" i="3"/>
  <c r="K259" i="3"/>
  <c r="K267" i="3"/>
  <c r="K275" i="3"/>
  <c r="K283" i="3"/>
  <c r="K291" i="3"/>
  <c r="K299" i="3"/>
  <c r="K307" i="3"/>
  <c r="K315" i="3"/>
  <c r="K323" i="3"/>
  <c r="K331" i="3"/>
  <c r="K339" i="3"/>
  <c r="K347" i="3"/>
  <c r="K355" i="3"/>
  <c r="K363" i="3"/>
  <c r="K371" i="3"/>
  <c r="K379" i="3"/>
  <c r="K387" i="3"/>
  <c r="K395" i="3"/>
  <c r="K403" i="3"/>
  <c r="K411" i="3"/>
  <c r="K419" i="3"/>
  <c r="K427" i="3"/>
  <c r="K435" i="3"/>
  <c r="K443" i="3"/>
  <c r="K451" i="3"/>
  <c r="K459" i="3"/>
  <c r="K467" i="3"/>
  <c r="S199" i="3"/>
  <c r="Q87" i="3"/>
  <c r="Q215" i="3"/>
  <c r="Q343" i="3"/>
  <c r="Q468" i="3"/>
  <c r="L5" i="3"/>
  <c r="L49" i="3"/>
  <c r="L82" i="3"/>
  <c r="L114" i="3"/>
  <c r="L146" i="3"/>
  <c r="L178" i="3"/>
  <c r="L210" i="3"/>
  <c r="L242" i="3"/>
  <c r="L274" i="3"/>
  <c r="L306" i="3"/>
  <c r="L338" i="3"/>
  <c r="L370" i="3"/>
  <c r="L402" i="3"/>
  <c r="L434" i="3"/>
  <c r="L465" i="3"/>
  <c r="L482" i="3"/>
  <c r="L497" i="3"/>
  <c r="L510" i="3"/>
  <c r="L521" i="3"/>
  <c r="L530" i="3"/>
  <c r="L538" i="3"/>
  <c r="K4" i="3"/>
  <c r="K12" i="3"/>
  <c r="K20" i="3"/>
  <c r="K28" i="3"/>
  <c r="K36" i="3"/>
  <c r="K44" i="3"/>
  <c r="K52" i="3"/>
  <c r="K60" i="3"/>
  <c r="K68" i="3"/>
  <c r="K76" i="3"/>
  <c r="K84" i="3"/>
  <c r="K92" i="3"/>
  <c r="K100" i="3"/>
  <c r="K108" i="3"/>
  <c r="K116" i="3"/>
  <c r="K124" i="3"/>
  <c r="K132" i="3"/>
  <c r="K140" i="3"/>
  <c r="K148" i="3"/>
  <c r="K156" i="3"/>
  <c r="K164" i="3"/>
  <c r="K172" i="3"/>
  <c r="K180" i="3"/>
  <c r="K188" i="3"/>
  <c r="K196" i="3"/>
  <c r="K204" i="3"/>
  <c r="K212" i="3"/>
  <c r="K220" i="3"/>
  <c r="K228" i="3"/>
  <c r="K236" i="3"/>
  <c r="K244" i="3"/>
  <c r="K252" i="3"/>
  <c r="K260" i="3"/>
  <c r="K268" i="3"/>
  <c r="K276" i="3"/>
  <c r="K284" i="3"/>
  <c r="K292" i="3"/>
  <c r="K300" i="3"/>
  <c r="K308" i="3"/>
  <c r="K316" i="3"/>
  <c r="K324" i="3"/>
  <c r="K332" i="3"/>
  <c r="K340" i="3"/>
  <c r="K348" i="3"/>
  <c r="K356" i="3"/>
  <c r="S326" i="3"/>
  <c r="Q118" i="3"/>
  <c r="Q246" i="3"/>
  <c r="Q374" i="3"/>
  <c r="Q486" i="3"/>
  <c r="L19" i="3"/>
  <c r="L57" i="3"/>
  <c r="L89" i="3"/>
  <c r="L121" i="3"/>
  <c r="L153" i="3"/>
  <c r="L185" i="3"/>
  <c r="L217" i="3"/>
  <c r="L249" i="3"/>
  <c r="L281" i="3"/>
  <c r="L313" i="3"/>
  <c r="L345" i="3"/>
  <c r="L377" i="3"/>
  <c r="L409" i="3"/>
  <c r="L441" i="3"/>
  <c r="L466" i="3"/>
  <c r="L483" i="3"/>
  <c r="L498" i="3"/>
  <c r="L511" i="3"/>
  <c r="L522" i="3"/>
  <c r="L531" i="3"/>
  <c r="L539" i="3"/>
  <c r="K5" i="3"/>
  <c r="K13" i="3"/>
  <c r="K21" i="3"/>
  <c r="K29" i="3"/>
  <c r="K37" i="3"/>
  <c r="K45" i="3"/>
  <c r="K53" i="3"/>
  <c r="K61" i="3"/>
  <c r="K69" i="3"/>
  <c r="K77" i="3"/>
  <c r="K85" i="3"/>
  <c r="K93" i="3"/>
  <c r="K101" i="3"/>
  <c r="K109" i="3"/>
  <c r="K117" i="3"/>
  <c r="K125" i="3"/>
  <c r="K133" i="3"/>
  <c r="K141" i="3"/>
  <c r="K149" i="3"/>
  <c r="K157" i="3"/>
  <c r="K165" i="3"/>
  <c r="K173" i="3"/>
  <c r="K181" i="3"/>
  <c r="K189" i="3"/>
  <c r="K197" i="3"/>
  <c r="K205" i="3"/>
  <c r="K213" i="3"/>
  <c r="K221" i="3"/>
  <c r="K229" i="3"/>
  <c r="K237" i="3"/>
  <c r="K245" i="3"/>
  <c r="K253" i="3"/>
  <c r="K261" i="3"/>
  <c r="K269" i="3"/>
  <c r="K277" i="3"/>
  <c r="K285" i="3"/>
  <c r="K293" i="3"/>
  <c r="K301" i="3"/>
  <c r="K309" i="3"/>
  <c r="K317" i="3"/>
  <c r="K325" i="3"/>
  <c r="K333" i="3"/>
  <c r="S327" i="3"/>
  <c r="Q119" i="3"/>
  <c r="Q247" i="3"/>
  <c r="Q375" i="3"/>
  <c r="Q487" i="3"/>
  <c r="L21" i="3"/>
  <c r="L58" i="3"/>
  <c r="L90" i="3"/>
  <c r="L122" i="3"/>
  <c r="L154" i="3"/>
  <c r="L186" i="3"/>
  <c r="L218" i="3"/>
  <c r="L250" i="3"/>
  <c r="L282" i="3"/>
  <c r="L314" i="3"/>
  <c r="L346" i="3"/>
  <c r="L378" i="3"/>
  <c r="L410" i="3"/>
  <c r="L442" i="3"/>
  <c r="L471" i="3"/>
  <c r="L487" i="3"/>
  <c r="L499" i="3"/>
  <c r="L513" i="3"/>
  <c r="L523" i="3"/>
  <c r="L532" i="3"/>
  <c r="L540" i="3"/>
  <c r="K6" i="3"/>
  <c r="K14" i="3"/>
  <c r="K22" i="3"/>
  <c r="K30" i="3"/>
  <c r="K38" i="3"/>
  <c r="K46" i="3"/>
  <c r="K54" i="3"/>
  <c r="K62" i="3"/>
  <c r="K70" i="3"/>
  <c r="K78" i="3"/>
  <c r="K86" i="3"/>
  <c r="K94" i="3"/>
  <c r="K102" i="3"/>
  <c r="K110" i="3"/>
  <c r="K118" i="3"/>
  <c r="K126" i="3"/>
  <c r="K134" i="3"/>
  <c r="K142" i="3"/>
  <c r="K150" i="3"/>
  <c r="K158" i="3"/>
  <c r="K166" i="3"/>
  <c r="S454" i="3"/>
  <c r="Q438" i="3"/>
  <c r="L66" i="3"/>
  <c r="L161" i="3"/>
  <c r="L233" i="3"/>
  <c r="L322" i="3"/>
  <c r="L417" i="3"/>
  <c r="L475" i="3"/>
  <c r="L515" i="3"/>
  <c r="L541" i="3"/>
  <c r="K17" i="3"/>
  <c r="K40" i="3"/>
  <c r="K63" i="3"/>
  <c r="K81" i="3"/>
  <c r="K104" i="3"/>
  <c r="K127" i="3"/>
  <c r="K145" i="3"/>
  <c r="K168" i="3"/>
  <c r="K184" i="3"/>
  <c r="K200" i="3"/>
  <c r="K216" i="3"/>
  <c r="K232" i="3"/>
  <c r="K248" i="3"/>
  <c r="K264" i="3"/>
  <c r="K280" i="3"/>
  <c r="K295" i="3"/>
  <c r="K306" i="3"/>
  <c r="K320" i="3"/>
  <c r="K334" i="3"/>
  <c r="K344" i="3"/>
  <c r="K354" i="3"/>
  <c r="K365" i="3"/>
  <c r="K374" i="3"/>
  <c r="K383" i="3"/>
  <c r="K392" i="3"/>
  <c r="K401" i="3"/>
  <c r="K410" i="3"/>
  <c r="K420" i="3"/>
  <c r="K429" i="3"/>
  <c r="K438" i="3"/>
  <c r="K447" i="3"/>
  <c r="K456" i="3"/>
  <c r="K465" i="3"/>
  <c r="K474" i="3"/>
  <c r="K482" i="3"/>
  <c r="K490" i="3"/>
  <c r="K498" i="3"/>
  <c r="K506" i="3"/>
  <c r="K514" i="3"/>
  <c r="K522" i="3"/>
  <c r="K530" i="3"/>
  <c r="K538" i="3"/>
  <c r="J4" i="3"/>
  <c r="J12" i="3"/>
  <c r="J20" i="3"/>
  <c r="J28" i="3"/>
  <c r="J36" i="3"/>
  <c r="J44" i="3"/>
  <c r="J52" i="3"/>
  <c r="J60" i="3"/>
  <c r="J68" i="3"/>
  <c r="J76" i="3"/>
  <c r="J84" i="3"/>
  <c r="J92" i="3"/>
  <c r="J100" i="3"/>
  <c r="J108" i="3"/>
  <c r="J116" i="3"/>
  <c r="J124" i="3"/>
  <c r="J132" i="3"/>
  <c r="J140" i="3"/>
  <c r="J148" i="3"/>
  <c r="J156" i="3"/>
  <c r="J164" i="3"/>
  <c r="J172" i="3"/>
  <c r="J180" i="3"/>
  <c r="J188" i="3"/>
  <c r="J196" i="3"/>
  <c r="J204" i="3"/>
  <c r="J212" i="3"/>
  <c r="J220" i="3"/>
  <c r="J228" i="3"/>
  <c r="J236" i="3"/>
  <c r="J244" i="3"/>
  <c r="J252" i="3"/>
  <c r="J260" i="3"/>
  <c r="J268" i="3"/>
  <c r="J276" i="3"/>
  <c r="J284" i="3"/>
  <c r="J292" i="3"/>
  <c r="J300" i="3"/>
  <c r="J308" i="3"/>
  <c r="J316" i="3"/>
  <c r="J324" i="3"/>
  <c r="J332" i="3"/>
  <c r="J340" i="3"/>
  <c r="J348" i="3"/>
  <c r="J356" i="3"/>
  <c r="J364" i="3"/>
  <c r="J372" i="3"/>
  <c r="J380" i="3"/>
  <c r="J388" i="3"/>
  <c r="J396" i="3"/>
  <c r="J404" i="3"/>
  <c r="J412" i="3"/>
  <c r="J420" i="3"/>
  <c r="J428" i="3"/>
  <c r="J436" i="3"/>
  <c r="J444" i="3"/>
  <c r="J452" i="3"/>
  <c r="J460" i="3"/>
  <c r="J468" i="3"/>
  <c r="J476" i="3"/>
  <c r="J484" i="3"/>
  <c r="J492" i="3"/>
  <c r="J500" i="3"/>
  <c r="J508" i="3"/>
  <c r="J516" i="3"/>
  <c r="J524" i="3"/>
  <c r="J532" i="3"/>
  <c r="J540" i="3"/>
  <c r="Z6" i="3"/>
  <c r="Z14" i="3"/>
  <c r="Z22" i="3"/>
  <c r="Z30" i="3"/>
  <c r="Z38" i="3"/>
  <c r="Z46" i="3"/>
  <c r="Z54" i="3"/>
  <c r="S455" i="3"/>
  <c r="Q508" i="3"/>
  <c r="L73" i="3"/>
  <c r="L162" i="3"/>
  <c r="L257" i="3"/>
  <c r="L329" i="3"/>
  <c r="L418" i="3"/>
  <c r="L489" i="3"/>
  <c r="L517" i="3"/>
  <c r="L542" i="3"/>
  <c r="K23" i="3"/>
  <c r="K41" i="3"/>
  <c r="K64" i="3"/>
  <c r="K87" i="3"/>
  <c r="K105" i="3"/>
  <c r="K128" i="3"/>
  <c r="K151" i="3"/>
  <c r="K169" i="3"/>
  <c r="K185" i="3"/>
  <c r="K201" i="3"/>
  <c r="K217" i="3"/>
  <c r="K233" i="3"/>
  <c r="K249" i="3"/>
  <c r="K265" i="3"/>
  <c r="K281" i="3"/>
  <c r="K296" i="3"/>
  <c r="K310" i="3"/>
  <c r="K321" i="3"/>
  <c r="K335" i="3"/>
  <c r="K345" i="3"/>
  <c r="K357" i="3"/>
  <c r="K366" i="3"/>
  <c r="K375" i="3"/>
  <c r="K384" i="3"/>
  <c r="K393" i="3"/>
  <c r="K402" i="3"/>
  <c r="K412" i="3"/>
  <c r="K421" i="3"/>
  <c r="K430" i="3"/>
  <c r="K439" i="3"/>
  <c r="K448" i="3"/>
  <c r="K457" i="3"/>
  <c r="K466" i="3"/>
  <c r="K475" i="3"/>
  <c r="K483" i="3"/>
  <c r="K491" i="3"/>
  <c r="K499" i="3"/>
  <c r="K507" i="3"/>
  <c r="K515" i="3"/>
  <c r="K523" i="3"/>
  <c r="K531" i="3"/>
  <c r="K539" i="3"/>
  <c r="J5" i="3"/>
  <c r="J13" i="3"/>
  <c r="J21" i="3"/>
  <c r="J29" i="3"/>
  <c r="J37" i="3"/>
  <c r="J45" i="3"/>
  <c r="J53" i="3"/>
  <c r="J61" i="3"/>
  <c r="J69" i="3"/>
  <c r="Q150" i="3"/>
  <c r="Q510" i="3"/>
  <c r="L97" i="3"/>
  <c r="L169" i="3"/>
  <c r="L258" i="3"/>
  <c r="L353" i="3"/>
  <c r="L425" i="3"/>
  <c r="L490" i="3"/>
  <c r="L525" i="3"/>
  <c r="L543" i="3"/>
  <c r="K24" i="3"/>
  <c r="K47" i="3"/>
  <c r="K65" i="3"/>
  <c r="K88" i="3"/>
  <c r="K111" i="3"/>
  <c r="K129" i="3"/>
  <c r="K152" i="3"/>
  <c r="K174" i="3"/>
  <c r="K190" i="3"/>
  <c r="K206" i="3"/>
  <c r="K222" i="3"/>
  <c r="K238" i="3"/>
  <c r="K254" i="3"/>
  <c r="K270" i="3"/>
  <c r="K286" i="3"/>
  <c r="K297" i="3"/>
  <c r="K311" i="3"/>
  <c r="K322" i="3"/>
  <c r="K336" i="3"/>
  <c r="K346" i="3"/>
  <c r="K358" i="3"/>
  <c r="K367" i="3"/>
  <c r="K376" i="3"/>
  <c r="K385" i="3"/>
  <c r="K394" i="3"/>
  <c r="K404" i="3"/>
  <c r="K413" i="3"/>
  <c r="K422" i="3"/>
  <c r="K431" i="3"/>
  <c r="K440" i="3"/>
  <c r="K449" i="3"/>
  <c r="K458" i="3"/>
  <c r="K468" i="3"/>
  <c r="K476" i="3"/>
  <c r="K484" i="3"/>
  <c r="K492" i="3"/>
  <c r="K500" i="3"/>
  <c r="K508" i="3"/>
  <c r="K516" i="3"/>
  <c r="K524" i="3"/>
  <c r="K532" i="3"/>
  <c r="K540" i="3"/>
  <c r="J6" i="3"/>
  <c r="J14" i="3"/>
  <c r="J22" i="3"/>
  <c r="J30" i="3"/>
  <c r="J38" i="3"/>
  <c r="J46" i="3"/>
  <c r="J54" i="3"/>
  <c r="J62" i="3"/>
  <c r="J70" i="3"/>
  <c r="J78" i="3"/>
  <c r="J86" i="3"/>
  <c r="J94" i="3"/>
  <c r="J102" i="3"/>
  <c r="J110" i="3"/>
  <c r="J118" i="3"/>
  <c r="J126" i="3"/>
  <c r="J134" i="3"/>
  <c r="J142" i="3"/>
  <c r="J150" i="3"/>
  <c r="J158" i="3"/>
  <c r="J166" i="3"/>
  <c r="J174" i="3"/>
  <c r="J182" i="3"/>
  <c r="J190" i="3"/>
  <c r="J198" i="3"/>
  <c r="J206" i="3"/>
  <c r="J214" i="3"/>
  <c r="J222" i="3"/>
  <c r="J230" i="3"/>
  <c r="J238" i="3"/>
  <c r="J246" i="3"/>
  <c r="J254" i="3"/>
  <c r="J262" i="3"/>
  <c r="J270" i="3"/>
  <c r="J278" i="3"/>
  <c r="J286" i="3"/>
  <c r="J294" i="3"/>
  <c r="J302" i="3"/>
  <c r="J310" i="3"/>
  <c r="J318" i="3"/>
  <c r="J326" i="3"/>
  <c r="J334" i="3"/>
  <c r="J342" i="3"/>
  <c r="J350" i="3"/>
  <c r="J358" i="3"/>
  <c r="J366" i="3"/>
  <c r="J374" i="3"/>
  <c r="J382" i="3"/>
  <c r="J390" i="3"/>
  <c r="J398" i="3"/>
  <c r="J406" i="3"/>
  <c r="J414" i="3"/>
  <c r="J422" i="3"/>
  <c r="J430" i="3"/>
  <c r="J438" i="3"/>
  <c r="J446" i="3"/>
  <c r="J454" i="3"/>
  <c r="J462" i="3"/>
  <c r="J470" i="3"/>
  <c r="J478" i="3"/>
  <c r="J486" i="3"/>
  <c r="J494" i="3"/>
  <c r="J502" i="3"/>
  <c r="J510" i="3"/>
  <c r="J518" i="3"/>
  <c r="J526" i="3"/>
  <c r="J534" i="3"/>
  <c r="J542" i="3"/>
  <c r="Z8" i="3"/>
  <c r="Z16" i="3"/>
  <c r="Z24" i="3"/>
  <c r="Z32" i="3"/>
  <c r="Z40" i="3"/>
  <c r="Z48" i="3"/>
  <c r="Z56" i="3"/>
  <c r="Z64" i="3"/>
  <c r="Z72" i="3"/>
  <c r="Z80" i="3"/>
  <c r="Z88" i="3"/>
  <c r="Z96" i="3"/>
  <c r="Z104" i="3"/>
  <c r="Z112" i="3"/>
  <c r="Z120" i="3"/>
  <c r="Z128" i="3"/>
  <c r="Z136" i="3"/>
  <c r="Z144" i="3"/>
  <c r="Z152" i="3"/>
  <c r="Z160" i="3"/>
  <c r="Z168" i="3"/>
  <c r="Z176" i="3"/>
  <c r="Z184" i="3"/>
  <c r="Z192" i="3"/>
  <c r="Z200" i="3"/>
  <c r="Z208" i="3"/>
  <c r="Z216" i="3"/>
  <c r="Z224" i="3"/>
  <c r="Z232" i="3"/>
  <c r="Z240" i="3"/>
  <c r="Z248" i="3"/>
  <c r="Z256" i="3"/>
  <c r="Z264" i="3"/>
  <c r="Z272" i="3"/>
  <c r="Z280" i="3"/>
  <c r="Z288" i="3"/>
  <c r="Z296" i="3"/>
  <c r="Q151" i="3"/>
  <c r="Q527" i="3"/>
  <c r="L98" i="3"/>
  <c r="L193" i="3"/>
  <c r="L265" i="3"/>
  <c r="L354" i="3"/>
  <c r="L449" i="3"/>
  <c r="L491" i="3"/>
  <c r="L526" i="3"/>
  <c r="K7" i="3"/>
  <c r="K25" i="3"/>
  <c r="K48" i="3"/>
  <c r="K71" i="3"/>
  <c r="K89" i="3"/>
  <c r="K112" i="3"/>
  <c r="K135" i="3"/>
  <c r="K153" i="3"/>
  <c r="K175" i="3"/>
  <c r="K191" i="3"/>
  <c r="K207" i="3"/>
  <c r="K223" i="3"/>
  <c r="K239" i="3"/>
  <c r="K255" i="3"/>
  <c r="K271" i="3"/>
  <c r="K287" i="3"/>
  <c r="K298" i="3"/>
  <c r="K312" i="3"/>
  <c r="K326" i="3"/>
  <c r="K337" i="3"/>
  <c r="K349" i="3"/>
  <c r="K359" i="3"/>
  <c r="K368" i="3"/>
  <c r="K377" i="3"/>
  <c r="K386" i="3"/>
  <c r="K396" i="3"/>
  <c r="K405" i="3"/>
  <c r="K414" i="3"/>
  <c r="K423" i="3"/>
  <c r="K432" i="3"/>
  <c r="K441" i="3"/>
  <c r="K450" i="3"/>
  <c r="K460" i="3"/>
  <c r="K469" i="3"/>
  <c r="K477" i="3"/>
  <c r="K485" i="3"/>
  <c r="K493" i="3"/>
  <c r="K501" i="3"/>
  <c r="K509" i="3"/>
  <c r="K517" i="3"/>
  <c r="K525" i="3"/>
  <c r="K533" i="3"/>
  <c r="K541" i="3"/>
  <c r="J7" i="3"/>
  <c r="J15" i="3"/>
  <c r="J23" i="3"/>
  <c r="J31" i="3"/>
  <c r="J39" i="3"/>
  <c r="J47" i="3"/>
  <c r="J55" i="3"/>
  <c r="J63" i="3"/>
  <c r="J71" i="3"/>
  <c r="J79" i="3"/>
  <c r="J87" i="3"/>
  <c r="J95" i="3"/>
  <c r="J103" i="3"/>
  <c r="J111" i="3"/>
  <c r="J119" i="3"/>
  <c r="J127" i="3"/>
  <c r="J135" i="3"/>
  <c r="J143" i="3"/>
  <c r="J151" i="3"/>
  <c r="J159" i="3"/>
  <c r="J167" i="3"/>
  <c r="J175" i="3"/>
  <c r="J183" i="3"/>
  <c r="J191" i="3"/>
  <c r="J199" i="3"/>
  <c r="J207" i="3"/>
  <c r="J215" i="3"/>
  <c r="J223" i="3"/>
  <c r="J231" i="3"/>
  <c r="J239" i="3"/>
  <c r="J247" i="3"/>
  <c r="J255" i="3"/>
  <c r="J263" i="3"/>
  <c r="J271" i="3"/>
  <c r="J279" i="3"/>
  <c r="J287" i="3"/>
  <c r="J295" i="3"/>
  <c r="J303" i="3"/>
  <c r="J311" i="3"/>
  <c r="J319" i="3"/>
  <c r="J327" i="3"/>
  <c r="J335" i="3"/>
  <c r="J343" i="3"/>
  <c r="J351" i="3"/>
  <c r="J359" i="3"/>
  <c r="Q278" i="3"/>
  <c r="L30" i="3"/>
  <c r="L105" i="3"/>
  <c r="L194" i="3"/>
  <c r="L289" i="3"/>
  <c r="L361" i="3"/>
  <c r="L450" i="3"/>
  <c r="L502" i="3"/>
  <c r="L527" i="3"/>
  <c r="K8" i="3"/>
  <c r="K31" i="3"/>
  <c r="K49" i="3"/>
  <c r="K72" i="3"/>
  <c r="K95" i="3"/>
  <c r="K113" i="3"/>
  <c r="K136" i="3"/>
  <c r="K159" i="3"/>
  <c r="K176" i="3"/>
  <c r="Q279" i="3"/>
  <c r="L31" i="3"/>
  <c r="L129" i="3"/>
  <c r="L201" i="3"/>
  <c r="L290" i="3"/>
  <c r="L385" i="3"/>
  <c r="L457" i="3"/>
  <c r="L503" i="3"/>
  <c r="L533" i="3"/>
  <c r="K9" i="3"/>
  <c r="K32" i="3"/>
  <c r="K55" i="3"/>
  <c r="K73" i="3"/>
  <c r="K96" i="3"/>
  <c r="K119" i="3"/>
  <c r="K137" i="3"/>
  <c r="K160" i="3"/>
  <c r="K177" i="3"/>
  <c r="K193" i="3"/>
  <c r="K209" i="3"/>
  <c r="K225" i="3"/>
  <c r="K241" i="3"/>
  <c r="K257" i="3"/>
  <c r="K273" i="3"/>
  <c r="K289" i="3"/>
  <c r="K303" i="3"/>
  <c r="K314" i="3"/>
  <c r="K328" i="3"/>
  <c r="K341" i="3"/>
  <c r="K351" i="3"/>
  <c r="K361" i="3"/>
  <c r="K370" i="3"/>
  <c r="K380" i="3"/>
  <c r="K389" i="3"/>
  <c r="K398" i="3"/>
  <c r="K407" i="3"/>
  <c r="K416" i="3"/>
  <c r="K425" i="3"/>
  <c r="K434" i="3"/>
  <c r="K444" i="3"/>
  <c r="K453" i="3"/>
  <c r="K462" i="3"/>
  <c r="K471" i="3"/>
  <c r="K479" i="3"/>
  <c r="K487" i="3"/>
  <c r="K495" i="3"/>
  <c r="K503" i="3"/>
  <c r="K511" i="3"/>
  <c r="K519" i="3"/>
  <c r="K527" i="3"/>
  <c r="K535" i="3"/>
  <c r="K543" i="3"/>
  <c r="J9" i="3"/>
  <c r="J17" i="3"/>
  <c r="J25" i="3"/>
  <c r="J33" i="3"/>
  <c r="J41" i="3"/>
  <c r="J49" i="3"/>
  <c r="J57" i="3"/>
  <c r="J65" i="3"/>
  <c r="J73" i="3"/>
  <c r="J81" i="3"/>
  <c r="J89" i="3"/>
  <c r="J97" i="3"/>
  <c r="J105" i="3"/>
  <c r="J113" i="3"/>
  <c r="J121" i="3"/>
  <c r="J129" i="3"/>
  <c r="J137" i="3"/>
  <c r="J145" i="3"/>
  <c r="J153" i="3"/>
  <c r="J161" i="3"/>
  <c r="J169" i="3"/>
  <c r="J177" i="3"/>
  <c r="J185" i="3"/>
  <c r="J193" i="3"/>
  <c r="J201" i="3"/>
  <c r="J209" i="3"/>
  <c r="J217" i="3"/>
  <c r="J225" i="3"/>
  <c r="J233" i="3"/>
  <c r="J241" i="3"/>
  <c r="J249" i="3"/>
  <c r="J257" i="3"/>
  <c r="J265" i="3"/>
  <c r="J273" i="3"/>
  <c r="J281" i="3"/>
  <c r="J289" i="3"/>
  <c r="J297" i="3"/>
  <c r="J305" i="3"/>
  <c r="J313" i="3"/>
  <c r="J321" i="3"/>
  <c r="J329" i="3"/>
  <c r="J337" i="3"/>
  <c r="J345" i="3"/>
  <c r="J353" i="3"/>
  <c r="J361" i="3"/>
  <c r="J369" i="3"/>
  <c r="J377" i="3"/>
  <c r="J385" i="3"/>
  <c r="J393" i="3"/>
  <c r="J401" i="3"/>
  <c r="J409" i="3"/>
  <c r="J417" i="3"/>
  <c r="J425" i="3"/>
  <c r="J433" i="3"/>
  <c r="J441" i="3"/>
  <c r="J449" i="3"/>
  <c r="J457" i="3"/>
  <c r="J465" i="3"/>
  <c r="J473" i="3"/>
  <c r="J481" i="3"/>
  <c r="J489" i="3"/>
  <c r="J497" i="3"/>
  <c r="J505" i="3"/>
  <c r="J513" i="3"/>
  <c r="J521" i="3"/>
  <c r="J529" i="3"/>
  <c r="J537" i="3"/>
  <c r="Z3" i="3"/>
  <c r="Z11" i="3"/>
  <c r="Z19" i="3"/>
  <c r="Z27" i="3"/>
  <c r="Z35" i="3"/>
  <c r="Z43" i="3"/>
  <c r="Z51" i="3"/>
  <c r="Z59" i="3"/>
  <c r="Z67" i="3"/>
  <c r="Z75" i="3"/>
  <c r="Z83" i="3"/>
  <c r="Z91" i="3"/>
  <c r="Z99" i="3"/>
  <c r="Z107" i="3"/>
  <c r="Z115" i="3"/>
  <c r="Z123" i="3"/>
  <c r="Z131" i="3"/>
  <c r="Z139" i="3"/>
  <c r="Z147" i="3"/>
  <c r="Z155" i="3"/>
  <c r="Z163" i="3"/>
  <c r="Z171" i="3"/>
  <c r="Z179" i="3"/>
  <c r="Z187" i="3"/>
  <c r="Z195" i="3"/>
  <c r="Z203" i="3"/>
  <c r="Z211" i="3"/>
  <c r="Z219" i="3"/>
  <c r="Z227" i="3"/>
  <c r="Z235" i="3"/>
  <c r="Z243" i="3"/>
  <c r="Z251" i="3"/>
  <c r="Z259" i="3"/>
  <c r="Z267" i="3"/>
  <c r="Z275" i="3"/>
  <c r="Z283" i="3"/>
  <c r="Z291" i="3"/>
  <c r="Z299" i="3"/>
  <c r="Z307" i="3"/>
  <c r="Z315" i="3"/>
  <c r="Z323" i="3"/>
  <c r="Z331" i="3"/>
  <c r="Z339" i="3"/>
  <c r="Z347" i="3"/>
  <c r="Z355" i="3"/>
  <c r="Z363" i="3"/>
  <c r="Z371" i="3"/>
  <c r="Z379" i="3"/>
  <c r="Z387" i="3"/>
  <c r="Z395" i="3"/>
  <c r="Z403" i="3"/>
  <c r="Q407" i="3"/>
  <c r="L65" i="3"/>
  <c r="L137" i="3"/>
  <c r="L226" i="3"/>
  <c r="L321" i="3"/>
  <c r="Q406" i="3"/>
  <c r="L474" i="3"/>
  <c r="K39" i="3"/>
  <c r="K121" i="3"/>
  <c r="K198" i="3"/>
  <c r="K240" i="3"/>
  <c r="K279" i="3"/>
  <c r="K318" i="3"/>
  <c r="K350" i="3"/>
  <c r="K373" i="3"/>
  <c r="K399" i="3"/>
  <c r="K424" i="3"/>
  <c r="K446" i="3"/>
  <c r="K472" i="3"/>
  <c r="K494" i="3"/>
  <c r="K513" i="3"/>
  <c r="K536" i="3"/>
  <c r="J16" i="3"/>
  <c r="J35" i="3"/>
  <c r="J58" i="3"/>
  <c r="J77" i="3"/>
  <c r="J93" i="3"/>
  <c r="J109" i="3"/>
  <c r="J125" i="3"/>
  <c r="J141" i="3"/>
  <c r="J157" i="3"/>
  <c r="J173" i="3"/>
  <c r="J189" i="3"/>
  <c r="J205" i="3"/>
  <c r="J221" i="3"/>
  <c r="J237" i="3"/>
  <c r="J253" i="3"/>
  <c r="J269" i="3"/>
  <c r="J285" i="3"/>
  <c r="J301" i="3"/>
  <c r="J317" i="3"/>
  <c r="J333" i="3"/>
  <c r="J349" i="3"/>
  <c r="J365" i="3"/>
  <c r="J378" i="3"/>
  <c r="J391" i="3"/>
  <c r="J403" i="3"/>
  <c r="J416" i="3"/>
  <c r="J429" i="3"/>
  <c r="J442" i="3"/>
  <c r="J455" i="3"/>
  <c r="J467" i="3"/>
  <c r="J480" i="3"/>
  <c r="J493" i="3"/>
  <c r="J506" i="3"/>
  <c r="J519" i="3"/>
  <c r="J531" i="3"/>
  <c r="Z2" i="3"/>
  <c r="Z15" i="3"/>
  <c r="Z28" i="3"/>
  <c r="Z41" i="3"/>
  <c r="Z53" i="3"/>
  <c r="Z65" i="3"/>
  <c r="Z76" i="3"/>
  <c r="Z86" i="3"/>
  <c r="Z97" i="3"/>
  <c r="Z108" i="3"/>
  <c r="Z118" i="3"/>
  <c r="Z129" i="3"/>
  <c r="Z140" i="3"/>
  <c r="Z150" i="3"/>
  <c r="Z161" i="3"/>
  <c r="Z172" i="3"/>
  <c r="Z182" i="3"/>
  <c r="Z193" i="3"/>
  <c r="Z204" i="3"/>
  <c r="Z214" i="3"/>
  <c r="Z225" i="3"/>
  <c r="Z236" i="3"/>
  <c r="Z246" i="3"/>
  <c r="Z257" i="3"/>
  <c r="Z268" i="3"/>
  <c r="Z278" i="3"/>
  <c r="Z289" i="3"/>
  <c r="Z300" i="3"/>
  <c r="Z309" i="3"/>
  <c r="Z318" i="3"/>
  <c r="Z327" i="3"/>
  <c r="Z336" i="3"/>
  <c r="Z345" i="3"/>
  <c r="Z354" i="3"/>
  <c r="Z364" i="3"/>
  <c r="Z373" i="3"/>
  <c r="Z382" i="3"/>
  <c r="Z391" i="3"/>
  <c r="Z400" i="3"/>
  <c r="Z409" i="3"/>
  <c r="Z417" i="3"/>
  <c r="Z425" i="3"/>
  <c r="Z433" i="3"/>
  <c r="Z441" i="3"/>
  <c r="Z449" i="3"/>
  <c r="Z457" i="3"/>
  <c r="Z465" i="3"/>
  <c r="Z473" i="3"/>
  <c r="Z481" i="3"/>
  <c r="Z489" i="3"/>
  <c r="Z497" i="3"/>
  <c r="Z505" i="3"/>
  <c r="Z513" i="3"/>
  <c r="Z521" i="3"/>
  <c r="Z529" i="3"/>
  <c r="Z537" i="3"/>
  <c r="V3" i="3"/>
  <c r="L39" i="3"/>
  <c r="L505" i="3"/>
  <c r="K56" i="3"/>
  <c r="K143" i="3"/>
  <c r="K199" i="3"/>
  <c r="K246" i="3"/>
  <c r="K288" i="3"/>
  <c r="K319" i="3"/>
  <c r="K352" i="3"/>
  <c r="K378" i="3"/>
  <c r="K400" i="3"/>
  <c r="K426" i="3"/>
  <c r="K452" i="3"/>
  <c r="K473" i="3"/>
  <c r="K496" i="3"/>
  <c r="K518" i="3"/>
  <c r="K537" i="3"/>
  <c r="J18" i="3"/>
  <c r="J40" i="3"/>
  <c r="J59" i="3"/>
  <c r="J80" i="3"/>
  <c r="J96" i="3"/>
  <c r="J112" i="3"/>
  <c r="J128" i="3"/>
  <c r="J144" i="3"/>
  <c r="J160" i="3"/>
  <c r="J176" i="3"/>
  <c r="J192" i="3"/>
  <c r="J208" i="3"/>
  <c r="J224" i="3"/>
  <c r="J240" i="3"/>
  <c r="J256" i="3"/>
  <c r="J272" i="3"/>
  <c r="J288" i="3"/>
  <c r="J304" i="3"/>
  <c r="J320" i="3"/>
  <c r="J336" i="3"/>
  <c r="J352" i="3"/>
  <c r="J367" i="3"/>
  <c r="J379" i="3"/>
  <c r="J392" i="3"/>
  <c r="J405" i="3"/>
  <c r="J418" i="3"/>
  <c r="J431" i="3"/>
  <c r="J443" i="3"/>
  <c r="J456" i="3"/>
  <c r="J469" i="3"/>
  <c r="J482" i="3"/>
  <c r="J495" i="3"/>
  <c r="J507" i="3"/>
  <c r="J520" i="3"/>
  <c r="J533" i="3"/>
  <c r="Z4" i="3"/>
  <c r="Z17" i="3"/>
  <c r="Z29" i="3"/>
  <c r="Z42" i="3"/>
  <c r="Z55" i="3"/>
  <c r="Z66" i="3"/>
  <c r="Z77" i="3"/>
  <c r="Z87" i="3"/>
  <c r="Z98" i="3"/>
  <c r="Z109" i="3"/>
  <c r="Z119" i="3"/>
  <c r="Z130" i="3"/>
  <c r="Z141" i="3"/>
  <c r="Z151" i="3"/>
  <c r="Z162" i="3"/>
  <c r="Z173" i="3"/>
  <c r="Z183" i="3"/>
  <c r="Z194" i="3"/>
  <c r="Z205" i="3"/>
  <c r="Z215" i="3"/>
  <c r="Z226" i="3"/>
  <c r="Z237" i="3"/>
  <c r="Z247" i="3"/>
  <c r="Z258" i="3"/>
  <c r="Z269" i="3"/>
  <c r="Z279" i="3"/>
  <c r="Z290" i="3"/>
  <c r="Z301" i="3"/>
  <c r="Z310" i="3"/>
  <c r="Z319" i="3"/>
  <c r="Z328" i="3"/>
  <c r="Z337" i="3"/>
  <c r="Z346" i="3"/>
  <c r="Z356" i="3"/>
  <c r="Z365" i="3"/>
  <c r="Z374" i="3"/>
  <c r="Z383" i="3"/>
  <c r="Z392" i="3"/>
  <c r="Z401" i="3"/>
  <c r="Z410" i="3"/>
  <c r="Z418" i="3"/>
  <c r="Z426" i="3"/>
  <c r="Z434" i="3"/>
  <c r="Z442" i="3"/>
  <c r="Z450" i="3"/>
  <c r="Z458" i="3"/>
  <c r="Z466" i="3"/>
  <c r="Z474" i="3"/>
  <c r="Z482" i="3"/>
  <c r="Z490" i="3"/>
  <c r="L130" i="3"/>
  <c r="L514" i="3"/>
  <c r="K57" i="3"/>
  <c r="K144" i="3"/>
  <c r="K208" i="3"/>
  <c r="K247" i="3"/>
  <c r="K290" i="3"/>
  <c r="K327" i="3"/>
  <c r="K353" i="3"/>
  <c r="K381" i="3"/>
  <c r="K406" i="3"/>
  <c r="K428" i="3"/>
  <c r="K454" i="3"/>
  <c r="K478" i="3"/>
  <c r="K497" i="3"/>
  <c r="K520" i="3"/>
  <c r="K542" i="3"/>
  <c r="J19" i="3"/>
  <c r="J42" i="3"/>
  <c r="J64" i="3"/>
  <c r="J82" i="3"/>
  <c r="J98" i="3"/>
  <c r="J114" i="3"/>
  <c r="J130" i="3"/>
  <c r="J146" i="3"/>
  <c r="J162" i="3"/>
  <c r="J178" i="3"/>
  <c r="J194" i="3"/>
  <c r="J210" i="3"/>
  <c r="J226" i="3"/>
  <c r="J242" i="3"/>
  <c r="J258" i="3"/>
  <c r="J274" i="3"/>
  <c r="J290" i="3"/>
  <c r="J306" i="3"/>
  <c r="J322" i="3"/>
  <c r="J338" i="3"/>
  <c r="J354" i="3"/>
  <c r="J368" i="3"/>
  <c r="J381" i="3"/>
  <c r="J394" i="3"/>
  <c r="J407" i="3"/>
  <c r="J419" i="3"/>
  <c r="J432" i="3"/>
  <c r="J445" i="3"/>
  <c r="J458" i="3"/>
  <c r="J471" i="3"/>
  <c r="J483" i="3"/>
  <c r="J496" i="3"/>
  <c r="J509" i="3"/>
  <c r="J522" i="3"/>
  <c r="J535" i="3"/>
  <c r="Z5" i="3"/>
  <c r="Z18" i="3"/>
  <c r="Z31" i="3"/>
  <c r="Z44" i="3"/>
  <c r="Z57" i="3"/>
  <c r="Z68" i="3"/>
  <c r="Z78" i="3"/>
  <c r="Z89" i="3"/>
  <c r="Z100" i="3"/>
  <c r="Z110" i="3"/>
  <c r="Z121" i="3"/>
  <c r="Z132" i="3"/>
  <c r="Z142" i="3"/>
  <c r="Z153" i="3"/>
  <c r="Z164" i="3"/>
  <c r="Z174" i="3"/>
  <c r="Z185" i="3"/>
  <c r="Z196" i="3"/>
  <c r="Z206" i="3"/>
  <c r="Z217" i="3"/>
  <c r="Z228" i="3"/>
  <c r="Z238" i="3"/>
  <c r="Z249" i="3"/>
  <c r="Z260" i="3"/>
  <c r="Z270" i="3"/>
  <c r="Z281" i="3"/>
  <c r="Z292" i="3"/>
  <c r="Z302" i="3"/>
  <c r="Z311" i="3"/>
  <c r="Z320" i="3"/>
  <c r="Z329" i="3"/>
  <c r="Z338" i="3"/>
  <c r="Z348" i="3"/>
  <c r="Z357" i="3"/>
  <c r="Z366" i="3"/>
  <c r="Z375" i="3"/>
  <c r="Z384" i="3"/>
  <c r="Z393" i="3"/>
  <c r="Z402" i="3"/>
  <c r="Z411" i="3"/>
  <c r="Z419" i="3"/>
  <c r="Z427" i="3"/>
  <c r="Z435" i="3"/>
  <c r="Z443" i="3"/>
  <c r="Z451" i="3"/>
  <c r="Z459" i="3"/>
  <c r="Z467" i="3"/>
  <c r="Z475" i="3"/>
  <c r="Z483" i="3"/>
  <c r="Z491" i="3"/>
  <c r="Z499" i="3"/>
  <c r="Z507" i="3"/>
  <c r="Z515" i="3"/>
  <c r="Z523" i="3"/>
  <c r="Z531" i="3"/>
  <c r="Z539" i="3"/>
  <c r="V5" i="3"/>
  <c r="V13" i="3"/>
  <c r="V21" i="3"/>
  <c r="V29" i="3"/>
  <c r="L225" i="3"/>
  <c r="L534" i="3"/>
  <c r="K79" i="3"/>
  <c r="K161" i="3"/>
  <c r="K214" i="3"/>
  <c r="K256" i="3"/>
  <c r="K294" i="3"/>
  <c r="K329" i="3"/>
  <c r="K360" i="3"/>
  <c r="K382" i="3"/>
  <c r="K408" i="3"/>
  <c r="K433" i="3"/>
  <c r="K455" i="3"/>
  <c r="K480" i="3"/>
  <c r="K502" i="3"/>
  <c r="K521" i="3"/>
  <c r="J2" i="3"/>
  <c r="J24" i="3"/>
  <c r="J43" i="3"/>
  <c r="J66" i="3"/>
  <c r="J83" i="3"/>
  <c r="J99" i="3"/>
  <c r="J115" i="3"/>
  <c r="J131" i="3"/>
  <c r="J147" i="3"/>
  <c r="J163" i="3"/>
  <c r="J179" i="3"/>
  <c r="J195" i="3"/>
  <c r="J211" i="3"/>
  <c r="J227" i="3"/>
  <c r="J243" i="3"/>
  <c r="J259" i="3"/>
  <c r="J275" i="3"/>
  <c r="J291" i="3"/>
  <c r="J307" i="3"/>
  <c r="J323" i="3"/>
  <c r="J339" i="3"/>
  <c r="J355" i="3"/>
  <c r="J370" i="3"/>
  <c r="J383" i="3"/>
  <c r="J395" i="3"/>
  <c r="J408" i="3"/>
  <c r="J421" i="3"/>
  <c r="J434" i="3"/>
  <c r="J447" i="3"/>
  <c r="J459" i="3"/>
  <c r="J472" i="3"/>
  <c r="J485" i="3"/>
  <c r="J498" i="3"/>
  <c r="J511" i="3"/>
  <c r="J523" i="3"/>
  <c r="J536" i="3"/>
  <c r="Z7" i="3"/>
  <c r="Z20" i="3"/>
  <c r="Z33" i="3"/>
  <c r="Z45" i="3"/>
  <c r="Z58" i="3"/>
  <c r="Z69" i="3"/>
  <c r="Z79" i="3"/>
  <c r="Z90" i="3"/>
  <c r="Z101" i="3"/>
  <c r="Z111" i="3"/>
  <c r="Z122" i="3"/>
  <c r="Z133" i="3"/>
  <c r="Z143" i="3"/>
  <c r="Z154" i="3"/>
  <c r="Z165" i="3"/>
  <c r="L297" i="3"/>
  <c r="L535" i="3"/>
  <c r="K80" i="3"/>
  <c r="K167" i="3"/>
  <c r="K215" i="3"/>
  <c r="K262" i="3"/>
  <c r="K302" i="3"/>
  <c r="K330" i="3"/>
  <c r="K362" i="3"/>
  <c r="K388" i="3"/>
  <c r="K409" i="3"/>
  <c r="K436" i="3"/>
  <c r="K461" i="3"/>
  <c r="K481" i="3"/>
  <c r="K504" i="3"/>
  <c r="K526" i="3"/>
  <c r="J3" i="3"/>
  <c r="J26" i="3"/>
  <c r="J48" i="3"/>
  <c r="J67" i="3"/>
  <c r="J85" i="3"/>
  <c r="J101" i="3"/>
  <c r="J117" i="3"/>
  <c r="J133" i="3"/>
  <c r="J149" i="3"/>
  <c r="J165" i="3"/>
  <c r="J181" i="3"/>
  <c r="J197" i="3"/>
  <c r="J213" i="3"/>
  <c r="J229" i="3"/>
  <c r="J245" i="3"/>
  <c r="J261" i="3"/>
  <c r="J277" i="3"/>
  <c r="J293" i="3"/>
  <c r="J309" i="3"/>
  <c r="J325" i="3"/>
  <c r="J341" i="3"/>
  <c r="J357" i="3"/>
  <c r="J371" i="3"/>
  <c r="J384" i="3"/>
  <c r="J397" i="3"/>
  <c r="J410" i="3"/>
  <c r="J423" i="3"/>
  <c r="J435" i="3"/>
  <c r="J448" i="3"/>
  <c r="J461" i="3"/>
  <c r="J474" i="3"/>
  <c r="J487" i="3"/>
  <c r="J499" i="3"/>
  <c r="J512" i="3"/>
  <c r="J525" i="3"/>
  <c r="J538" i="3"/>
  <c r="Z9" i="3"/>
  <c r="Z21" i="3"/>
  <c r="Z34" i="3"/>
  <c r="Z47" i="3"/>
  <c r="Z60" i="3"/>
  <c r="Z70" i="3"/>
  <c r="Z81" i="3"/>
  <c r="Z92" i="3"/>
  <c r="Z102" i="3"/>
  <c r="Z113" i="3"/>
  <c r="Z124" i="3"/>
  <c r="Z134" i="3"/>
  <c r="Z145" i="3"/>
  <c r="Z156" i="3"/>
  <c r="Z166" i="3"/>
  <c r="Z177" i="3"/>
  <c r="Z188" i="3"/>
  <c r="Z198" i="3"/>
  <c r="Z209" i="3"/>
  <c r="Z220" i="3"/>
  <c r="Z230" i="3"/>
  <c r="Z241" i="3"/>
  <c r="Z252" i="3"/>
  <c r="Z262" i="3"/>
  <c r="Z273" i="3"/>
  <c r="Z284" i="3"/>
  <c r="Z294" i="3"/>
  <c r="Z304" i="3"/>
  <c r="Z313" i="3"/>
  <c r="Z322" i="3"/>
  <c r="Z332" i="3"/>
  <c r="Z341" i="3"/>
  <c r="Z350" i="3"/>
  <c r="L386" i="3"/>
  <c r="K15" i="3"/>
  <c r="K97" i="3"/>
  <c r="K182" i="3"/>
  <c r="K224" i="3"/>
  <c r="K263" i="3"/>
  <c r="K304" i="3"/>
  <c r="K338" i="3"/>
  <c r="K364" i="3"/>
  <c r="K390" i="3"/>
  <c r="K415" i="3"/>
  <c r="K437" i="3"/>
  <c r="K463" i="3"/>
  <c r="K486" i="3"/>
  <c r="K505" i="3"/>
  <c r="K528" i="3"/>
  <c r="J8" i="3"/>
  <c r="J27" i="3"/>
  <c r="J50" i="3"/>
  <c r="J72" i="3"/>
  <c r="J88" i="3"/>
  <c r="J104" i="3"/>
  <c r="J120" i="3"/>
  <c r="J136" i="3"/>
  <c r="J152" i="3"/>
  <c r="J168" i="3"/>
  <c r="J184" i="3"/>
  <c r="J200" i="3"/>
  <c r="J216" i="3"/>
  <c r="J232" i="3"/>
  <c r="J248" i="3"/>
  <c r="J264" i="3"/>
  <c r="J280" i="3"/>
  <c r="J296" i="3"/>
  <c r="J312" i="3"/>
  <c r="J328" i="3"/>
  <c r="J344" i="3"/>
  <c r="J360" i="3"/>
  <c r="J373" i="3"/>
  <c r="J386" i="3"/>
  <c r="J399" i="3"/>
  <c r="J411" i="3"/>
  <c r="J424" i="3"/>
  <c r="J437" i="3"/>
  <c r="J450" i="3"/>
  <c r="J463" i="3"/>
  <c r="J475" i="3"/>
  <c r="J488" i="3"/>
  <c r="J501" i="3"/>
  <c r="J514" i="3"/>
  <c r="J527" i="3"/>
  <c r="J539" i="3"/>
  <c r="Z10" i="3"/>
  <c r="Z23" i="3"/>
  <c r="Z36" i="3"/>
  <c r="Z49" i="3"/>
  <c r="Z61" i="3"/>
  <c r="Z71" i="3"/>
  <c r="Z82" i="3"/>
  <c r="Z93" i="3"/>
  <c r="Z103" i="3"/>
  <c r="Z114" i="3"/>
  <c r="Z125" i="3"/>
  <c r="Z135" i="3"/>
  <c r="Z146" i="3"/>
  <c r="Z157" i="3"/>
  <c r="Z167" i="3"/>
  <c r="Z178" i="3"/>
  <c r="Z189" i="3"/>
  <c r="Z199" i="3"/>
  <c r="Z210" i="3"/>
  <c r="Z221" i="3"/>
  <c r="Z231" i="3"/>
  <c r="Z242" i="3"/>
  <c r="Z253" i="3"/>
  <c r="Z263" i="3"/>
  <c r="Z274" i="3"/>
  <c r="Z285" i="3"/>
  <c r="Z295" i="3"/>
  <c r="Z305" i="3"/>
  <c r="Z314" i="3"/>
  <c r="Z324" i="3"/>
  <c r="Z333" i="3"/>
  <c r="Z342" i="3"/>
  <c r="Z351" i="3"/>
  <c r="Z360" i="3"/>
  <c r="Z369" i="3"/>
  <c r="Z378" i="3"/>
  <c r="Z388" i="3"/>
  <c r="Z397" i="3"/>
  <c r="Z406" i="3"/>
  <c r="Z414" i="3"/>
  <c r="Z422" i="3"/>
  <c r="Z430" i="3"/>
  <c r="Z438" i="3"/>
  <c r="Z446" i="3"/>
  <c r="Z454" i="3"/>
  <c r="Z462" i="3"/>
  <c r="Z470" i="3"/>
  <c r="Z478" i="3"/>
  <c r="Z486" i="3"/>
  <c r="Z494" i="3"/>
  <c r="L473" i="3"/>
  <c r="K33" i="3"/>
  <c r="K120" i="3"/>
  <c r="K192" i="3"/>
  <c r="K231" i="3"/>
  <c r="K278" i="3"/>
  <c r="K313" i="3"/>
  <c r="K343" i="3"/>
  <c r="K372" i="3"/>
  <c r="K397" i="3"/>
  <c r="K418" i="3"/>
  <c r="K445" i="3"/>
  <c r="K470" i="3"/>
  <c r="K489" i="3"/>
  <c r="K512" i="3"/>
  <c r="K534" i="3"/>
  <c r="J11" i="3"/>
  <c r="J34" i="3"/>
  <c r="J56" i="3"/>
  <c r="J75" i="3"/>
  <c r="J91" i="3"/>
  <c r="J107" i="3"/>
  <c r="J123" i="3"/>
  <c r="J139" i="3"/>
  <c r="J155" i="3"/>
  <c r="J171" i="3"/>
  <c r="J187" i="3"/>
  <c r="J203" i="3"/>
  <c r="J219" i="3"/>
  <c r="J235" i="3"/>
  <c r="J251" i="3"/>
  <c r="J267" i="3"/>
  <c r="J283" i="3"/>
  <c r="J299" i="3"/>
  <c r="J315" i="3"/>
  <c r="J331" i="3"/>
  <c r="J347" i="3"/>
  <c r="J363" i="3"/>
  <c r="J376" i="3"/>
  <c r="J389" i="3"/>
  <c r="J402" i="3"/>
  <c r="J415" i="3"/>
  <c r="J427" i="3"/>
  <c r="J440" i="3"/>
  <c r="J453" i="3"/>
  <c r="J466" i="3"/>
  <c r="J479" i="3"/>
  <c r="J491" i="3"/>
  <c r="J504" i="3"/>
  <c r="J517" i="3"/>
  <c r="J530" i="3"/>
  <c r="J543" i="3"/>
  <c r="Z13" i="3"/>
  <c r="Z26" i="3"/>
  <c r="Z39" i="3"/>
  <c r="Z52" i="3"/>
  <c r="Z63" i="3"/>
  <c r="Z74" i="3"/>
  <c r="Z85" i="3"/>
  <c r="Z95" i="3"/>
  <c r="L393" i="3"/>
  <c r="K369" i="3"/>
  <c r="J10" i="3"/>
  <c r="J154" i="3"/>
  <c r="J282" i="3"/>
  <c r="J400" i="3"/>
  <c r="J503" i="3"/>
  <c r="Z62" i="3"/>
  <c r="Z126" i="3"/>
  <c r="Z169" i="3"/>
  <c r="Z197" i="3"/>
  <c r="Z223" i="3"/>
  <c r="Z254" i="3"/>
  <c r="Z282" i="3"/>
  <c r="Z308" i="3"/>
  <c r="Z334" i="3"/>
  <c r="Z358" i="3"/>
  <c r="Z376" i="3"/>
  <c r="Z394" i="3"/>
  <c r="Z412" i="3"/>
  <c r="Z428" i="3"/>
  <c r="Z444" i="3"/>
  <c r="Z460" i="3"/>
  <c r="Z476" i="3"/>
  <c r="Z492" i="3"/>
  <c r="Z503" i="3"/>
  <c r="Z514" i="3"/>
  <c r="Z525" i="3"/>
  <c r="Z535" i="3"/>
  <c r="V4" i="3"/>
  <c r="V14" i="3"/>
  <c r="V23" i="3"/>
  <c r="V32" i="3"/>
  <c r="V40" i="3"/>
  <c r="V48" i="3"/>
  <c r="V56" i="3"/>
  <c r="V64" i="3"/>
  <c r="V72" i="3"/>
  <c r="V80" i="3"/>
  <c r="V88" i="3"/>
  <c r="V96" i="3"/>
  <c r="V104" i="3"/>
  <c r="V112" i="3"/>
  <c r="V120" i="3"/>
  <c r="V128" i="3"/>
  <c r="V136" i="3"/>
  <c r="V144" i="3"/>
  <c r="V152" i="3"/>
  <c r="V160" i="3"/>
  <c r="V168" i="3"/>
  <c r="V176" i="3"/>
  <c r="V184" i="3"/>
  <c r="V192" i="3"/>
  <c r="V200" i="3"/>
  <c r="V208" i="3"/>
  <c r="V216" i="3"/>
  <c r="V224" i="3"/>
  <c r="V232" i="3"/>
  <c r="V240" i="3"/>
  <c r="V248" i="3"/>
  <c r="V256" i="3"/>
  <c r="V264" i="3"/>
  <c r="V272" i="3"/>
  <c r="V280" i="3"/>
  <c r="V288" i="3"/>
  <c r="V296" i="3"/>
  <c r="V304" i="3"/>
  <c r="V312" i="3"/>
  <c r="V320" i="3"/>
  <c r="V328" i="3"/>
  <c r="V336" i="3"/>
  <c r="V344" i="3"/>
  <c r="V352" i="3"/>
  <c r="V360" i="3"/>
  <c r="V368" i="3"/>
  <c r="V376" i="3"/>
  <c r="V384" i="3"/>
  <c r="V392" i="3"/>
  <c r="V400" i="3"/>
  <c r="V408" i="3"/>
  <c r="V416" i="3"/>
  <c r="V424" i="3"/>
  <c r="V432" i="3"/>
  <c r="V440" i="3"/>
  <c r="V448" i="3"/>
  <c r="V456" i="3"/>
  <c r="V464" i="3"/>
  <c r="V472" i="3"/>
  <c r="V480" i="3"/>
  <c r="V488" i="3"/>
  <c r="V496" i="3"/>
  <c r="V504" i="3"/>
  <c r="V512" i="3"/>
  <c r="V520" i="3"/>
  <c r="K16" i="3"/>
  <c r="K391" i="3"/>
  <c r="J32" i="3"/>
  <c r="J170" i="3"/>
  <c r="J298" i="3"/>
  <c r="J413" i="3"/>
  <c r="J515" i="3"/>
  <c r="Z73" i="3"/>
  <c r="Z127" i="3"/>
  <c r="Z170" i="3"/>
  <c r="Z201" i="3"/>
  <c r="Z229" i="3"/>
  <c r="Z255" i="3"/>
  <c r="Z286" i="3"/>
  <c r="Z312" i="3"/>
  <c r="Z335" i="3"/>
  <c r="Z359" i="3"/>
  <c r="Z377" i="3"/>
  <c r="Z396" i="3"/>
  <c r="Z413" i="3"/>
  <c r="Z429" i="3"/>
  <c r="Z445" i="3"/>
  <c r="Z461" i="3"/>
  <c r="Z477" i="3"/>
  <c r="Z493" i="3"/>
  <c r="Z504" i="3"/>
  <c r="Z516" i="3"/>
  <c r="Z526" i="3"/>
  <c r="Z536" i="3"/>
  <c r="V6" i="3"/>
  <c r="V15" i="3"/>
  <c r="V24" i="3"/>
  <c r="V33" i="3"/>
  <c r="V41" i="3"/>
  <c r="V49" i="3"/>
  <c r="V57" i="3"/>
  <c r="V65" i="3"/>
  <c r="V73" i="3"/>
  <c r="V81" i="3"/>
  <c r="V89" i="3"/>
  <c r="V97" i="3"/>
  <c r="V105" i="3"/>
  <c r="V113" i="3"/>
  <c r="V121" i="3"/>
  <c r="V129" i="3"/>
  <c r="V137" i="3"/>
  <c r="V145" i="3"/>
  <c r="V153" i="3"/>
  <c r="V161" i="3"/>
  <c r="V169" i="3"/>
  <c r="V177" i="3"/>
  <c r="V185" i="3"/>
  <c r="V193" i="3"/>
  <c r="V201" i="3"/>
  <c r="V209" i="3"/>
  <c r="V217" i="3"/>
  <c r="V225" i="3"/>
  <c r="V233" i="3"/>
  <c r="V241" i="3"/>
  <c r="V249" i="3"/>
  <c r="V257" i="3"/>
  <c r="V265" i="3"/>
  <c r="V273" i="3"/>
  <c r="V281" i="3"/>
  <c r="V289" i="3"/>
  <c r="V297" i="3"/>
  <c r="V305" i="3"/>
  <c r="V313" i="3"/>
  <c r="V321" i="3"/>
  <c r="V329" i="3"/>
  <c r="V337" i="3"/>
  <c r="V345" i="3"/>
  <c r="V353" i="3"/>
  <c r="V361" i="3"/>
  <c r="V369" i="3"/>
  <c r="V377" i="3"/>
  <c r="V385" i="3"/>
  <c r="V393" i="3"/>
  <c r="V401" i="3"/>
  <c r="V409" i="3"/>
  <c r="V417" i="3"/>
  <c r="V425" i="3"/>
  <c r="V433" i="3"/>
  <c r="V441" i="3"/>
  <c r="V449" i="3"/>
  <c r="V457" i="3"/>
  <c r="V465" i="3"/>
  <c r="V473" i="3"/>
  <c r="V481" i="3"/>
  <c r="V489" i="3"/>
  <c r="K103" i="3"/>
  <c r="K417" i="3"/>
  <c r="J51" i="3"/>
  <c r="J186" i="3"/>
  <c r="J314" i="3"/>
  <c r="J426" i="3"/>
  <c r="J528" i="3"/>
  <c r="Z84" i="3"/>
  <c r="Z137" i="3"/>
  <c r="Z175" i="3"/>
  <c r="Z202" i="3"/>
  <c r="Z233" i="3"/>
  <c r="Z261" i="3"/>
  <c r="Z287" i="3"/>
  <c r="Z316" i="3"/>
  <c r="Z340" i="3"/>
  <c r="Z361" i="3"/>
  <c r="Z380" i="3"/>
  <c r="Z398" i="3"/>
  <c r="Z415" i="3"/>
  <c r="Z431" i="3"/>
  <c r="Z447" i="3"/>
  <c r="Z463" i="3"/>
  <c r="Z479" i="3"/>
  <c r="Z495" i="3"/>
  <c r="Z506" i="3"/>
  <c r="Z517" i="3"/>
  <c r="Z527" i="3"/>
  <c r="Z538" i="3"/>
  <c r="V7" i="3"/>
  <c r="V16" i="3"/>
  <c r="V25" i="3"/>
  <c r="V34" i="3"/>
  <c r="V42" i="3"/>
  <c r="V50" i="3"/>
  <c r="V58" i="3"/>
  <c r="V66" i="3"/>
  <c r="V74" i="3"/>
  <c r="V82" i="3"/>
  <c r="V90" i="3"/>
  <c r="V98" i="3"/>
  <c r="V106" i="3"/>
  <c r="V114" i="3"/>
  <c r="V122" i="3"/>
  <c r="V130" i="3"/>
  <c r="V138" i="3"/>
  <c r="V146" i="3"/>
  <c r="V154" i="3"/>
  <c r="V162" i="3"/>
  <c r="V170" i="3"/>
  <c r="V178" i="3"/>
  <c r="V186" i="3"/>
  <c r="V194" i="3"/>
  <c r="V202" i="3"/>
  <c r="V210" i="3"/>
  <c r="V218" i="3"/>
  <c r="V226" i="3"/>
  <c r="V234" i="3"/>
  <c r="V242" i="3"/>
  <c r="V250" i="3"/>
  <c r="V258" i="3"/>
  <c r="V266" i="3"/>
  <c r="V274" i="3"/>
  <c r="V282" i="3"/>
  <c r="V290" i="3"/>
  <c r="V298" i="3"/>
  <c r="V306" i="3"/>
  <c r="V314" i="3"/>
  <c r="V322" i="3"/>
  <c r="V330" i="3"/>
  <c r="V338" i="3"/>
  <c r="V346" i="3"/>
  <c r="V354" i="3"/>
  <c r="V362" i="3"/>
  <c r="V370" i="3"/>
  <c r="V378" i="3"/>
  <c r="V386" i="3"/>
  <c r="V394" i="3"/>
  <c r="V402" i="3"/>
  <c r="V410" i="3"/>
  <c r="V418" i="3"/>
  <c r="V426" i="3"/>
  <c r="V434" i="3"/>
  <c r="V442" i="3"/>
  <c r="V450" i="3"/>
  <c r="V458" i="3"/>
  <c r="V466" i="3"/>
  <c r="V474" i="3"/>
  <c r="V482" i="3"/>
  <c r="K183" i="3"/>
  <c r="K442" i="3"/>
  <c r="J74" i="3"/>
  <c r="J202" i="3"/>
  <c r="J330" i="3"/>
  <c r="J439" i="3"/>
  <c r="J541" i="3"/>
  <c r="Z94" i="3"/>
  <c r="Z138" i="3"/>
  <c r="Z180" i="3"/>
  <c r="Z207" i="3"/>
  <c r="Z234" i="3"/>
  <c r="Z265" i="3"/>
  <c r="Z293" i="3"/>
  <c r="Z317" i="3"/>
  <c r="Z343" i="3"/>
  <c r="Z362" i="3"/>
  <c r="Z381" i="3"/>
  <c r="Z399" i="3"/>
  <c r="Z416" i="3"/>
  <c r="Z432" i="3"/>
  <c r="Z448" i="3"/>
  <c r="Z464" i="3"/>
  <c r="Z480" i="3"/>
  <c r="Z496" i="3"/>
  <c r="Z508" i="3"/>
  <c r="Z518" i="3"/>
  <c r="Z528" i="3"/>
  <c r="Z540" i="3"/>
  <c r="V8" i="3"/>
  <c r="V17" i="3"/>
  <c r="V26" i="3"/>
  <c r="V35" i="3"/>
  <c r="V43" i="3"/>
  <c r="V51" i="3"/>
  <c r="V59" i="3"/>
  <c r="V67" i="3"/>
  <c r="V75" i="3"/>
  <c r="V83" i="3"/>
  <c r="V91" i="3"/>
  <c r="V99" i="3"/>
  <c r="V107" i="3"/>
  <c r="V115" i="3"/>
  <c r="V123" i="3"/>
  <c r="V131" i="3"/>
  <c r="V139" i="3"/>
  <c r="V147" i="3"/>
  <c r="V155" i="3"/>
  <c r="V163" i="3"/>
  <c r="V171" i="3"/>
  <c r="V179" i="3"/>
  <c r="V187" i="3"/>
  <c r="V195" i="3"/>
  <c r="V203" i="3"/>
  <c r="V211" i="3"/>
  <c r="V219" i="3"/>
  <c r="V227" i="3"/>
  <c r="V235" i="3"/>
  <c r="V243" i="3"/>
  <c r="V251" i="3"/>
  <c r="V259" i="3"/>
  <c r="V267" i="3"/>
  <c r="V275" i="3"/>
  <c r="V283" i="3"/>
  <c r="V291" i="3"/>
  <c r="V299" i="3"/>
  <c r="V307" i="3"/>
  <c r="V315" i="3"/>
  <c r="V323" i="3"/>
  <c r="V331" i="3"/>
  <c r="V339" i="3"/>
  <c r="V347" i="3"/>
  <c r="V355" i="3"/>
  <c r="V363" i="3"/>
  <c r="V371" i="3"/>
  <c r="V379" i="3"/>
  <c r="V387" i="3"/>
  <c r="V395" i="3"/>
  <c r="V403" i="3"/>
  <c r="V411" i="3"/>
  <c r="V419" i="3"/>
  <c r="V427" i="3"/>
  <c r="V435" i="3"/>
  <c r="V443" i="3"/>
  <c r="V451" i="3"/>
  <c r="V459" i="3"/>
  <c r="V467" i="3"/>
  <c r="V475" i="3"/>
  <c r="V483" i="3"/>
  <c r="V491" i="3"/>
  <c r="V499" i="3"/>
  <c r="V507" i="3"/>
  <c r="K230" i="3"/>
  <c r="K464" i="3"/>
  <c r="J90" i="3"/>
  <c r="J218" i="3"/>
  <c r="J346" i="3"/>
  <c r="J451" i="3"/>
  <c r="Z12" i="3"/>
  <c r="Z105" i="3"/>
  <c r="Z148" i="3"/>
  <c r="Z181" i="3"/>
  <c r="Z212" i="3"/>
  <c r="Z239" i="3"/>
  <c r="Z266" i="3"/>
  <c r="Z297" i="3"/>
  <c r="Z321" i="3"/>
  <c r="Z344" i="3"/>
  <c r="Z367" i="3"/>
  <c r="Z385" i="3"/>
  <c r="Z404" i="3"/>
  <c r="Z420" i="3"/>
  <c r="Z436" i="3"/>
  <c r="Z452" i="3"/>
  <c r="Z468" i="3"/>
  <c r="Z484" i="3"/>
  <c r="Z498" i="3"/>
  <c r="Z509" i="3"/>
  <c r="Z519" i="3"/>
  <c r="Z530" i="3"/>
  <c r="Z541" i="3"/>
  <c r="V9" i="3"/>
  <c r="V18" i="3"/>
  <c r="V27" i="3"/>
  <c r="V36" i="3"/>
  <c r="V44" i="3"/>
  <c r="V52" i="3"/>
  <c r="V60" i="3"/>
  <c r="V68" i="3"/>
  <c r="V76" i="3"/>
  <c r="V84" i="3"/>
  <c r="V92" i="3"/>
  <c r="V100" i="3"/>
  <c r="V108" i="3"/>
  <c r="V116" i="3"/>
  <c r="V124" i="3"/>
  <c r="V132" i="3"/>
  <c r="V140" i="3"/>
  <c r="V148" i="3"/>
  <c r="V156" i="3"/>
  <c r="V164" i="3"/>
  <c r="V172" i="3"/>
  <c r="V180" i="3"/>
  <c r="V188" i="3"/>
  <c r="V196" i="3"/>
  <c r="V204" i="3"/>
  <c r="V212" i="3"/>
  <c r="V220" i="3"/>
  <c r="V228" i="3"/>
  <c r="V236" i="3"/>
  <c r="V244" i="3"/>
  <c r="V252" i="3"/>
  <c r="V260" i="3"/>
  <c r="V268" i="3"/>
  <c r="V276" i="3"/>
  <c r="V284" i="3"/>
  <c r="V292" i="3"/>
  <c r="V300" i="3"/>
  <c r="V308" i="3"/>
  <c r="V316" i="3"/>
  <c r="V324" i="3"/>
  <c r="V332" i="3"/>
  <c r="V340" i="3"/>
  <c r="V348" i="3"/>
  <c r="V356" i="3"/>
  <c r="V364" i="3"/>
  <c r="V372" i="3"/>
  <c r="V380" i="3"/>
  <c r="V388" i="3"/>
  <c r="V396" i="3"/>
  <c r="V404" i="3"/>
  <c r="V412" i="3"/>
  <c r="V420" i="3"/>
  <c r="V428" i="3"/>
  <c r="V436" i="3"/>
  <c r="V444" i="3"/>
  <c r="V452" i="3"/>
  <c r="K272" i="3"/>
  <c r="K488" i="3"/>
  <c r="J106" i="3"/>
  <c r="J234" i="3"/>
  <c r="J362" i="3"/>
  <c r="J464" i="3"/>
  <c r="Z25" i="3"/>
  <c r="Z106" i="3"/>
  <c r="Z149" i="3"/>
  <c r="Z186" i="3"/>
  <c r="Z213" i="3"/>
  <c r="Z244" i="3"/>
  <c r="Z271" i="3"/>
  <c r="Z298" i="3"/>
  <c r="Z325" i="3"/>
  <c r="Z349" i="3"/>
  <c r="Z368" i="3"/>
  <c r="Z386" i="3"/>
  <c r="Z405" i="3"/>
  <c r="Z421" i="3"/>
  <c r="Z437" i="3"/>
  <c r="Z453" i="3"/>
  <c r="Z469" i="3"/>
  <c r="Z485" i="3"/>
  <c r="Z500" i="3"/>
  <c r="Z510" i="3"/>
  <c r="Z520" i="3"/>
  <c r="Z532" i="3"/>
  <c r="Z542" i="3"/>
  <c r="V10" i="3"/>
  <c r="V19" i="3"/>
  <c r="V28" i="3"/>
  <c r="V37" i="3"/>
  <c r="V45" i="3"/>
  <c r="V53" i="3"/>
  <c r="V61" i="3"/>
  <c r="V69" i="3"/>
  <c r="V77" i="3"/>
  <c r="V85" i="3"/>
  <c r="V93" i="3"/>
  <c r="V101" i="3"/>
  <c r="V109" i="3"/>
  <c r="V117" i="3"/>
  <c r="V125" i="3"/>
  <c r="V133" i="3"/>
  <c r="V141" i="3"/>
  <c r="V149" i="3"/>
  <c r="V157" i="3"/>
  <c r="V165" i="3"/>
  <c r="V173" i="3"/>
  <c r="V181" i="3"/>
  <c r="V189" i="3"/>
  <c r="V197" i="3"/>
  <c r="V205" i="3"/>
  <c r="V213" i="3"/>
  <c r="V221" i="3"/>
  <c r="V229" i="3"/>
  <c r="V237" i="3"/>
  <c r="V245" i="3"/>
  <c r="V253" i="3"/>
  <c r="V261" i="3"/>
  <c r="V269" i="3"/>
  <c r="V277" i="3"/>
  <c r="V285" i="3"/>
  <c r="V293" i="3"/>
  <c r="V301" i="3"/>
  <c r="V309" i="3"/>
  <c r="V317" i="3"/>
  <c r="V325" i="3"/>
  <c r="V333" i="3"/>
  <c r="V341" i="3"/>
  <c r="V349" i="3"/>
  <c r="V357" i="3"/>
  <c r="V365" i="3"/>
  <c r="V373" i="3"/>
  <c r="V381" i="3"/>
  <c r="V389" i="3"/>
  <c r="V397" i="3"/>
  <c r="V405" i="3"/>
  <c r="V413" i="3"/>
  <c r="V421" i="3"/>
  <c r="V429" i="3"/>
  <c r="V437" i="3"/>
  <c r="V445" i="3"/>
  <c r="V453" i="3"/>
  <c r="V461" i="3"/>
  <c r="V469" i="3"/>
  <c r="V477" i="3"/>
  <c r="V485" i="3"/>
  <c r="V493" i="3"/>
  <c r="K342" i="3"/>
  <c r="K529" i="3"/>
  <c r="J138" i="3"/>
  <c r="J266" i="3"/>
  <c r="J387" i="3"/>
  <c r="J490" i="3"/>
  <c r="Z50" i="3"/>
  <c r="Z117" i="3"/>
  <c r="Z159" i="3"/>
  <c r="Z191" i="3"/>
  <c r="Z222" i="3"/>
  <c r="Z250" i="3"/>
  <c r="Z277" i="3"/>
  <c r="Z306" i="3"/>
  <c r="Z330" i="3"/>
  <c r="Z353" i="3"/>
  <c r="Z372" i="3"/>
  <c r="Z390" i="3"/>
  <c r="Z408" i="3"/>
  <c r="Z424" i="3"/>
  <c r="Z440" i="3"/>
  <c r="Z456" i="3"/>
  <c r="Z472" i="3"/>
  <c r="Z488" i="3"/>
  <c r="Z502" i="3"/>
  <c r="Z512" i="3"/>
  <c r="Z524" i="3"/>
  <c r="Z534" i="3"/>
  <c r="V2" i="3"/>
  <c r="V12" i="3"/>
  <c r="V22" i="3"/>
  <c r="V31" i="3"/>
  <c r="V39" i="3"/>
  <c r="V47" i="3"/>
  <c r="V55" i="3"/>
  <c r="V63" i="3"/>
  <c r="V71" i="3"/>
  <c r="V79" i="3"/>
  <c r="V87" i="3"/>
  <c r="V95" i="3"/>
  <c r="V103" i="3"/>
  <c r="V111" i="3"/>
  <c r="V119" i="3"/>
  <c r="V127" i="3"/>
  <c r="V135" i="3"/>
  <c r="V143" i="3"/>
  <c r="V151" i="3"/>
  <c r="V159" i="3"/>
  <c r="V167" i="3"/>
  <c r="V175" i="3"/>
  <c r="V183" i="3"/>
  <c r="V191" i="3"/>
  <c r="V199" i="3"/>
  <c r="V207" i="3"/>
  <c r="V215" i="3"/>
  <c r="V223" i="3"/>
  <c r="V231" i="3"/>
  <c r="V239" i="3"/>
  <c r="V247" i="3"/>
  <c r="V255" i="3"/>
  <c r="V263" i="3"/>
  <c r="V271" i="3"/>
  <c r="V279" i="3"/>
  <c r="V287" i="3"/>
  <c r="V295" i="3"/>
  <c r="V303" i="3"/>
  <c r="V311" i="3"/>
  <c r="V319" i="3"/>
  <c r="V327" i="3"/>
  <c r="V335" i="3"/>
  <c r="V343" i="3"/>
  <c r="V351" i="3"/>
  <c r="V359" i="3"/>
  <c r="V367" i="3"/>
  <c r="V375" i="3"/>
  <c r="V383" i="3"/>
  <c r="V391" i="3"/>
  <c r="V399" i="3"/>
  <c r="V407" i="3"/>
  <c r="V415" i="3"/>
  <c r="V423" i="3"/>
  <c r="V431" i="3"/>
  <c r="V439" i="3"/>
  <c r="V447" i="3"/>
  <c r="V455" i="3"/>
  <c r="K305" i="3"/>
  <c r="Z158" i="3"/>
  <c r="Z370" i="3"/>
  <c r="Z501" i="3"/>
  <c r="V38" i="3"/>
  <c r="V102" i="3"/>
  <c r="V166" i="3"/>
  <c r="V230" i="3"/>
  <c r="V294" i="3"/>
  <c r="V358" i="3"/>
  <c r="V422" i="3"/>
  <c r="V468" i="3"/>
  <c r="V487" i="3"/>
  <c r="V501" i="3"/>
  <c r="V511" i="3"/>
  <c r="V521" i="3"/>
  <c r="V529" i="3"/>
  <c r="V537" i="3"/>
  <c r="O542" i="3"/>
  <c r="N9" i="3"/>
  <c r="N17" i="3"/>
  <c r="N25" i="3"/>
  <c r="N33" i="3"/>
  <c r="N41" i="3"/>
  <c r="N49" i="3"/>
  <c r="N57" i="3"/>
  <c r="N65" i="3"/>
  <c r="N73" i="3"/>
  <c r="N81" i="3"/>
  <c r="N89" i="3"/>
  <c r="N97" i="3"/>
  <c r="N105" i="3"/>
  <c r="N113" i="3"/>
  <c r="N121" i="3"/>
  <c r="N129" i="3"/>
  <c r="N137" i="3"/>
  <c r="N145" i="3"/>
  <c r="N153" i="3"/>
  <c r="N161" i="3"/>
  <c r="N169" i="3"/>
  <c r="N177" i="3"/>
  <c r="N185" i="3"/>
  <c r="N193" i="3"/>
  <c r="N201" i="3"/>
  <c r="N209" i="3"/>
  <c r="N217" i="3"/>
  <c r="N225" i="3"/>
  <c r="N233" i="3"/>
  <c r="N241" i="3"/>
  <c r="N249" i="3"/>
  <c r="N257" i="3"/>
  <c r="N265" i="3"/>
  <c r="N273" i="3"/>
  <c r="N281" i="3"/>
  <c r="N289" i="3"/>
  <c r="N297" i="3"/>
  <c r="N305" i="3"/>
  <c r="N313" i="3"/>
  <c r="N321" i="3"/>
  <c r="N329" i="3"/>
  <c r="N337" i="3"/>
  <c r="N345" i="3"/>
  <c r="N353" i="3"/>
  <c r="N361" i="3"/>
  <c r="N369" i="3"/>
  <c r="N377" i="3"/>
  <c r="N385" i="3"/>
  <c r="N393" i="3"/>
  <c r="N401" i="3"/>
  <c r="N409" i="3"/>
  <c r="N417" i="3"/>
  <c r="N425" i="3"/>
  <c r="N433" i="3"/>
  <c r="N441" i="3"/>
  <c r="N449" i="3"/>
  <c r="N457" i="3"/>
  <c r="N465" i="3"/>
  <c r="N473" i="3"/>
  <c r="N481" i="3"/>
  <c r="N489" i="3"/>
  <c r="N497" i="3"/>
  <c r="N505" i="3"/>
  <c r="N513" i="3"/>
  <c r="N521" i="3"/>
  <c r="N529" i="3"/>
  <c r="N537" i="3"/>
  <c r="I3" i="3"/>
  <c r="I11" i="3"/>
  <c r="I19" i="3"/>
  <c r="I27" i="3"/>
  <c r="I35" i="3"/>
  <c r="I43" i="3"/>
  <c r="I51" i="3"/>
  <c r="I59" i="3"/>
  <c r="I67" i="3"/>
  <c r="I75" i="3"/>
  <c r="I83" i="3"/>
  <c r="I91" i="3"/>
  <c r="I99" i="3"/>
  <c r="I107" i="3"/>
  <c r="I115" i="3"/>
  <c r="I123" i="3"/>
  <c r="I131" i="3"/>
  <c r="I139" i="3"/>
  <c r="I147" i="3"/>
  <c r="I155" i="3"/>
  <c r="I163" i="3"/>
  <c r="I171" i="3"/>
  <c r="I179" i="3"/>
  <c r="I187" i="3"/>
  <c r="I195" i="3"/>
  <c r="I203" i="3"/>
  <c r="I211" i="3"/>
  <c r="I219" i="3"/>
  <c r="I227" i="3"/>
  <c r="I235" i="3"/>
  <c r="I243" i="3"/>
  <c r="I251" i="3"/>
  <c r="I259" i="3"/>
  <c r="I267" i="3"/>
  <c r="I275" i="3"/>
  <c r="I283" i="3"/>
  <c r="I291" i="3"/>
  <c r="I299" i="3"/>
  <c r="I307" i="3"/>
  <c r="I315" i="3"/>
  <c r="I323" i="3"/>
  <c r="I331" i="3"/>
  <c r="I339" i="3"/>
  <c r="I347" i="3"/>
  <c r="I355" i="3"/>
  <c r="I363" i="3"/>
  <c r="I371" i="3"/>
  <c r="I379" i="3"/>
  <c r="I387" i="3"/>
  <c r="I395" i="3"/>
  <c r="I403" i="3"/>
  <c r="I411" i="3"/>
  <c r="I419" i="3"/>
  <c r="I427" i="3"/>
  <c r="I435" i="3"/>
  <c r="I443" i="3"/>
  <c r="I451" i="3"/>
  <c r="I459" i="3"/>
  <c r="I467" i="3"/>
  <c r="I475" i="3"/>
  <c r="I483" i="3"/>
  <c r="I491" i="3"/>
  <c r="I499" i="3"/>
  <c r="I507" i="3"/>
  <c r="I515" i="3"/>
  <c r="I523" i="3"/>
  <c r="I531" i="3"/>
  <c r="I539" i="3"/>
  <c r="H5" i="3"/>
  <c r="H13" i="3"/>
  <c r="H21" i="3"/>
  <c r="H29" i="3"/>
  <c r="H37" i="3"/>
  <c r="H45" i="3"/>
  <c r="H53" i="3"/>
  <c r="H61" i="3"/>
  <c r="H69" i="3"/>
  <c r="H77" i="3"/>
  <c r="H85" i="3"/>
  <c r="H93" i="3"/>
  <c r="H101" i="3"/>
  <c r="H109" i="3"/>
  <c r="H117" i="3"/>
  <c r="H125" i="3"/>
  <c r="K510" i="3"/>
  <c r="Z190" i="3"/>
  <c r="Z389" i="3"/>
  <c r="Z511" i="3"/>
  <c r="V46" i="3"/>
  <c r="V110" i="3"/>
  <c r="V174" i="3"/>
  <c r="V238" i="3"/>
  <c r="V302" i="3"/>
  <c r="V366" i="3"/>
  <c r="V430" i="3"/>
  <c r="V470" i="3"/>
  <c r="V490" i="3"/>
  <c r="V502" i="3"/>
  <c r="V513" i="3"/>
  <c r="V522" i="3"/>
  <c r="V530" i="3"/>
  <c r="V538" i="3"/>
  <c r="N2" i="3"/>
  <c r="N10" i="3"/>
  <c r="N18" i="3"/>
  <c r="N26" i="3"/>
  <c r="N34" i="3"/>
  <c r="N42" i="3"/>
  <c r="N50" i="3"/>
  <c r="N58" i="3"/>
  <c r="N66" i="3"/>
  <c r="N74" i="3"/>
  <c r="N82" i="3"/>
  <c r="N90" i="3"/>
  <c r="N98" i="3"/>
  <c r="N106" i="3"/>
  <c r="N114" i="3"/>
  <c r="N122" i="3"/>
  <c r="N130" i="3"/>
  <c r="N138" i="3"/>
  <c r="N146" i="3"/>
  <c r="N154" i="3"/>
  <c r="N162" i="3"/>
  <c r="N170" i="3"/>
  <c r="N178" i="3"/>
  <c r="N186" i="3"/>
  <c r="N194" i="3"/>
  <c r="N202" i="3"/>
  <c r="N210" i="3"/>
  <c r="N218" i="3"/>
  <c r="N226" i="3"/>
  <c r="N234" i="3"/>
  <c r="N242" i="3"/>
  <c r="N250" i="3"/>
  <c r="N258" i="3"/>
  <c r="N266" i="3"/>
  <c r="N274" i="3"/>
  <c r="N282" i="3"/>
  <c r="N290" i="3"/>
  <c r="N298" i="3"/>
  <c r="N306" i="3"/>
  <c r="N314" i="3"/>
  <c r="N322" i="3"/>
  <c r="N330" i="3"/>
  <c r="N338" i="3"/>
  <c r="N346" i="3"/>
  <c r="N354" i="3"/>
  <c r="N362" i="3"/>
  <c r="N370" i="3"/>
  <c r="N378" i="3"/>
  <c r="N386" i="3"/>
  <c r="N394" i="3"/>
  <c r="N402" i="3"/>
  <c r="N410" i="3"/>
  <c r="N418" i="3"/>
  <c r="N426" i="3"/>
  <c r="N434" i="3"/>
  <c r="N442" i="3"/>
  <c r="N450" i="3"/>
  <c r="N458" i="3"/>
  <c r="N466" i="3"/>
  <c r="N474" i="3"/>
  <c r="N482" i="3"/>
  <c r="N490" i="3"/>
  <c r="N498" i="3"/>
  <c r="N506" i="3"/>
  <c r="N514" i="3"/>
  <c r="N522" i="3"/>
  <c r="N530" i="3"/>
  <c r="N538" i="3"/>
  <c r="I4" i="3"/>
  <c r="I12" i="3"/>
  <c r="I20" i="3"/>
  <c r="I28" i="3"/>
  <c r="I36" i="3"/>
  <c r="I44" i="3"/>
  <c r="I52" i="3"/>
  <c r="I60" i="3"/>
  <c r="I68" i="3"/>
  <c r="I76" i="3"/>
  <c r="I84" i="3"/>
  <c r="I92" i="3"/>
  <c r="I100" i="3"/>
  <c r="I108" i="3"/>
  <c r="I116" i="3"/>
  <c r="I124" i="3"/>
  <c r="I132" i="3"/>
  <c r="I140" i="3"/>
  <c r="I148" i="3"/>
  <c r="I156" i="3"/>
  <c r="I164" i="3"/>
  <c r="I172" i="3"/>
  <c r="I180" i="3"/>
  <c r="I188" i="3"/>
  <c r="I196" i="3"/>
  <c r="I204" i="3"/>
  <c r="I212" i="3"/>
  <c r="I220" i="3"/>
  <c r="I228" i="3"/>
  <c r="I236" i="3"/>
  <c r="I244" i="3"/>
  <c r="I252" i="3"/>
  <c r="I260" i="3"/>
  <c r="I268" i="3"/>
  <c r="I276" i="3"/>
  <c r="I284" i="3"/>
  <c r="I292" i="3"/>
  <c r="I300" i="3"/>
  <c r="I308" i="3"/>
  <c r="I316" i="3"/>
  <c r="I324" i="3"/>
  <c r="I332" i="3"/>
  <c r="I340" i="3"/>
  <c r="I348" i="3"/>
  <c r="I356" i="3"/>
  <c r="I364" i="3"/>
  <c r="I372" i="3"/>
  <c r="I380" i="3"/>
  <c r="I388" i="3"/>
  <c r="I396" i="3"/>
  <c r="I404" i="3"/>
  <c r="I412" i="3"/>
  <c r="I420" i="3"/>
  <c r="I428" i="3"/>
  <c r="I436" i="3"/>
  <c r="I444" i="3"/>
  <c r="I452" i="3"/>
  <c r="I460" i="3"/>
  <c r="I468" i="3"/>
  <c r="I476" i="3"/>
  <c r="I484" i="3"/>
  <c r="I492" i="3"/>
  <c r="I500" i="3"/>
  <c r="I508" i="3"/>
  <c r="I516" i="3"/>
  <c r="I524" i="3"/>
  <c r="J122" i="3"/>
  <c r="Z218" i="3"/>
  <c r="Z407" i="3"/>
  <c r="Z522" i="3"/>
  <c r="V54" i="3"/>
  <c r="V118" i="3"/>
  <c r="V182" i="3"/>
  <c r="V246" i="3"/>
  <c r="V310" i="3"/>
  <c r="V374" i="3"/>
  <c r="V438" i="3"/>
  <c r="V471" i="3"/>
  <c r="V492" i="3"/>
  <c r="V503" i="3"/>
  <c r="V514" i="3"/>
  <c r="V523" i="3"/>
  <c r="V531" i="3"/>
  <c r="V539" i="3"/>
  <c r="N3" i="3"/>
  <c r="N11" i="3"/>
  <c r="N19" i="3"/>
  <c r="N27" i="3"/>
  <c r="N35" i="3"/>
  <c r="N43" i="3"/>
  <c r="N51" i="3"/>
  <c r="N59" i="3"/>
  <c r="N67" i="3"/>
  <c r="N75" i="3"/>
  <c r="N83" i="3"/>
  <c r="N91" i="3"/>
  <c r="N99" i="3"/>
  <c r="N107" i="3"/>
  <c r="N115" i="3"/>
  <c r="N123" i="3"/>
  <c r="N131" i="3"/>
  <c r="N139" i="3"/>
  <c r="N147" i="3"/>
  <c r="N155" i="3"/>
  <c r="N163" i="3"/>
  <c r="N171" i="3"/>
  <c r="N179" i="3"/>
  <c r="N187" i="3"/>
  <c r="N195" i="3"/>
  <c r="N203" i="3"/>
  <c r="N211" i="3"/>
  <c r="N219" i="3"/>
  <c r="N227" i="3"/>
  <c r="N235" i="3"/>
  <c r="N243" i="3"/>
  <c r="N251" i="3"/>
  <c r="N259" i="3"/>
  <c r="N267" i="3"/>
  <c r="N275" i="3"/>
  <c r="N283" i="3"/>
  <c r="N291" i="3"/>
  <c r="N299" i="3"/>
  <c r="N307" i="3"/>
  <c r="N315" i="3"/>
  <c r="N323" i="3"/>
  <c r="N331" i="3"/>
  <c r="N339" i="3"/>
  <c r="N347" i="3"/>
  <c r="N355" i="3"/>
  <c r="N363" i="3"/>
  <c r="N371" i="3"/>
  <c r="N379" i="3"/>
  <c r="N387" i="3"/>
  <c r="N395" i="3"/>
  <c r="N403" i="3"/>
  <c r="N411" i="3"/>
  <c r="N419" i="3"/>
  <c r="N427" i="3"/>
  <c r="N435" i="3"/>
  <c r="N443" i="3"/>
  <c r="N451" i="3"/>
  <c r="N459" i="3"/>
  <c r="N467" i="3"/>
  <c r="N475" i="3"/>
  <c r="N483" i="3"/>
  <c r="N491" i="3"/>
  <c r="N499" i="3"/>
  <c r="N507" i="3"/>
  <c r="N515" i="3"/>
  <c r="N523" i="3"/>
  <c r="N531" i="3"/>
  <c r="N539" i="3"/>
  <c r="I5" i="3"/>
  <c r="I13" i="3"/>
  <c r="I21" i="3"/>
  <c r="I29" i="3"/>
  <c r="I37" i="3"/>
  <c r="I45" i="3"/>
  <c r="I53" i="3"/>
  <c r="I61" i="3"/>
  <c r="I69" i="3"/>
  <c r="I77" i="3"/>
  <c r="I85" i="3"/>
  <c r="I93" i="3"/>
  <c r="I101" i="3"/>
  <c r="I109" i="3"/>
  <c r="I117" i="3"/>
  <c r="I125" i="3"/>
  <c r="I133" i="3"/>
  <c r="I141" i="3"/>
  <c r="I149" i="3"/>
  <c r="I157" i="3"/>
  <c r="I165" i="3"/>
  <c r="I173" i="3"/>
  <c r="I181" i="3"/>
  <c r="I189" i="3"/>
  <c r="I197" i="3"/>
  <c r="I205" i="3"/>
  <c r="I213" i="3"/>
  <c r="I221" i="3"/>
  <c r="I229" i="3"/>
  <c r="I237" i="3"/>
  <c r="I245" i="3"/>
  <c r="I253" i="3"/>
  <c r="I261" i="3"/>
  <c r="I269" i="3"/>
  <c r="I277" i="3"/>
  <c r="I285" i="3"/>
  <c r="I293" i="3"/>
  <c r="I301" i="3"/>
  <c r="I309" i="3"/>
  <c r="I317" i="3"/>
  <c r="I325" i="3"/>
  <c r="I333" i="3"/>
  <c r="I341" i="3"/>
  <c r="I349" i="3"/>
  <c r="I357" i="3"/>
  <c r="I365" i="3"/>
  <c r="I373" i="3"/>
  <c r="I381" i="3"/>
  <c r="I389" i="3"/>
  <c r="I397" i="3"/>
  <c r="I405" i="3"/>
  <c r="I413" i="3"/>
  <c r="I421" i="3"/>
  <c r="I429" i="3"/>
  <c r="I437" i="3"/>
  <c r="I445" i="3"/>
  <c r="I453" i="3"/>
  <c r="I461" i="3"/>
  <c r="I469" i="3"/>
  <c r="I477" i="3"/>
  <c r="I485" i="3"/>
  <c r="I493" i="3"/>
  <c r="I501" i="3"/>
  <c r="I509" i="3"/>
  <c r="I517" i="3"/>
  <c r="I525" i="3"/>
  <c r="J250" i="3"/>
  <c r="Z245" i="3"/>
  <c r="Z423" i="3"/>
  <c r="Z533" i="3"/>
  <c r="V62" i="3"/>
  <c r="V126" i="3"/>
  <c r="V190" i="3"/>
  <c r="V254" i="3"/>
  <c r="V318" i="3"/>
  <c r="V382" i="3"/>
  <c r="V446" i="3"/>
  <c r="V476" i="3"/>
  <c r="V494" i="3"/>
  <c r="V505" i="3"/>
  <c r="V515" i="3"/>
  <c r="V524" i="3"/>
  <c r="V532" i="3"/>
  <c r="V540" i="3"/>
  <c r="N4" i="3"/>
  <c r="N12" i="3"/>
  <c r="N20" i="3"/>
  <c r="N28" i="3"/>
  <c r="N36" i="3"/>
  <c r="N44" i="3"/>
  <c r="N52" i="3"/>
  <c r="N60" i="3"/>
  <c r="N68" i="3"/>
  <c r="N76" i="3"/>
  <c r="N84" i="3"/>
  <c r="N92" i="3"/>
  <c r="N100" i="3"/>
  <c r="N108" i="3"/>
  <c r="N116" i="3"/>
  <c r="N124" i="3"/>
  <c r="N132" i="3"/>
  <c r="N140" i="3"/>
  <c r="N148" i="3"/>
  <c r="N156" i="3"/>
  <c r="N164" i="3"/>
  <c r="N172" i="3"/>
  <c r="N180" i="3"/>
  <c r="N188" i="3"/>
  <c r="N196" i="3"/>
  <c r="N204" i="3"/>
  <c r="N212" i="3"/>
  <c r="N220" i="3"/>
  <c r="N228" i="3"/>
  <c r="N236" i="3"/>
  <c r="N244" i="3"/>
  <c r="N252" i="3"/>
  <c r="N260" i="3"/>
  <c r="N268" i="3"/>
  <c r="N276" i="3"/>
  <c r="N284" i="3"/>
  <c r="N292" i="3"/>
  <c r="N300" i="3"/>
  <c r="N308" i="3"/>
  <c r="N316" i="3"/>
  <c r="N324" i="3"/>
  <c r="N332" i="3"/>
  <c r="N340" i="3"/>
  <c r="N348" i="3"/>
  <c r="N356" i="3"/>
  <c r="N364" i="3"/>
  <c r="N372" i="3"/>
  <c r="N380" i="3"/>
  <c r="N388" i="3"/>
  <c r="N396" i="3"/>
  <c r="N404" i="3"/>
  <c r="N412" i="3"/>
  <c r="N420" i="3"/>
  <c r="N428" i="3"/>
  <c r="N436" i="3"/>
  <c r="N444" i="3"/>
  <c r="N452" i="3"/>
  <c r="N460" i="3"/>
  <c r="N468" i="3"/>
  <c r="N476" i="3"/>
  <c r="N484" i="3"/>
  <c r="N492" i="3"/>
  <c r="N500" i="3"/>
  <c r="N508" i="3"/>
  <c r="N516" i="3"/>
  <c r="N524" i="3"/>
  <c r="N532" i="3"/>
  <c r="N540" i="3"/>
  <c r="I6" i="3"/>
  <c r="I14" i="3"/>
  <c r="I22" i="3"/>
  <c r="I30" i="3"/>
  <c r="I38" i="3"/>
  <c r="I46" i="3"/>
  <c r="I54" i="3"/>
  <c r="I62" i="3"/>
  <c r="I70" i="3"/>
  <c r="I78" i="3"/>
  <c r="I86" i="3"/>
  <c r="I94" i="3"/>
  <c r="I102" i="3"/>
  <c r="I110" i="3"/>
  <c r="I118" i="3"/>
  <c r="I126" i="3"/>
  <c r="I134" i="3"/>
  <c r="I142" i="3"/>
  <c r="I150" i="3"/>
  <c r="I158" i="3"/>
  <c r="I166" i="3"/>
  <c r="I174" i="3"/>
  <c r="I182" i="3"/>
  <c r="I190" i="3"/>
  <c r="I198" i="3"/>
  <c r="I206" i="3"/>
  <c r="I214" i="3"/>
  <c r="I222" i="3"/>
  <c r="I230" i="3"/>
  <c r="I238" i="3"/>
  <c r="I246" i="3"/>
  <c r="I254" i="3"/>
  <c r="I262" i="3"/>
  <c r="I270" i="3"/>
  <c r="I278" i="3"/>
  <c r="I286" i="3"/>
  <c r="I294" i="3"/>
  <c r="I302" i="3"/>
  <c r="I310" i="3"/>
  <c r="I318" i="3"/>
  <c r="I326" i="3"/>
  <c r="I334" i="3"/>
  <c r="I342" i="3"/>
  <c r="I350" i="3"/>
  <c r="I358" i="3"/>
  <c r="I366" i="3"/>
  <c r="I374" i="3"/>
  <c r="I382" i="3"/>
  <c r="I390" i="3"/>
  <c r="I398" i="3"/>
  <c r="I406" i="3"/>
  <c r="I414" i="3"/>
  <c r="I422" i="3"/>
  <c r="I430" i="3"/>
  <c r="I438" i="3"/>
  <c r="I446" i="3"/>
  <c r="I454" i="3"/>
  <c r="I462" i="3"/>
  <c r="I470" i="3"/>
  <c r="I478" i="3"/>
  <c r="I486" i="3"/>
  <c r="I494" i="3"/>
  <c r="I502" i="3"/>
  <c r="I510" i="3"/>
  <c r="I518" i="3"/>
  <c r="I526" i="3"/>
  <c r="I534" i="3"/>
  <c r="I542" i="3"/>
  <c r="H8" i="3"/>
  <c r="H16" i="3"/>
  <c r="H24" i="3"/>
  <c r="H32" i="3"/>
  <c r="H40" i="3"/>
  <c r="H48" i="3"/>
  <c r="H56" i="3"/>
  <c r="H64" i="3"/>
  <c r="H72" i="3"/>
  <c r="H80" i="3"/>
  <c r="H88" i="3"/>
  <c r="H96" i="3"/>
  <c r="H104" i="3"/>
  <c r="H112" i="3"/>
  <c r="H120" i="3"/>
  <c r="H128" i="3"/>
  <c r="J375" i="3"/>
  <c r="Z276" i="3"/>
  <c r="Z439" i="3"/>
  <c r="Z543" i="3"/>
  <c r="V70" i="3"/>
  <c r="V134" i="3"/>
  <c r="V198" i="3"/>
  <c r="V262" i="3"/>
  <c r="V326" i="3"/>
  <c r="V390" i="3"/>
  <c r="V454" i="3"/>
  <c r="V478" i="3"/>
  <c r="V495" i="3"/>
  <c r="V506" i="3"/>
  <c r="V516" i="3"/>
  <c r="V525" i="3"/>
  <c r="V533" i="3"/>
  <c r="V541" i="3"/>
  <c r="N5" i="3"/>
  <c r="N13" i="3"/>
  <c r="N21" i="3"/>
  <c r="N29" i="3"/>
  <c r="N37" i="3"/>
  <c r="N45" i="3"/>
  <c r="N53" i="3"/>
  <c r="N61" i="3"/>
  <c r="N69" i="3"/>
  <c r="N77" i="3"/>
  <c r="N85" i="3"/>
  <c r="N93" i="3"/>
  <c r="N101" i="3"/>
  <c r="N109" i="3"/>
  <c r="N117" i="3"/>
  <c r="N125" i="3"/>
  <c r="N133" i="3"/>
  <c r="N141" i="3"/>
  <c r="N149" i="3"/>
  <c r="N157" i="3"/>
  <c r="N165" i="3"/>
  <c r="N173" i="3"/>
  <c r="N181" i="3"/>
  <c r="N189" i="3"/>
  <c r="N197" i="3"/>
  <c r="N205" i="3"/>
  <c r="N213" i="3"/>
  <c r="N221" i="3"/>
  <c r="N229" i="3"/>
  <c r="N237" i="3"/>
  <c r="N245" i="3"/>
  <c r="N253" i="3"/>
  <c r="N261" i="3"/>
  <c r="N269" i="3"/>
  <c r="N277" i="3"/>
  <c r="N285" i="3"/>
  <c r="N293" i="3"/>
  <c r="N301" i="3"/>
  <c r="N309" i="3"/>
  <c r="N317" i="3"/>
  <c r="N325" i="3"/>
  <c r="N333" i="3"/>
  <c r="N341" i="3"/>
  <c r="N349" i="3"/>
  <c r="N357" i="3"/>
  <c r="N365" i="3"/>
  <c r="N373" i="3"/>
  <c r="N381" i="3"/>
  <c r="N389" i="3"/>
  <c r="N397" i="3"/>
  <c r="N405" i="3"/>
  <c r="N413" i="3"/>
  <c r="N421" i="3"/>
  <c r="N429" i="3"/>
  <c r="N437" i="3"/>
  <c r="N445" i="3"/>
  <c r="N453" i="3"/>
  <c r="N461" i="3"/>
  <c r="N469" i="3"/>
  <c r="N477" i="3"/>
  <c r="N485" i="3"/>
  <c r="N493" i="3"/>
  <c r="N501" i="3"/>
  <c r="N509" i="3"/>
  <c r="N517" i="3"/>
  <c r="N525" i="3"/>
  <c r="N533" i="3"/>
  <c r="N541" i="3"/>
  <c r="I7" i="3"/>
  <c r="I15" i="3"/>
  <c r="I23" i="3"/>
  <c r="I31" i="3"/>
  <c r="I39" i="3"/>
  <c r="I47" i="3"/>
  <c r="I55" i="3"/>
  <c r="I63" i="3"/>
  <c r="I71" i="3"/>
  <c r="I79" i="3"/>
  <c r="I87" i="3"/>
  <c r="I95" i="3"/>
  <c r="I103" i="3"/>
  <c r="I111" i="3"/>
  <c r="I119" i="3"/>
  <c r="I127" i="3"/>
  <c r="I135" i="3"/>
  <c r="I143" i="3"/>
  <c r="I151" i="3"/>
  <c r="I159" i="3"/>
  <c r="I167" i="3"/>
  <c r="I175" i="3"/>
  <c r="I183" i="3"/>
  <c r="I191" i="3"/>
  <c r="I199" i="3"/>
  <c r="I207" i="3"/>
  <c r="I215" i="3"/>
  <c r="I223" i="3"/>
  <c r="I231" i="3"/>
  <c r="I239" i="3"/>
  <c r="I247" i="3"/>
  <c r="I255" i="3"/>
  <c r="I263" i="3"/>
  <c r="I271" i="3"/>
  <c r="I279" i="3"/>
  <c r="I287" i="3"/>
  <c r="I295" i="3"/>
  <c r="I303" i="3"/>
  <c r="I311" i="3"/>
  <c r="I319" i="3"/>
  <c r="I327" i="3"/>
  <c r="I335" i="3"/>
  <c r="I343" i="3"/>
  <c r="I351" i="3"/>
  <c r="I359" i="3"/>
  <c r="I367" i="3"/>
  <c r="I375" i="3"/>
  <c r="I383" i="3"/>
  <c r="I391" i="3"/>
  <c r="I399" i="3"/>
  <c r="I407" i="3"/>
  <c r="I415" i="3"/>
  <c r="I423" i="3"/>
  <c r="I431" i="3"/>
  <c r="I439" i="3"/>
  <c r="I447" i="3"/>
  <c r="I455" i="3"/>
  <c r="I463" i="3"/>
  <c r="I471" i="3"/>
  <c r="I479" i="3"/>
  <c r="I487" i="3"/>
  <c r="I495" i="3"/>
  <c r="I503" i="3"/>
  <c r="I511" i="3"/>
  <c r="I519" i="3"/>
  <c r="I527" i="3"/>
  <c r="I535" i="3"/>
  <c r="I543" i="3"/>
  <c r="H9" i="3"/>
  <c r="H17" i="3"/>
  <c r="H25" i="3"/>
  <c r="H33" i="3"/>
  <c r="H41" i="3"/>
  <c r="H49" i="3"/>
  <c r="H57" i="3"/>
  <c r="H65" i="3"/>
  <c r="H73" i="3"/>
  <c r="H81" i="3"/>
  <c r="H89" i="3"/>
  <c r="H97" i="3"/>
  <c r="H105" i="3"/>
  <c r="H113" i="3"/>
  <c r="H121" i="3"/>
  <c r="H129" i="3"/>
  <c r="J477" i="3"/>
  <c r="Z303" i="3"/>
  <c r="Z455" i="3"/>
  <c r="V11" i="3"/>
  <c r="V78" i="3"/>
  <c r="V142" i="3"/>
  <c r="V206" i="3"/>
  <c r="V270" i="3"/>
  <c r="V334" i="3"/>
  <c r="V398" i="3"/>
  <c r="V460" i="3"/>
  <c r="V479" i="3"/>
  <c r="V497" i="3"/>
  <c r="V508" i="3"/>
  <c r="V517" i="3"/>
  <c r="V526" i="3"/>
  <c r="V534" i="3"/>
  <c r="V542" i="3"/>
  <c r="N6" i="3"/>
  <c r="N14" i="3"/>
  <c r="N22" i="3"/>
  <c r="N30" i="3"/>
  <c r="N38" i="3"/>
  <c r="N46" i="3"/>
  <c r="N54" i="3"/>
  <c r="N62" i="3"/>
  <c r="N70" i="3"/>
  <c r="N78" i="3"/>
  <c r="N86" i="3"/>
  <c r="N94" i="3"/>
  <c r="N102" i="3"/>
  <c r="N110" i="3"/>
  <c r="N118" i="3"/>
  <c r="N126" i="3"/>
  <c r="N134" i="3"/>
  <c r="N142" i="3"/>
  <c r="N150" i="3"/>
  <c r="N158" i="3"/>
  <c r="N166" i="3"/>
  <c r="N174" i="3"/>
  <c r="N182" i="3"/>
  <c r="N190" i="3"/>
  <c r="N198" i="3"/>
  <c r="N206" i="3"/>
  <c r="N214" i="3"/>
  <c r="N222" i="3"/>
  <c r="N230" i="3"/>
  <c r="N238" i="3"/>
  <c r="N246" i="3"/>
  <c r="N254" i="3"/>
  <c r="N262" i="3"/>
  <c r="N270" i="3"/>
  <c r="N278" i="3"/>
  <c r="N286" i="3"/>
  <c r="N294" i="3"/>
  <c r="N302" i="3"/>
  <c r="N310" i="3"/>
  <c r="N318" i="3"/>
  <c r="N326" i="3"/>
  <c r="N334" i="3"/>
  <c r="N342" i="3"/>
  <c r="N350" i="3"/>
  <c r="N358" i="3"/>
  <c r="N366" i="3"/>
  <c r="N374" i="3"/>
  <c r="N382" i="3"/>
  <c r="N390" i="3"/>
  <c r="N398" i="3"/>
  <c r="N406" i="3"/>
  <c r="N414" i="3"/>
  <c r="N422" i="3"/>
  <c r="N430" i="3"/>
  <c r="N438" i="3"/>
  <c r="N446" i="3"/>
  <c r="N454" i="3"/>
  <c r="N462" i="3"/>
  <c r="N470" i="3"/>
  <c r="N478" i="3"/>
  <c r="N486" i="3"/>
  <c r="N494" i="3"/>
  <c r="N502" i="3"/>
  <c r="N510" i="3"/>
  <c r="N518" i="3"/>
  <c r="N526" i="3"/>
  <c r="N534" i="3"/>
  <c r="N542" i="3"/>
  <c r="I8" i="3"/>
  <c r="I16" i="3"/>
  <c r="I24" i="3"/>
  <c r="I32" i="3"/>
  <c r="I40" i="3"/>
  <c r="I48" i="3"/>
  <c r="I56" i="3"/>
  <c r="I64" i="3"/>
  <c r="I72" i="3"/>
  <c r="I80" i="3"/>
  <c r="I88" i="3"/>
  <c r="I96" i="3"/>
  <c r="I104" i="3"/>
  <c r="I112" i="3"/>
  <c r="I120" i="3"/>
  <c r="I128" i="3"/>
  <c r="I136" i="3"/>
  <c r="I144" i="3"/>
  <c r="I152" i="3"/>
  <c r="I160" i="3"/>
  <c r="I168" i="3"/>
  <c r="I176" i="3"/>
  <c r="I184" i="3"/>
  <c r="I192" i="3"/>
  <c r="I200" i="3"/>
  <c r="I208" i="3"/>
  <c r="I216" i="3"/>
  <c r="I224" i="3"/>
  <c r="I232" i="3"/>
  <c r="I240" i="3"/>
  <c r="I248" i="3"/>
  <c r="I256" i="3"/>
  <c r="I264" i="3"/>
  <c r="I272" i="3"/>
  <c r="I280" i="3"/>
  <c r="I288" i="3"/>
  <c r="I296" i="3"/>
  <c r="I304" i="3"/>
  <c r="I312" i="3"/>
  <c r="I320" i="3"/>
  <c r="I328" i="3"/>
  <c r="I336" i="3"/>
  <c r="I344" i="3"/>
  <c r="I352" i="3"/>
  <c r="I360" i="3"/>
  <c r="I368" i="3"/>
  <c r="I376" i="3"/>
  <c r="I384" i="3"/>
  <c r="I392" i="3"/>
  <c r="I400" i="3"/>
  <c r="I408" i="3"/>
  <c r="I416" i="3"/>
  <c r="I424" i="3"/>
  <c r="I432" i="3"/>
  <c r="I440" i="3"/>
  <c r="I448" i="3"/>
  <c r="I456" i="3"/>
  <c r="I464" i="3"/>
  <c r="I472" i="3"/>
  <c r="I480" i="3"/>
  <c r="I488" i="3"/>
  <c r="I496" i="3"/>
  <c r="I504" i="3"/>
  <c r="I512" i="3"/>
  <c r="I520" i="3"/>
  <c r="I528" i="3"/>
  <c r="I536" i="3"/>
  <c r="H2" i="3"/>
  <c r="H10" i="3"/>
  <c r="H18" i="3"/>
  <c r="H26" i="3"/>
  <c r="H34" i="3"/>
  <c r="H42" i="3"/>
  <c r="H50" i="3"/>
  <c r="H58" i="3"/>
  <c r="H66" i="3"/>
  <c r="H74" i="3"/>
  <c r="H82" i="3"/>
  <c r="H90" i="3"/>
  <c r="H98" i="3"/>
  <c r="H106" i="3"/>
  <c r="H114" i="3"/>
  <c r="H122" i="3"/>
  <c r="H130" i="3"/>
  <c r="Z116" i="3"/>
  <c r="Z352" i="3"/>
  <c r="Z487" i="3"/>
  <c r="V30" i="3"/>
  <c r="V94" i="3"/>
  <c r="V158" i="3"/>
  <c r="V222" i="3"/>
  <c r="V286" i="3"/>
  <c r="V350" i="3"/>
  <c r="V414" i="3"/>
  <c r="V463" i="3"/>
  <c r="V486" i="3"/>
  <c r="V500" i="3"/>
  <c r="V510" i="3"/>
  <c r="V519" i="3"/>
  <c r="V528" i="3"/>
  <c r="V536" i="3"/>
  <c r="U542" i="3"/>
  <c r="N8" i="3"/>
  <c r="N16" i="3"/>
  <c r="N24" i="3"/>
  <c r="N32" i="3"/>
  <c r="N40" i="3"/>
  <c r="N48" i="3"/>
  <c r="N56" i="3"/>
  <c r="N64" i="3"/>
  <c r="N72" i="3"/>
  <c r="N80" i="3"/>
  <c r="N88" i="3"/>
  <c r="N96" i="3"/>
  <c r="N104" i="3"/>
  <c r="N112" i="3"/>
  <c r="N120" i="3"/>
  <c r="N128" i="3"/>
  <c r="N136" i="3"/>
  <c r="N144" i="3"/>
  <c r="N152" i="3"/>
  <c r="N160" i="3"/>
  <c r="N168" i="3"/>
  <c r="N176" i="3"/>
  <c r="N184" i="3"/>
  <c r="N192" i="3"/>
  <c r="N200" i="3"/>
  <c r="N208" i="3"/>
  <c r="N216" i="3"/>
  <c r="N224" i="3"/>
  <c r="N232" i="3"/>
  <c r="N240" i="3"/>
  <c r="N248" i="3"/>
  <c r="N256" i="3"/>
  <c r="N264" i="3"/>
  <c r="N272" i="3"/>
  <c r="N280" i="3"/>
  <c r="N288" i="3"/>
  <c r="N296" i="3"/>
  <c r="N304" i="3"/>
  <c r="N312" i="3"/>
  <c r="N320" i="3"/>
  <c r="N328" i="3"/>
  <c r="N336" i="3"/>
  <c r="N344" i="3"/>
  <c r="N352" i="3"/>
  <c r="N360" i="3"/>
  <c r="N368" i="3"/>
  <c r="N376" i="3"/>
  <c r="N384" i="3"/>
  <c r="N392" i="3"/>
  <c r="N400" i="3"/>
  <c r="N408" i="3"/>
  <c r="N416" i="3"/>
  <c r="N424" i="3"/>
  <c r="N432" i="3"/>
  <c r="N440" i="3"/>
  <c r="N448" i="3"/>
  <c r="N456" i="3"/>
  <c r="N464" i="3"/>
  <c r="N472" i="3"/>
  <c r="N480" i="3"/>
  <c r="N488" i="3"/>
  <c r="N496" i="3"/>
  <c r="N504" i="3"/>
  <c r="N512" i="3"/>
  <c r="N520" i="3"/>
  <c r="N528" i="3"/>
  <c r="N536" i="3"/>
  <c r="I2" i="3"/>
  <c r="I10" i="3"/>
  <c r="I18" i="3"/>
  <c r="I26" i="3"/>
  <c r="I34" i="3"/>
  <c r="I42" i="3"/>
  <c r="I50" i="3"/>
  <c r="I58" i="3"/>
  <c r="I66" i="3"/>
  <c r="I74" i="3"/>
  <c r="I82" i="3"/>
  <c r="I90" i="3"/>
  <c r="I98" i="3"/>
  <c r="I106" i="3"/>
  <c r="I114" i="3"/>
  <c r="I122" i="3"/>
  <c r="I130" i="3"/>
  <c r="I138" i="3"/>
  <c r="I146" i="3"/>
  <c r="I154" i="3"/>
  <c r="I162" i="3"/>
  <c r="I170" i="3"/>
  <c r="I178" i="3"/>
  <c r="I186" i="3"/>
  <c r="I194" i="3"/>
  <c r="I202" i="3"/>
  <c r="I210" i="3"/>
  <c r="I218" i="3"/>
  <c r="I226" i="3"/>
  <c r="I234" i="3"/>
  <c r="I242" i="3"/>
  <c r="I250" i="3"/>
  <c r="I258" i="3"/>
  <c r="I266" i="3"/>
  <c r="I274" i="3"/>
  <c r="I282" i="3"/>
  <c r="I290" i="3"/>
  <c r="I298" i="3"/>
  <c r="I306" i="3"/>
  <c r="I314" i="3"/>
  <c r="I322" i="3"/>
  <c r="I330" i="3"/>
  <c r="I338" i="3"/>
  <c r="I346" i="3"/>
  <c r="I354" i="3"/>
  <c r="I362" i="3"/>
  <c r="I370" i="3"/>
  <c r="I378" i="3"/>
  <c r="I386" i="3"/>
  <c r="I394" i="3"/>
  <c r="I402" i="3"/>
  <c r="I410" i="3"/>
  <c r="I418" i="3"/>
  <c r="I426" i="3"/>
  <c r="I434" i="3"/>
  <c r="I442" i="3"/>
  <c r="I450" i="3"/>
  <c r="I458" i="3"/>
  <c r="I466" i="3"/>
  <c r="I474" i="3"/>
  <c r="I482" i="3"/>
  <c r="I490" i="3"/>
  <c r="I498" i="3"/>
  <c r="I506" i="3"/>
  <c r="I514" i="3"/>
  <c r="I522" i="3"/>
  <c r="I530" i="3"/>
  <c r="I538" i="3"/>
  <c r="H4" i="3"/>
  <c r="H12" i="3"/>
  <c r="H20" i="3"/>
  <c r="H28" i="3"/>
  <c r="H36" i="3"/>
  <c r="H44" i="3"/>
  <c r="H52" i="3"/>
  <c r="H60" i="3"/>
  <c r="H68" i="3"/>
  <c r="H76" i="3"/>
  <c r="H84" i="3"/>
  <c r="H92" i="3"/>
  <c r="H100" i="3"/>
  <c r="H108" i="3"/>
  <c r="H116" i="3"/>
  <c r="H124" i="3"/>
  <c r="Z37" i="3"/>
  <c r="V342" i="3"/>
  <c r="V535" i="3"/>
  <c r="N55" i="3"/>
  <c r="N119" i="3"/>
  <c r="N183" i="3"/>
  <c r="N247" i="3"/>
  <c r="N311" i="3"/>
  <c r="N375" i="3"/>
  <c r="N439" i="3"/>
  <c r="N503" i="3"/>
  <c r="I25" i="3"/>
  <c r="I89" i="3"/>
  <c r="I153" i="3"/>
  <c r="I217" i="3"/>
  <c r="I281" i="3"/>
  <c r="I345" i="3"/>
  <c r="I409" i="3"/>
  <c r="I473" i="3"/>
  <c r="I532" i="3"/>
  <c r="H11" i="3"/>
  <c r="H31" i="3"/>
  <c r="H54" i="3"/>
  <c r="H75" i="3"/>
  <c r="H95" i="3"/>
  <c r="H118" i="3"/>
  <c r="H134" i="3"/>
  <c r="H142" i="3"/>
  <c r="H150" i="3"/>
  <c r="H158" i="3"/>
  <c r="H166" i="3"/>
  <c r="H174" i="3"/>
  <c r="H182" i="3"/>
  <c r="H190" i="3"/>
  <c r="H198" i="3"/>
  <c r="H206" i="3"/>
  <c r="H214" i="3"/>
  <c r="H222" i="3"/>
  <c r="H230" i="3"/>
  <c r="H238" i="3"/>
  <c r="H246" i="3"/>
  <c r="H254" i="3"/>
  <c r="H262" i="3"/>
  <c r="H270" i="3"/>
  <c r="H278" i="3"/>
  <c r="H286" i="3"/>
  <c r="H294" i="3"/>
  <c r="H302" i="3"/>
  <c r="H310" i="3"/>
  <c r="H318" i="3"/>
  <c r="H326" i="3"/>
  <c r="H334" i="3"/>
  <c r="H342" i="3"/>
  <c r="H350" i="3"/>
  <c r="H358" i="3"/>
  <c r="H366" i="3"/>
  <c r="H374" i="3"/>
  <c r="H382" i="3"/>
  <c r="H390" i="3"/>
  <c r="H398" i="3"/>
  <c r="H406" i="3"/>
  <c r="H414" i="3"/>
  <c r="H422" i="3"/>
  <c r="H430" i="3"/>
  <c r="H438" i="3"/>
  <c r="H446" i="3"/>
  <c r="H454" i="3"/>
  <c r="H462" i="3"/>
  <c r="H470" i="3"/>
  <c r="H478" i="3"/>
  <c r="H486" i="3"/>
  <c r="H494" i="3"/>
  <c r="H502" i="3"/>
  <c r="H510" i="3"/>
  <c r="H518" i="3"/>
  <c r="H526" i="3"/>
  <c r="H534" i="3"/>
  <c r="H542" i="3"/>
  <c r="U8" i="3"/>
  <c r="U16" i="3"/>
  <c r="U24" i="3"/>
  <c r="U32" i="3"/>
  <c r="U40" i="3"/>
  <c r="U48" i="3"/>
  <c r="U56" i="3"/>
  <c r="U64" i="3"/>
  <c r="U72" i="3"/>
  <c r="U80" i="3"/>
  <c r="U88" i="3"/>
  <c r="U96" i="3"/>
  <c r="U104" i="3"/>
  <c r="U112" i="3"/>
  <c r="U120" i="3"/>
  <c r="U128" i="3"/>
  <c r="U136" i="3"/>
  <c r="U144" i="3"/>
  <c r="U152" i="3"/>
  <c r="U160" i="3"/>
  <c r="U168" i="3"/>
  <c r="U176" i="3"/>
  <c r="U184" i="3"/>
  <c r="U192" i="3"/>
  <c r="U200" i="3"/>
  <c r="U208" i="3"/>
  <c r="U216" i="3"/>
  <c r="U224" i="3"/>
  <c r="U232" i="3"/>
  <c r="U240" i="3"/>
  <c r="U248" i="3"/>
  <c r="U256" i="3"/>
  <c r="U264" i="3"/>
  <c r="U272" i="3"/>
  <c r="U280" i="3"/>
  <c r="U288" i="3"/>
  <c r="U296" i="3"/>
  <c r="U304" i="3"/>
  <c r="U312" i="3"/>
  <c r="U320" i="3"/>
  <c r="U328" i="3"/>
  <c r="U336" i="3"/>
  <c r="U344" i="3"/>
  <c r="U352" i="3"/>
  <c r="U360" i="3"/>
  <c r="U368" i="3"/>
  <c r="U376" i="3"/>
  <c r="U384" i="3"/>
  <c r="U392" i="3"/>
  <c r="U400" i="3"/>
  <c r="U408" i="3"/>
  <c r="U416" i="3"/>
  <c r="U424" i="3"/>
  <c r="U432" i="3"/>
  <c r="U440" i="3"/>
  <c r="U448" i="3"/>
  <c r="U456" i="3"/>
  <c r="U464" i="3"/>
  <c r="U472" i="3"/>
  <c r="U480" i="3"/>
  <c r="U488" i="3"/>
  <c r="U496" i="3"/>
  <c r="U504" i="3"/>
  <c r="U512" i="3"/>
  <c r="U520" i="3"/>
  <c r="U528" i="3"/>
  <c r="U536" i="3"/>
  <c r="P4" i="3"/>
  <c r="P12" i="3"/>
  <c r="P20" i="3"/>
  <c r="P28" i="3"/>
  <c r="P36" i="3"/>
  <c r="P44" i="3"/>
  <c r="P52" i="3"/>
  <c r="P60" i="3"/>
  <c r="P68" i="3"/>
  <c r="P76" i="3"/>
  <c r="P84" i="3"/>
  <c r="P92" i="3"/>
  <c r="P100" i="3"/>
  <c r="Z326" i="3"/>
  <c r="V406" i="3"/>
  <c r="V543" i="3"/>
  <c r="N63" i="3"/>
  <c r="N127" i="3"/>
  <c r="N191" i="3"/>
  <c r="N255" i="3"/>
  <c r="N319" i="3"/>
  <c r="N383" i="3"/>
  <c r="N447" i="3"/>
  <c r="N511" i="3"/>
  <c r="I33" i="3"/>
  <c r="I97" i="3"/>
  <c r="I161" i="3"/>
  <c r="I225" i="3"/>
  <c r="I289" i="3"/>
  <c r="I353" i="3"/>
  <c r="I417" i="3"/>
  <c r="I481" i="3"/>
  <c r="I533" i="3"/>
  <c r="H14" i="3"/>
  <c r="H35" i="3"/>
  <c r="H55" i="3"/>
  <c r="H78" i="3"/>
  <c r="H99" i="3"/>
  <c r="H119" i="3"/>
  <c r="H135" i="3"/>
  <c r="H143" i="3"/>
  <c r="H151" i="3"/>
  <c r="H159" i="3"/>
  <c r="H167" i="3"/>
  <c r="H175" i="3"/>
  <c r="H183" i="3"/>
  <c r="H191" i="3"/>
  <c r="H199" i="3"/>
  <c r="H207" i="3"/>
  <c r="H215" i="3"/>
  <c r="H223" i="3"/>
  <c r="H231" i="3"/>
  <c r="H239" i="3"/>
  <c r="H247" i="3"/>
  <c r="H255" i="3"/>
  <c r="H263" i="3"/>
  <c r="H271" i="3"/>
  <c r="H279" i="3"/>
  <c r="H287" i="3"/>
  <c r="H295" i="3"/>
  <c r="H303" i="3"/>
  <c r="H311" i="3"/>
  <c r="H319" i="3"/>
  <c r="H327" i="3"/>
  <c r="H335" i="3"/>
  <c r="H343" i="3"/>
  <c r="H351" i="3"/>
  <c r="H359" i="3"/>
  <c r="H367" i="3"/>
  <c r="H375" i="3"/>
  <c r="H383" i="3"/>
  <c r="H391" i="3"/>
  <c r="H399" i="3"/>
  <c r="H407" i="3"/>
  <c r="H415" i="3"/>
  <c r="H423" i="3"/>
  <c r="H431" i="3"/>
  <c r="H439" i="3"/>
  <c r="H447" i="3"/>
  <c r="H455" i="3"/>
  <c r="H463" i="3"/>
  <c r="H471" i="3"/>
  <c r="H479" i="3"/>
  <c r="H487" i="3"/>
  <c r="H495" i="3"/>
  <c r="H503" i="3"/>
  <c r="H511" i="3"/>
  <c r="H519" i="3"/>
  <c r="H527" i="3"/>
  <c r="H535" i="3"/>
  <c r="H543" i="3"/>
  <c r="U9" i="3"/>
  <c r="U17" i="3"/>
  <c r="U25" i="3"/>
  <c r="U33" i="3"/>
  <c r="U41" i="3"/>
  <c r="U49" i="3"/>
  <c r="U57" i="3"/>
  <c r="U65" i="3"/>
  <c r="U73" i="3"/>
  <c r="U81" i="3"/>
  <c r="U89" i="3"/>
  <c r="U97" i="3"/>
  <c r="U105" i="3"/>
  <c r="U113" i="3"/>
  <c r="U121" i="3"/>
  <c r="U129" i="3"/>
  <c r="U137" i="3"/>
  <c r="U145" i="3"/>
  <c r="U153" i="3"/>
  <c r="U161" i="3"/>
  <c r="U169" i="3"/>
  <c r="U177" i="3"/>
  <c r="U185" i="3"/>
  <c r="U193" i="3"/>
  <c r="U201" i="3"/>
  <c r="U209" i="3"/>
  <c r="U217" i="3"/>
  <c r="U225" i="3"/>
  <c r="U233" i="3"/>
  <c r="U241" i="3"/>
  <c r="U249" i="3"/>
  <c r="U257" i="3"/>
  <c r="U265" i="3"/>
  <c r="U273" i="3"/>
  <c r="U281" i="3"/>
  <c r="U289" i="3"/>
  <c r="U297" i="3"/>
  <c r="U305" i="3"/>
  <c r="U313" i="3"/>
  <c r="U321" i="3"/>
  <c r="U329" i="3"/>
  <c r="U337" i="3"/>
  <c r="U345" i="3"/>
  <c r="U353" i="3"/>
  <c r="U361" i="3"/>
  <c r="U369" i="3"/>
  <c r="U377" i="3"/>
  <c r="U385" i="3"/>
  <c r="U393" i="3"/>
  <c r="U401" i="3"/>
  <c r="U409" i="3"/>
  <c r="U417" i="3"/>
  <c r="U425" i="3"/>
  <c r="U433" i="3"/>
  <c r="U441" i="3"/>
  <c r="U449" i="3"/>
  <c r="U457" i="3"/>
  <c r="U465" i="3"/>
  <c r="U473" i="3"/>
  <c r="U481" i="3"/>
  <c r="U489" i="3"/>
  <c r="U497" i="3"/>
  <c r="U505" i="3"/>
  <c r="U513" i="3"/>
  <c r="U521" i="3"/>
  <c r="U529" i="3"/>
  <c r="U537" i="3"/>
  <c r="P5" i="3"/>
  <c r="P13" i="3"/>
  <c r="P21" i="3"/>
  <c r="P29" i="3"/>
  <c r="P37" i="3"/>
  <c r="P45" i="3"/>
  <c r="P53" i="3"/>
  <c r="P61" i="3"/>
  <c r="P69" i="3"/>
  <c r="P77" i="3"/>
  <c r="P85" i="3"/>
  <c r="P93" i="3"/>
  <c r="P101" i="3"/>
  <c r="P109" i="3"/>
  <c r="P117" i="3"/>
  <c r="P125" i="3"/>
  <c r="P133" i="3"/>
  <c r="P141" i="3"/>
  <c r="P149" i="3"/>
  <c r="P157" i="3"/>
  <c r="P165" i="3"/>
  <c r="P173" i="3"/>
  <c r="P181" i="3"/>
  <c r="P189" i="3"/>
  <c r="P197" i="3"/>
  <c r="Z471" i="3"/>
  <c r="V462" i="3"/>
  <c r="N7" i="3"/>
  <c r="N71" i="3"/>
  <c r="N135" i="3"/>
  <c r="N199" i="3"/>
  <c r="N263" i="3"/>
  <c r="N327" i="3"/>
  <c r="N391" i="3"/>
  <c r="N455" i="3"/>
  <c r="N519" i="3"/>
  <c r="I41" i="3"/>
  <c r="I105" i="3"/>
  <c r="I169" i="3"/>
  <c r="I233" i="3"/>
  <c r="I297" i="3"/>
  <c r="I361" i="3"/>
  <c r="I425" i="3"/>
  <c r="I489" i="3"/>
  <c r="I537" i="3"/>
  <c r="H15" i="3"/>
  <c r="H38" i="3"/>
  <c r="H59" i="3"/>
  <c r="H79" i="3"/>
  <c r="H102" i="3"/>
  <c r="H123" i="3"/>
  <c r="H136" i="3"/>
  <c r="H144" i="3"/>
  <c r="H152" i="3"/>
  <c r="H160" i="3"/>
  <c r="H168" i="3"/>
  <c r="H176" i="3"/>
  <c r="H184" i="3"/>
  <c r="H192" i="3"/>
  <c r="H200" i="3"/>
  <c r="H208" i="3"/>
  <c r="H216" i="3"/>
  <c r="H224" i="3"/>
  <c r="H232" i="3"/>
  <c r="H240" i="3"/>
  <c r="H248" i="3"/>
  <c r="H256" i="3"/>
  <c r="H264" i="3"/>
  <c r="H272" i="3"/>
  <c r="H280" i="3"/>
  <c r="H288" i="3"/>
  <c r="H296" i="3"/>
  <c r="H304" i="3"/>
  <c r="H312" i="3"/>
  <c r="H320" i="3"/>
  <c r="H328" i="3"/>
  <c r="H336" i="3"/>
  <c r="H344" i="3"/>
  <c r="H352" i="3"/>
  <c r="H360" i="3"/>
  <c r="H368" i="3"/>
  <c r="H376" i="3"/>
  <c r="H384" i="3"/>
  <c r="H392" i="3"/>
  <c r="H400" i="3"/>
  <c r="H408" i="3"/>
  <c r="H416" i="3"/>
  <c r="H424" i="3"/>
  <c r="H432" i="3"/>
  <c r="H440" i="3"/>
  <c r="H448" i="3"/>
  <c r="H456" i="3"/>
  <c r="H464" i="3"/>
  <c r="H472" i="3"/>
  <c r="H480" i="3"/>
  <c r="H488" i="3"/>
  <c r="H496" i="3"/>
  <c r="H504" i="3"/>
  <c r="H512" i="3"/>
  <c r="H520" i="3"/>
  <c r="H528" i="3"/>
  <c r="H536" i="3"/>
  <c r="U2" i="3"/>
  <c r="U10" i="3"/>
  <c r="U18" i="3"/>
  <c r="U26" i="3"/>
  <c r="U34" i="3"/>
  <c r="U42" i="3"/>
  <c r="U50" i="3"/>
  <c r="U58" i="3"/>
  <c r="U66" i="3"/>
  <c r="U74" i="3"/>
  <c r="U82" i="3"/>
  <c r="U90" i="3"/>
  <c r="U98" i="3"/>
  <c r="U106" i="3"/>
  <c r="U114" i="3"/>
  <c r="U122" i="3"/>
  <c r="U130" i="3"/>
  <c r="U138" i="3"/>
  <c r="U146" i="3"/>
  <c r="U154" i="3"/>
  <c r="U162" i="3"/>
  <c r="U170" i="3"/>
  <c r="U178" i="3"/>
  <c r="U186" i="3"/>
  <c r="U194" i="3"/>
  <c r="U202" i="3"/>
  <c r="U210" i="3"/>
  <c r="U218" i="3"/>
  <c r="U226" i="3"/>
  <c r="U234" i="3"/>
  <c r="U242" i="3"/>
  <c r="U250" i="3"/>
  <c r="U258" i="3"/>
  <c r="U266" i="3"/>
  <c r="U274" i="3"/>
  <c r="U282" i="3"/>
  <c r="U290" i="3"/>
  <c r="U298" i="3"/>
  <c r="U306" i="3"/>
  <c r="U314" i="3"/>
  <c r="U322" i="3"/>
  <c r="U330" i="3"/>
  <c r="U338" i="3"/>
  <c r="U346" i="3"/>
  <c r="U354" i="3"/>
  <c r="U362" i="3"/>
  <c r="U370" i="3"/>
  <c r="U378" i="3"/>
  <c r="U386" i="3"/>
  <c r="U394" i="3"/>
  <c r="U402" i="3"/>
  <c r="U410" i="3"/>
  <c r="U418" i="3"/>
  <c r="U426" i="3"/>
  <c r="U434" i="3"/>
  <c r="U442" i="3"/>
  <c r="U450" i="3"/>
  <c r="U458" i="3"/>
  <c r="U466" i="3"/>
  <c r="U474" i="3"/>
  <c r="U482" i="3"/>
  <c r="U490" i="3"/>
  <c r="U498" i="3"/>
  <c r="U506" i="3"/>
  <c r="U514" i="3"/>
  <c r="U522" i="3"/>
  <c r="U530" i="3"/>
  <c r="U538" i="3"/>
  <c r="P6" i="3"/>
  <c r="P14" i="3"/>
  <c r="P22" i="3"/>
  <c r="P30" i="3"/>
  <c r="P38" i="3"/>
  <c r="P46" i="3"/>
  <c r="P54" i="3"/>
  <c r="P62" i="3"/>
  <c r="P70" i="3"/>
  <c r="P78" i="3"/>
  <c r="P86" i="3"/>
  <c r="P94" i="3"/>
  <c r="P102" i="3"/>
  <c r="P110" i="3"/>
  <c r="P118" i="3"/>
  <c r="P126" i="3"/>
  <c r="P134" i="3"/>
  <c r="P142" i="3"/>
  <c r="P150" i="3"/>
  <c r="P158" i="3"/>
  <c r="P166" i="3"/>
  <c r="V20" i="3"/>
  <c r="V484" i="3"/>
  <c r="N15" i="3"/>
  <c r="N79" i="3"/>
  <c r="N143" i="3"/>
  <c r="N207" i="3"/>
  <c r="N271" i="3"/>
  <c r="N335" i="3"/>
  <c r="N399" i="3"/>
  <c r="N463" i="3"/>
  <c r="N527" i="3"/>
  <c r="I49" i="3"/>
  <c r="I113" i="3"/>
  <c r="I177" i="3"/>
  <c r="I241" i="3"/>
  <c r="I305" i="3"/>
  <c r="I369" i="3"/>
  <c r="I433" i="3"/>
  <c r="I497" i="3"/>
  <c r="I540" i="3"/>
  <c r="H19" i="3"/>
  <c r="H39" i="3"/>
  <c r="H62" i="3"/>
  <c r="H83" i="3"/>
  <c r="H103" i="3"/>
  <c r="H126" i="3"/>
  <c r="H137" i="3"/>
  <c r="H145" i="3"/>
  <c r="H153" i="3"/>
  <c r="H161" i="3"/>
  <c r="H169" i="3"/>
  <c r="H177" i="3"/>
  <c r="H185" i="3"/>
  <c r="H193" i="3"/>
  <c r="H201" i="3"/>
  <c r="H209" i="3"/>
  <c r="H217" i="3"/>
  <c r="H225" i="3"/>
  <c r="H233" i="3"/>
  <c r="H241" i="3"/>
  <c r="H249" i="3"/>
  <c r="H257" i="3"/>
  <c r="H265" i="3"/>
  <c r="H273" i="3"/>
  <c r="H281" i="3"/>
  <c r="H289" i="3"/>
  <c r="H297" i="3"/>
  <c r="H305" i="3"/>
  <c r="H313" i="3"/>
  <c r="H321" i="3"/>
  <c r="H329" i="3"/>
  <c r="H337" i="3"/>
  <c r="H345" i="3"/>
  <c r="H353" i="3"/>
  <c r="H361" i="3"/>
  <c r="H369" i="3"/>
  <c r="H377" i="3"/>
  <c r="H385" i="3"/>
  <c r="H393" i="3"/>
  <c r="H401" i="3"/>
  <c r="H409" i="3"/>
  <c r="H417" i="3"/>
  <c r="H425" i="3"/>
  <c r="H433" i="3"/>
  <c r="H441" i="3"/>
  <c r="H449" i="3"/>
  <c r="H457" i="3"/>
  <c r="H465" i="3"/>
  <c r="H473" i="3"/>
  <c r="H481" i="3"/>
  <c r="H489" i="3"/>
  <c r="H497" i="3"/>
  <c r="H505" i="3"/>
  <c r="H513" i="3"/>
  <c r="H521" i="3"/>
  <c r="H529" i="3"/>
  <c r="H537" i="3"/>
  <c r="U3" i="3"/>
  <c r="U11" i="3"/>
  <c r="U19" i="3"/>
  <c r="U27" i="3"/>
  <c r="U35" i="3"/>
  <c r="U43" i="3"/>
  <c r="U51" i="3"/>
  <c r="U59" i="3"/>
  <c r="U67" i="3"/>
  <c r="U75" i="3"/>
  <c r="U83" i="3"/>
  <c r="U91" i="3"/>
  <c r="U99" i="3"/>
  <c r="U107" i="3"/>
  <c r="U115" i="3"/>
  <c r="U123" i="3"/>
  <c r="U131" i="3"/>
  <c r="U139" i="3"/>
  <c r="U147" i="3"/>
  <c r="U155" i="3"/>
  <c r="U163" i="3"/>
  <c r="U171" i="3"/>
  <c r="U179" i="3"/>
  <c r="U187" i="3"/>
  <c r="U195" i="3"/>
  <c r="U203" i="3"/>
  <c r="U211" i="3"/>
  <c r="U219" i="3"/>
  <c r="U227" i="3"/>
  <c r="U235" i="3"/>
  <c r="U243" i="3"/>
  <c r="U251" i="3"/>
  <c r="U259" i="3"/>
  <c r="U267" i="3"/>
  <c r="U275" i="3"/>
  <c r="U283" i="3"/>
  <c r="U291" i="3"/>
  <c r="U299" i="3"/>
  <c r="U307" i="3"/>
  <c r="U315" i="3"/>
  <c r="U323" i="3"/>
  <c r="U331" i="3"/>
  <c r="U339" i="3"/>
  <c r="U347" i="3"/>
  <c r="U355" i="3"/>
  <c r="U363" i="3"/>
  <c r="U371" i="3"/>
  <c r="U379" i="3"/>
  <c r="U387" i="3"/>
  <c r="U395" i="3"/>
  <c r="U403" i="3"/>
  <c r="U411" i="3"/>
  <c r="U419" i="3"/>
  <c r="U427" i="3"/>
  <c r="U435" i="3"/>
  <c r="U443" i="3"/>
  <c r="U451" i="3"/>
  <c r="U459" i="3"/>
  <c r="U467" i="3"/>
  <c r="U475" i="3"/>
  <c r="U483" i="3"/>
  <c r="U491" i="3"/>
  <c r="U499" i="3"/>
  <c r="U507" i="3"/>
  <c r="U515" i="3"/>
  <c r="U523" i="3"/>
  <c r="U531" i="3"/>
  <c r="U539" i="3"/>
  <c r="P7" i="3"/>
  <c r="P15" i="3"/>
  <c r="P23" i="3"/>
  <c r="P31" i="3"/>
  <c r="P39" i="3"/>
  <c r="P47" i="3"/>
  <c r="P55" i="3"/>
  <c r="P63" i="3"/>
  <c r="P71" i="3"/>
  <c r="P79" i="3"/>
  <c r="P87" i="3"/>
  <c r="P95" i="3"/>
  <c r="P103" i="3"/>
  <c r="V86" i="3"/>
  <c r="V498" i="3"/>
  <c r="N23" i="3"/>
  <c r="N87" i="3"/>
  <c r="N151" i="3"/>
  <c r="N215" i="3"/>
  <c r="N279" i="3"/>
  <c r="N343" i="3"/>
  <c r="N407" i="3"/>
  <c r="N471" i="3"/>
  <c r="N535" i="3"/>
  <c r="I57" i="3"/>
  <c r="I121" i="3"/>
  <c r="I185" i="3"/>
  <c r="I249" i="3"/>
  <c r="I313" i="3"/>
  <c r="I377" i="3"/>
  <c r="I441" i="3"/>
  <c r="I505" i="3"/>
  <c r="I541" i="3"/>
  <c r="H22" i="3"/>
  <c r="H43" i="3"/>
  <c r="H63" i="3"/>
  <c r="H86" i="3"/>
  <c r="H107" i="3"/>
  <c r="H127" i="3"/>
  <c r="H138" i="3"/>
  <c r="H146" i="3"/>
  <c r="H154" i="3"/>
  <c r="H162" i="3"/>
  <c r="H170" i="3"/>
  <c r="H178" i="3"/>
  <c r="H186" i="3"/>
  <c r="H194" i="3"/>
  <c r="H202" i="3"/>
  <c r="H210" i="3"/>
  <c r="H218" i="3"/>
  <c r="H226" i="3"/>
  <c r="H234" i="3"/>
  <c r="H242" i="3"/>
  <c r="H250" i="3"/>
  <c r="H258" i="3"/>
  <c r="H266" i="3"/>
  <c r="H274" i="3"/>
  <c r="H282" i="3"/>
  <c r="H290" i="3"/>
  <c r="H298" i="3"/>
  <c r="H306" i="3"/>
  <c r="H314" i="3"/>
  <c r="H322" i="3"/>
  <c r="H330" i="3"/>
  <c r="H338" i="3"/>
  <c r="H346" i="3"/>
  <c r="H354" i="3"/>
  <c r="H362" i="3"/>
  <c r="H370" i="3"/>
  <c r="H378" i="3"/>
  <c r="H386" i="3"/>
  <c r="H394" i="3"/>
  <c r="H402" i="3"/>
  <c r="H410" i="3"/>
  <c r="H418" i="3"/>
  <c r="H426" i="3"/>
  <c r="H434" i="3"/>
  <c r="H442" i="3"/>
  <c r="H450" i="3"/>
  <c r="H458" i="3"/>
  <c r="H466" i="3"/>
  <c r="H474" i="3"/>
  <c r="H482" i="3"/>
  <c r="H490" i="3"/>
  <c r="H498" i="3"/>
  <c r="H506" i="3"/>
  <c r="H514" i="3"/>
  <c r="H522" i="3"/>
  <c r="H530" i="3"/>
  <c r="H538" i="3"/>
  <c r="U4" i="3"/>
  <c r="U12" i="3"/>
  <c r="U20" i="3"/>
  <c r="U28" i="3"/>
  <c r="U36" i="3"/>
  <c r="U44" i="3"/>
  <c r="U52" i="3"/>
  <c r="U60" i="3"/>
  <c r="U68" i="3"/>
  <c r="U76" i="3"/>
  <c r="U84" i="3"/>
  <c r="U92" i="3"/>
  <c r="U100" i="3"/>
  <c r="U108" i="3"/>
  <c r="U116" i="3"/>
  <c r="U124" i="3"/>
  <c r="U132" i="3"/>
  <c r="U140" i="3"/>
  <c r="U148" i="3"/>
  <c r="U156" i="3"/>
  <c r="U164" i="3"/>
  <c r="U172" i="3"/>
  <c r="U180" i="3"/>
  <c r="U188" i="3"/>
  <c r="U196" i="3"/>
  <c r="U204" i="3"/>
  <c r="U212" i="3"/>
  <c r="U220" i="3"/>
  <c r="U228" i="3"/>
  <c r="U236" i="3"/>
  <c r="U244" i="3"/>
  <c r="U252" i="3"/>
  <c r="U260" i="3"/>
  <c r="U268" i="3"/>
  <c r="U276" i="3"/>
  <c r="U284" i="3"/>
  <c r="U292" i="3"/>
  <c r="U300" i="3"/>
  <c r="U308" i="3"/>
  <c r="U316" i="3"/>
  <c r="U324" i="3"/>
  <c r="U332" i="3"/>
  <c r="U340" i="3"/>
  <c r="U348" i="3"/>
  <c r="U356" i="3"/>
  <c r="U364" i="3"/>
  <c r="U372" i="3"/>
  <c r="U380" i="3"/>
  <c r="U388" i="3"/>
  <c r="U396" i="3"/>
  <c r="U404" i="3"/>
  <c r="U412" i="3"/>
  <c r="U420" i="3"/>
  <c r="U428" i="3"/>
  <c r="U436" i="3"/>
  <c r="U444" i="3"/>
  <c r="U452" i="3"/>
  <c r="U460" i="3"/>
  <c r="U468" i="3"/>
  <c r="U476" i="3"/>
  <c r="U484" i="3"/>
  <c r="U492" i="3"/>
  <c r="U500" i="3"/>
  <c r="U508" i="3"/>
  <c r="U516" i="3"/>
  <c r="U524" i="3"/>
  <c r="U532" i="3"/>
  <c r="U540" i="3"/>
  <c r="P8" i="3"/>
  <c r="P16" i="3"/>
  <c r="P24" i="3"/>
  <c r="P32" i="3"/>
  <c r="P40" i="3"/>
  <c r="P48" i="3"/>
  <c r="P56" i="3"/>
  <c r="P64" i="3"/>
  <c r="P72" i="3"/>
  <c r="P80" i="3"/>
  <c r="P88" i="3"/>
  <c r="P96" i="3"/>
  <c r="P104" i="3"/>
  <c r="P112" i="3"/>
  <c r="P120" i="3"/>
  <c r="P128" i="3"/>
  <c r="P136" i="3"/>
  <c r="P144" i="3"/>
  <c r="P152" i="3"/>
  <c r="P160" i="3"/>
  <c r="P168" i="3"/>
  <c r="P176" i="3"/>
  <c r="P184" i="3"/>
  <c r="P192" i="3"/>
  <c r="P200" i="3"/>
  <c r="V150" i="3"/>
  <c r="V509" i="3"/>
  <c r="N31" i="3"/>
  <c r="N95" i="3"/>
  <c r="N159" i="3"/>
  <c r="N223" i="3"/>
  <c r="N287" i="3"/>
  <c r="N351" i="3"/>
  <c r="N415" i="3"/>
  <c r="N479" i="3"/>
  <c r="N543" i="3"/>
  <c r="I65" i="3"/>
  <c r="I129" i="3"/>
  <c r="I193" i="3"/>
  <c r="I257" i="3"/>
  <c r="I321" i="3"/>
  <c r="I385" i="3"/>
  <c r="I449" i="3"/>
  <c r="I513" i="3"/>
  <c r="H3" i="3"/>
  <c r="H23" i="3"/>
  <c r="H46" i="3"/>
  <c r="H67" i="3"/>
  <c r="H87" i="3"/>
  <c r="H110" i="3"/>
  <c r="H131" i="3"/>
  <c r="H139" i="3"/>
  <c r="H147" i="3"/>
  <c r="H155" i="3"/>
  <c r="H163" i="3"/>
  <c r="H171" i="3"/>
  <c r="H179" i="3"/>
  <c r="H187" i="3"/>
  <c r="H195" i="3"/>
  <c r="H203" i="3"/>
  <c r="H211" i="3"/>
  <c r="H219" i="3"/>
  <c r="H227" i="3"/>
  <c r="H235" i="3"/>
  <c r="H243" i="3"/>
  <c r="H251" i="3"/>
  <c r="H259" i="3"/>
  <c r="H267" i="3"/>
  <c r="H275" i="3"/>
  <c r="H283" i="3"/>
  <c r="H291" i="3"/>
  <c r="H299" i="3"/>
  <c r="H307" i="3"/>
  <c r="H315" i="3"/>
  <c r="H323" i="3"/>
  <c r="H331" i="3"/>
  <c r="H339" i="3"/>
  <c r="H347" i="3"/>
  <c r="H355" i="3"/>
  <c r="H363" i="3"/>
  <c r="H371" i="3"/>
  <c r="H379" i="3"/>
  <c r="H387" i="3"/>
  <c r="H395" i="3"/>
  <c r="H403" i="3"/>
  <c r="H411" i="3"/>
  <c r="H419" i="3"/>
  <c r="H427" i="3"/>
  <c r="H435" i="3"/>
  <c r="H443" i="3"/>
  <c r="H451" i="3"/>
  <c r="H459" i="3"/>
  <c r="H467" i="3"/>
  <c r="H475" i="3"/>
  <c r="H483" i="3"/>
  <c r="H491" i="3"/>
  <c r="H499" i="3"/>
  <c r="H507" i="3"/>
  <c r="H515" i="3"/>
  <c r="H523" i="3"/>
  <c r="H531" i="3"/>
  <c r="H539" i="3"/>
  <c r="U5" i="3"/>
  <c r="U13" i="3"/>
  <c r="U21" i="3"/>
  <c r="U29" i="3"/>
  <c r="U37" i="3"/>
  <c r="U45" i="3"/>
  <c r="U53" i="3"/>
  <c r="U61" i="3"/>
  <c r="U69" i="3"/>
  <c r="U77" i="3"/>
  <c r="U85" i="3"/>
  <c r="U93" i="3"/>
  <c r="U101" i="3"/>
  <c r="U109" i="3"/>
  <c r="U117" i="3"/>
  <c r="U125" i="3"/>
  <c r="U133" i="3"/>
  <c r="U141" i="3"/>
  <c r="U149" i="3"/>
  <c r="U157" i="3"/>
  <c r="U165" i="3"/>
  <c r="U173" i="3"/>
  <c r="U181" i="3"/>
  <c r="U189" i="3"/>
  <c r="U197" i="3"/>
  <c r="U205" i="3"/>
  <c r="U213" i="3"/>
  <c r="U221" i="3"/>
  <c r="U229" i="3"/>
  <c r="U237" i="3"/>
  <c r="U245" i="3"/>
  <c r="U253" i="3"/>
  <c r="U261" i="3"/>
  <c r="U269" i="3"/>
  <c r="U277" i="3"/>
  <c r="U285" i="3"/>
  <c r="U293" i="3"/>
  <c r="U301" i="3"/>
  <c r="U309" i="3"/>
  <c r="U317" i="3"/>
  <c r="U325" i="3"/>
  <c r="U333" i="3"/>
  <c r="U341" i="3"/>
  <c r="U349" i="3"/>
  <c r="U357" i="3"/>
  <c r="U365" i="3"/>
  <c r="U373" i="3"/>
  <c r="U381" i="3"/>
  <c r="U389" i="3"/>
  <c r="U397" i="3"/>
  <c r="U405" i="3"/>
  <c r="U413" i="3"/>
  <c r="U421" i="3"/>
  <c r="U429" i="3"/>
  <c r="U437" i="3"/>
  <c r="U445" i="3"/>
  <c r="U453" i="3"/>
  <c r="U461" i="3"/>
  <c r="U469" i="3"/>
  <c r="U477" i="3"/>
  <c r="U485" i="3"/>
  <c r="U493" i="3"/>
  <c r="U501" i="3"/>
  <c r="U509" i="3"/>
  <c r="U517" i="3"/>
  <c r="U525" i="3"/>
  <c r="U533" i="3"/>
  <c r="U541" i="3"/>
  <c r="P9" i="3"/>
  <c r="P17" i="3"/>
  <c r="P25" i="3"/>
  <c r="P33" i="3"/>
  <c r="P41" i="3"/>
  <c r="P49" i="3"/>
  <c r="P57" i="3"/>
  <c r="P65" i="3"/>
  <c r="P73" i="3"/>
  <c r="P81" i="3"/>
  <c r="P89" i="3"/>
  <c r="P97" i="3"/>
  <c r="P105" i="3"/>
  <c r="P113" i="3"/>
  <c r="P121" i="3"/>
  <c r="P129" i="3"/>
  <c r="P137" i="3"/>
  <c r="P145" i="3"/>
  <c r="P153" i="3"/>
  <c r="P161" i="3"/>
  <c r="P169" i="3"/>
  <c r="P177" i="3"/>
  <c r="P185" i="3"/>
  <c r="P193" i="3"/>
  <c r="P201" i="3"/>
  <c r="V278" i="3"/>
  <c r="V527" i="3"/>
  <c r="N47" i="3"/>
  <c r="N111" i="3"/>
  <c r="N175" i="3"/>
  <c r="N239" i="3"/>
  <c r="N303" i="3"/>
  <c r="N367" i="3"/>
  <c r="N431" i="3"/>
  <c r="N495" i="3"/>
  <c r="I17" i="3"/>
  <c r="I81" i="3"/>
  <c r="I145" i="3"/>
  <c r="I209" i="3"/>
  <c r="I273" i="3"/>
  <c r="I337" i="3"/>
  <c r="I401" i="3"/>
  <c r="I465" i="3"/>
  <c r="I529" i="3"/>
  <c r="H7" i="3"/>
  <c r="H30" i="3"/>
  <c r="H51" i="3"/>
  <c r="H71" i="3"/>
  <c r="H94" i="3"/>
  <c r="H115" i="3"/>
  <c r="H133" i="3"/>
  <c r="H141" i="3"/>
  <c r="H149" i="3"/>
  <c r="H157" i="3"/>
  <c r="H165" i="3"/>
  <c r="H173" i="3"/>
  <c r="H181" i="3"/>
  <c r="H189" i="3"/>
  <c r="H197" i="3"/>
  <c r="H205" i="3"/>
  <c r="H213" i="3"/>
  <c r="H221" i="3"/>
  <c r="H229" i="3"/>
  <c r="H237" i="3"/>
  <c r="H245" i="3"/>
  <c r="H253" i="3"/>
  <c r="H261" i="3"/>
  <c r="H269" i="3"/>
  <c r="H277" i="3"/>
  <c r="H285" i="3"/>
  <c r="H293" i="3"/>
  <c r="H301" i="3"/>
  <c r="H309" i="3"/>
  <c r="H317" i="3"/>
  <c r="H325" i="3"/>
  <c r="H333" i="3"/>
  <c r="H341" i="3"/>
  <c r="H349" i="3"/>
  <c r="H357" i="3"/>
  <c r="H365" i="3"/>
  <c r="H373" i="3"/>
  <c r="H381" i="3"/>
  <c r="H389" i="3"/>
  <c r="H397" i="3"/>
  <c r="H405" i="3"/>
  <c r="H413" i="3"/>
  <c r="H421" i="3"/>
  <c r="H429" i="3"/>
  <c r="H437" i="3"/>
  <c r="H445" i="3"/>
  <c r="H453" i="3"/>
  <c r="H461" i="3"/>
  <c r="H469" i="3"/>
  <c r="H477" i="3"/>
  <c r="H485" i="3"/>
  <c r="H493" i="3"/>
  <c r="H501" i="3"/>
  <c r="H509" i="3"/>
  <c r="H517" i="3"/>
  <c r="H525" i="3"/>
  <c r="H533" i="3"/>
  <c r="H541" i="3"/>
  <c r="U7" i="3"/>
  <c r="U15" i="3"/>
  <c r="U23" i="3"/>
  <c r="U31" i="3"/>
  <c r="U39" i="3"/>
  <c r="U47" i="3"/>
  <c r="U55" i="3"/>
  <c r="U63" i="3"/>
  <c r="U71" i="3"/>
  <c r="U79" i="3"/>
  <c r="U87" i="3"/>
  <c r="U95" i="3"/>
  <c r="U103" i="3"/>
  <c r="U111" i="3"/>
  <c r="U119" i="3"/>
  <c r="U127" i="3"/>
  <c r="U135" i="3"/>
  <c r="U143" i="3"/>
  <c r="U151" i="3"/>
  <c r="U159" i="3"/>
  <c r="U167" i="3"/>
  <c r="U175" i="3"/>
  <c r="U183" i="3"/>
  <c r="U191" i="3"/>
  <c r="U199" i="3"/>
  <c r="U207" i="3"/>
  <c r="U215" i="3"/>
  <c r="U223" i="3"/>
  <c r="U231" i="3"/>
  <c r="U239" i="3"/>
  <c r="U247" i="3"/>
  <c r="U255" i="3"/>
  <c r="U263" i="3"/>
  <c r="U271" i="3"/>
  <c r="U279" i="3"/>
  <c r="U287" i="3"/>
  <c r="U295" i="3"/>
  <c r="U303" i="3"/>
  <c r="U311" i="3"/>
  <c r="U319" i="3"/>
  <c r="U327" i="3"/>
  <c r="U335" i="3"/>
  <c r="U343" i="3"/>
  <c r="U351" i="3"/>
  <c r="U359" i="3"/>
  <c r="U367" i="3"/>
  <c r="U375" i="3"/>
  <c r="U383" i="3"/>
  <c r="U391" i="3"/>
  <c r="U399" i="3"/>
  <c r="U407" i="3"/>
  <c r="U415" i="3"/>
  <c r="U423" i="3"/>
  <c r="U431" i="3"/>
  <c r="U439" i="3"/>
  <c r="U447" i="3"/>
  <c r="U455" i="3"/>
  <c r="U463" i="3"/>
  <c r="U471" i="3"/>
  <c r="U479" i="3"/>
  <c r="U487" i="3"/>
  <c r="U495" i="3"/>
  <c r="U503" i="3"/>
  <c r="U511" i="3"/>
  <c r="U519" i="3"/>
  <c r="U527" i="3"/>
  <c r="U535" i="3"/>
  <c r="P2" i="3"/>
  <c r="P11" i="3"/>
  <c r="P19" i="3"/>
  <c r="P27" i="3"/>
  <c r="P35" i="3"/>
  <c r="P43" i="3"/>
  <c r="P51" i="3"/>
  <c r="P59" i="3"/>
  <c r="P67" i="3"/>
  <c r="P75" i="3"/>
  <c r="P83" i="3"/>
  <c r="P91" i="3"/>
  <c r="P99" i="3"/>
  <c r="P107" i="3"/>
  <c r="P115" i="3"/>
  <c r="P123" i="3"/>
  <c r="P131" i="3"/>
  <c r="P139" i="3"/>
  <c r="P147" i="3"/>
  <c r="P155" i="3"/>
  <c r="P163" i="3"/>
  <c r="P171" i="3"/>
  <c r="P179" i="3"/>
  <c r="P187" i="3"/>
  <c r="P195" i="3"/>
  <c r="V214" i="3"/>
  <c r="N423" i="3"/>
  <c r="I393" i="3"/>
  <c r="H111" i="3"/>
  <c r="H188" i="3"/>
  <c r="H252" i="3"/>
  <c r="H316" i="3"/>
  <c r="H380" i="3"/>
  <c r="H444" i="3"/>
  <c r="H508" i="3"/>
  <c r="U30" i="3"/>
  <c r="U94" i="3"/>
  <c r="U158" i="3"/>
  <c r="U222" i="3"/>
  <c r="U286" i="3"/>
  <c r="U350" i="3"/>
  <c r="U414" i="3"/>
  <c r="U478" i="3"/>
  <c r="U543" i="3"/>
  <c r="P66" i="3"/>
  <c r="P114" i="3"/>
  <c r="P135" i="3"/>
  <c r="P156" i="3"/>
  <c r="P175" i="3"/>
  <c r="P191" i="3"/>
  <c r="P205" i="3"/>
  <c r="P213" i="3"/>
  <c r="P221" i="3"/>
  <c r="P229" i="3"/>
  <c r="P237" i="3"/>
  <c r="P245" i="3"/>
  <c r="P253" i="3"/>
  <c r="P261" i="3"/>
  <c r="P269" i="3"/>
  <c r="P277" i="3"/>
  <c r="P285" i="3"/>
  <c r="P293" i="3"/>
  <c r="P301" i="3"/>
  <c r="P309" i="3"/>
  <c r="P317" i="3"/>
  <c r="P325" i="3"/>
  <c r="P333" i="3"/>
  <c r="P341" i="3"/>
  <c r="P349" i="3"/>
  <c r="P357" i="3"/>
  <c r="P365" i="3"/>
  <c r="P373" i="3"/>
  <c r="P381" i="3"/>
  <c r="P389" i="3"/>
  <c r="P397" i="3"/>
  <c r="P405" i="3"/>
  <c r="P413" i="3"/>
  <c r="P421" i="3"/>
  <c r="P429" i="3"/>
  <c r="P437" i="3"/>
  <c r="P445" i="3"/>
  <c r="P453" i="3"/>
  <c r="P461" i="3"/>
  <c r="P469" i="3"/>
  <c r="P477" i="3"/>
  <c r="P485" i="3"/>
  <c r="P493" i="3"/>
  <c r="P501" i="3"/>
  <c r="P509" i="3"/>
  <c r="P517" i="3"/>
  <c r="P525" i="3"/>
  <c r="P533" i="3"/>
  <c r="P541" i="3"/>
  <c r="O7" i="3"/>
  <c r="O15" i="3"/>
  <c r="O23" i="3"/>
  <c r="O31" i="3"/>
  <c r="O39" i="3"/>
  <c r="O47" i="3"/>
  <c r="O55" i="3"/>
  <c r="O63" i="3"/>
  <c r="O71" i="3"/>
  <c r="O79" i="3"/>
  <c r="O87" i="3"/>
  <c r="O95" i="3"/>
  <c r="O103" i="3"/>
  <c r="O111" i="3"/>
  <c r="O119" i="3"/>
  <c r="O127" i="3"/>
  <c r="O135" i="3"/>
  <c r="O143" i="3"/>
  <c r="V518" i="3"/>
  <c r="N487" i="3"/>
  <c r="I457" i="3"/>
  <c r="H132" i="3"/>
  <c r="H196" i="3"/>
  <c r="H260" i="3"/>
  <c r="H324" i="3"/>
  <c r="H388" i="3"/>
  <c r="H452" i="3"/>
  <c r="H516" i="3"/>
  <c r="U38" i="3"/>
  <c r="U102" i="3"/>
  <c r="U166" i="3"/>
  <c r="U230" i="3"/>
  <c r="U294" i="3"/>
  <c r="U358" i="3"/>
  <c r="U422" i="3"/>
  <c r="U486" i="3"/>
  <c r="P10" i="3"/>
  <c r="P74" i="3"/>
  <c r="P116" i="3"/>
  <c r="P138" i="3"/>
  <c r="P159" i="3"/>
  <c r="P178" i="3"/>
  <c r="P194" i="3"/>
  <c r="P206" i="3"/>
  <c r="P214" i="3"/>
  <c r="P222" i="3"/>
  <c r="P230" i="3"/>
  <c r="P238" i="3"/>
  <c r="P246" i="3"/>
  <c r="P254" i="3"/>
  <c r="P262" i="3"/>
  <c r="P270" i="3"/>
  <c r="P278" i="3"/>
  <c r="P286" i="3"/>
  <c r="P294" i="3"/>
  <c r="P302" i="3"/>
  <c r="P310" i="3"/>
  <c r="P318" i="3"/>
  <c r="P326" i="3"/>
  <c r="P334" i="3"/>
  <c r="P342" i="3"/>
  <c r="P350" i="3"/>
  <c r="P358" i="3"/>
  <c r="P366" i="3"/>
  <c r="P374" i="3"/>
  <c r="P382" i="3"/>
  <c r="P390" i="3"/>
  <c r="P398" i="3"/>
  <c r="P406" i="3"/>
  <c r="P414" i="3"/>
  <c r="P422" i="3"/>
  <c r="P430" i="3"/>
  <c r="P438" i="3"/>
  <c r="P446" i="3"/>
  <c r="P454" i="3"/>
  <c r="P462" i="3"/>
  <c r="P470" i="3"/>
  <c r="P478" i="3"/>
  <c r="P486" i="3"/>
  <c r="P494" i="3"/>
  <c r="P502" i="3"/>
  <c r="P510" i="3"/>
  <c r="P518" i="3"/>
  <c r="P526" i="3"/>
  <c r="P534" i="3"/>
  <c r="P542" i="3"/>
  <c r="O8" i="3"/>
  <c r="O16" i="3"/>
  <c r="O24" i="3"/>
  <c r="O32" i="3"/>
  <c r="O40" i="3"/>
  <c r="O48" i="3"/>
  <c r="O56" i="3"/>
  <c r="O64" i="3"/>
  <c r="O72" i="3"/>
  <c r="O80" i="3"/>
  <c r="O88" i="3"/>
  <c r="O96" i="3"/>
  <c r="O104" i="3"/>
  <c r="O112" i="3"/>
  <c r="O120" i="3"/>
  <c r="O128" i="3"/>
  <c r="O136" i="3"/>
  <c r="O144" i="3"/>
  <c r="N39" i="3"/>
  <c r="I9" i="3"/>
  <c r="I521" i="3"/>
  <c r="H140" i="3"/>
  <c r="H204" i="3"/>
  <c r="H268" i="3"/>
  <c r="H332" i="3"/>
  <c r="H396" i="3"/>
  <c r="H460" i="3"/>
  <c r="H524" i="3"/>
  <c r="U46" i="3"/>
  <c r="U110" i="3"/>
  <c r="U174" i="3"/>
  <c r="U238" i="3"/>
  <c r="U302" i="3"/>
  <c r="U366" i="3"/>
  <c r="U430" i="3"/>
  <c r="U494" i="3"/>
  <c r="P18" i="3"/>
  <c r="P82" i="3"/>
  <c r="P119" i="3"/>
  <c r="P140" i="3"/>
  <c r="P162" i="3"/>
  <c r="P180" i="3"/>
  <c r="P196" i="3"/>
  <c r="P207" i="3"/>
  <c r="P215" i="3"/>
  <c r="P223" i="3"/>
  <c r="P231" i="3"/>
  <c r="P239" i="3"/>
  <c r="P247" i="3"/>
  <c r="P255" i="3"/>
  <c r="P263" i="3"/>
  <c r="P271" i="3"/>
  <c r="P279" i="3"/>
  <c r="P287" i="3"/>
  <c r="P295" i="3"/>
  <c r="P303" i="3"/>
  <c r="P311" i="3"/>
  <c r="P319" i="3"/>
  <c r="P327" i="3"/>
  <c r="P335" i="3"/>
  <c r="P343" i="3"/>
  <c r="P351" i="3"/>
  <c r="P359" i="3"/>
  <c r="P367" i="3"/>
  <c r="P375" i="3"/>
  <c r="P383" i="3"/>
  <c r="P391" i="3"/>
  <c r="P399" i="3"/>
  <c r="P407" i="3"/>
  <c r="P415" i="3"/>
  <c r="P423" i="3"/>
  <c r="P431" i="3"/>
  <c r="P439" i="3"/>
  <c r="P447" i="3"/>
  <c r="P455" i="3"/>
  <c r="P463" i="3"/>
  <c r="P471" i="3"/>
  <c r="P479" i="3"/>
  <c r="P487" i="3"/>
  <c r="P495" i="3"/>
  <c r="P503" i="3"/>
  <c r="P511" i="3"/>
  <c r="P519" i="3"/>
  <c r="P527" i="3"/>
  <c r="P535" i="3"/>
  <c r="P543" i="3"/>
  <c r="O9" i="3"/>
  <c r="O17" i="3"/>
  <c r="O25" i="3"/>
  <c r="O33" i="3"/>
  <c r="O41" i="3"/>
  <c r="O49" i="3"/>
  <c r="N103" i="3"/>
  <c r="I73" i="3"/>
  <c r="H6" i="3"/>
  <c r="H148" i="3"/>
  <c r="H212" i="3"/>
  <c r="H276" i="3"/>
  <c r="H340" i="3"/>
  <c r="H404" i="3"/>
  <c r="H468" i="3"/>
  <c r="H532" i="3"/>
  <c r="U54" i="3"/>
  <c r="U118" i="3"/>
  <c r="U182" i="3"/>
  <c r="U246" i="3"/>
  <c r="U310" i="3"/>
  <c r="U374" i="3"/>
  <c r="U438" i="3"/>
  <c r="U502" i="3"/>
  <c r="P26" i="3"/>
  <c r="P90" i="3"/>
  <c r="P122" i="3"/>
  <c r="P143" i="3"/>
  <c r="P164" i="3"/>
  <c r="P182" i="3"/>
  <c r="P198" i="3"/>
  <c r="P208" i="3"/>
  <c r="P216" i="3"/>
  <c r="P224" i="3"/>
  <c r="P232" i="3"/>
  <c r="P240" i="3"/>
  <c r="P248" i="3"/>
  <c r="P256" i="3"/>
  <c r="P264" i="3"/>
  <c r="P272" i="3"/>
  <c r="P280" i="3"/>
  <c r="P288" i="3"/>
  <c r="P296" i="3"/>
  <c r="P304" i="3"/>
  <c r="P312" i="3"/>
  <c r="P320" i="3"/>
  <c r="P328" i="3"/>
  <c r="P336" i="3"/>
  <c r="P344" i="3"/>
  <c r="P352" i="3"/>
  <c r="P360" i="3"/>
  <c r="P368" i="3"/>
  <c r="P376" i="3"/>
  <c r="P384" i="3"/>
  <c r="P392" i="3"/>
  <c r="P400" i="3"/>
  <c r="P408" i="3"/>
  <c r="P416" i="3"/>
  <c r="P424" i="3"/>
  <c r="P432" i="3"/>
  <c r="P440" i="3"/>
  <c r="P448" i="3"/>
  <c r="P456" i="3"/>
  <c r="P464" i="3"/>
  <c r="P472" i="3"/>
  <c r="P480" i="3"/>
  <c r="P488" i="3"/>
  <c r="P496" i="3"/>
  <c r="P504" i="3"/>
  <c r="P512" i="3"/>
  <c r="P520" i="3"/>
  <c r="P528" i="3"/>
  <c r="P536" i="3"/>
  <c r="O2" i="3"/>
  <c r="O10" i="3"/>
  <c r="O18" i="3"/>
  <c r="O26" i="3"/>
  <c r="O34" i="3"/>
  <c r="O42" i="3"/>
  <c r="O50" i="3"/>
  <c r="O58" i="3"/>
  <c r="N167" i="3"/>
  <c r="I137" i="3"/>
  <c r="H27" i="3"/>
  <c r="H156" i="3"/>
  <c r="H220" i="3"/>
  <c r="H284" i="3"/>
  <c r="H348" i="3"/>
  <c r="H412" i="3"/>
  <c r="H476" i="3"/>
  <c r="H540" i="3"/>
  <c r="U62" i="3"/>
  <c r="U126" i="3"/>
  <c r="U190" i="3"/>
  <c r="U254" i="3"/>
  <c r="U318" i="3"/>
  <c r="U382" i="3"/>
  <c r="U446" i="3"/>
  <c r="U510" i="3"/>
  <c r="P34" i="3"/>
  <c r="P98" i="3"/>
  <c r="P124" i="3"/>
  <c r="P146" i="3"/>
  <c r="P167" i="3"/>
  <c r="P183" i="3"/>
  <c r="P199" i="3"/>
  <c r="P209" i="3"/>
  <c r="P217" i="3"/>
  <c r="P225" i="3"/>
  <c r="P233" i="3"/>
  <c r="P241" i="3"/>
  <c r="P249" i="3"/>
  <c r="P257" i="3"/>
  <c r="P265" i="3"/>
  <c r="P273" i="3"/>
  <c r="P281" i="3"/>
  <c r="P289" i="3"/>
  <c r="P297" i="3"/>
  <c r="P305" i="3"/>
  <c r="P313" i="3"/>
  <c r="P321" i="3"/>
  <c r="P329" i="3"/>
  <c r="P337" i="3"/>
  <c r="P345" i="3"/>
  <c r="P353" i="3"/>
  <c r="P361" i="3"/>
  <c r="P369" i="3"/>
  <c r="P377" i="3"/>
  <c r="P385" i="3"/>
  <c r="P393" i="3"/>
  <c r="P401" i="3"/>
  <c r="P409" i="3"/>
  <c r="P417" i="3"/>
  <c r="P425" i="3"/>
  <c r="P433" i="3"/>
  <c r="P441" i="3"/>
  <c r="P449" i="3"/>
  <c r="P457" i="3"/>
  <c r="P465" i="3"/>
  <c r="P473" i="3"/>
  <c r="P481" i="3"/>
  <c r="P489" i="3"/>
  <c r="P497" i="3"/>
  <c r="P505" i="3"/>
  <c r="P513" i="3"/>
  <c r="P521" i="3"/>
  <c r="P529" i="3"/>
  <c r="P537" i="3"/>
  <c r="O3" i="3"/>
  <c r="O11" i="3"/>
  <c r="O19" i="3"/>
  <c r="O27" i="3"/>
  <c r="O35" i="3"/>
  <c r="O43" i="3"/>
  <c r="O51" i="3"/>
  <c r="O59" i="3"/>
  <c r="O67" i="3"/>
  <c r="O75" i="3"/>
  <c r="O83" i="3"/>
  <c r="O91" i="3"/>
  <c r="O99" i="3"/>
  <c r="O107" i="3"/>
  <c r="O115" i="3"/>
  <c r="O123" i="3"/>
  <c r="O131" i="3"/>
  <c r="O139" i="3"/>
  <c r="N231" i="3"/>
  <c r="I201" i="3"/>
  <c r="H47" i="3"/>
  <c r="H164" i="3"/>
  <c r="H228" i="3"/>
  <c r="H292" i="3"/>
  <c r="H356" i="3"/>
  <c r="H420" i="3"/>
  <c r="H484" i="3"/>
  <c r="U6" i="3"/>
  <c r="U70" i="3"/>
  <c r="U134" i="3"/>
  <c r="U198" i="3"/>
  <c r="U262" i="3"/>
  <c r="U326" i="3"/>
  <c r="U390" i="3"/>
  <c r="U454" i="3"/>
  <c r="U518" i="3"/>
  <c r="P42" i="3"/>
  <c r="P106" i="3"/>
  <c r="P127" i="3"/>
  <c r="P148" i="3"/>
  <c r="P170" i="3"/>
  <c r="P186" i="3"/>
  <c r="P202" i="3"/>
  <c r="P210" i="3"/>
  <c r="P218" i="3"/>
  <c r="P226" i="3"/>
  <c r="P234" i="3"/>
  <c r="P242" i="3"/>
  <c r="P250" i="3"/>
  <c r="P258" i="3"/>
  <c r="P266" i="3"/>
  <c r="P274" i="3"/>
  <c r="P282" i="3"/>
  <c r="P290" i="3"/>
  <c r="P298" i="3"/>
  <c r="P306" i="3"/>
  <c r="P314" i="3"/>
  <c r="P322" i="3"/>
  <c r="P330" i="3"/>
  <c r="P338" i="3"/>
  <c r="P346" i="3"/>
  <c r="P354" i="3"/>
  <c r="P362" i="3"/>
  <c r="P370" i="3"/>
  <c r="P378" i="3"/>
  <c r="P386" i="3"/>
  <c r="P394" i="3"/>
  <c r="P402" i="3"/>
  <c r="P410" i="3"/>
  <c r="P418" i="3"/>
  <c r="P426" i="3"/>
  <c r="P434" i="3"/>
  <c r="P442" i="3"/>
  <c r="P450" i="3"/>
  <c r="P458" i="3"/>
  <c r="P466" i="3"/>
  <c r="P474" i="3"/>
  <c r="P482" i="3"/>
  <c r="P490" i="3"/>
  <c r="P498" i="3"/>
  <c r="P506" i="3"/>
  <c r="P514" i="3"/>
  <c r="P522" i="3"/>
  <c r="P530" i="3"/>
  <c r="P538" i="3"/>
  <c r="O4" i="3"/>
  <c r="O12" i="3"/>
  <c r="O20" i="3"/>
  <c r="O28" i="3"/>
  <c r="O36" i="3"/>
  <c r="O44" i="3"/>
  <c r="O52" i="3"/>
  <c r="O60" i="3"/>
  <c r="O68" i="3"/>
  <c r="O76" i="3"/>
  <c r="O84" i="3"/>
  <c r="O92" i="3"/>
  <c r="O100" i="3"/>
  <c r="O108" i="3"/>
  <c r="O116" i="3"/>
  <c r="N295" i="3"/>
  <c r="I265" i="3"/>
  <c r="H70" i="3"/>
  <c r="H172" i="3"/>
  <c r="H236" i="3"/>
  <c r="H300" i="3"/>
  <c r="H364" i="3"/>
  <c r="H428" i="3"/>
  <c r="H492" i="3"/>
  <c r="U14" i="3"/>
  <c r="U78" i="3"/>
  <c r="U142" i="3"/>
  <c r="U206" i="3"/>
  <c r="U270" i="3"/>
  <c r="U334" i="3"/>
  <c r="U398" i="3"/>
  <c r="U462" i="3"/>
  <c r="U526" i="3"/>
  <c r="P50" i="3"/>
  <c r="P108" i="3"/>
  <c r="P130" i="3"/>
  <c r="P151" i="3"/>
  <c r="P172" i="3"/>
  <c r="P188" i="3"/>
  <c r="P203" i="3"/>
  <c r="P211" i="3"/>
  <c r="P219" i="3"/>
  <c r="P227" i="3"/>
  <c r="P235" i="3"/>
  <c r="P243" i="3"/>
  <c r="P251" i="3"/>
  <c r="P259" i="3"/>
  <c r="P267" i="3"/>
  <c r="P275" i="3"/>
  <c r="P283" i="3"/>
  <c r="P291" i="3"/>
  <c r="P299" i="3"/>
  <c r="P307" i="3"/>
  <c r="P315" i="3"/>
  <c r="P323" i="3"/>
  <c r="P331" i="3"/>
  <c r="P339" i="3"/>
  <c r="P347" i="3"/>
  <c r="P355" i="3"/>
  <c r="P363" i="3"/>
  <c r="P371" i="3"/>
  <c r="P379" i="3"/>
  <c r="P387" i="3"/>
  <c r="P395" i="3"/>
  <c r="P403" i="3"/>
  <c r="P411" i="3"/>
  <c r="P419" i="3"/>
  <c r="P427" i="3"/>
  <c r="P435" i="3"/>
  <c r="P443" i="3"/>
  <c r="P451" i="3"/>
  <c r="P459" i="3"/>
  <c r="P467" i="3"/>
  <c r="P475" i="3"/>
  <c r="P483" i="3"/>
  <c r="P491" i="3"/>
  <c r="P499" i="3"/>
  <c r="P507" i="3"/>
  <c r="P515" i="3"/>
  <c r="P523" i="3"/>
  <c r="P531" i="3"/>
  <c r="P539" i="3"/>
  <c r="O5" i="3"/>
  <c r="O13" i="3"/>
  <c r="O21" i="3"/>
  <c r="O29" i="3"/>
  <c r="O37" i="3"/>
  <c r="O45" i="3"/>
  <c r="O53" i="3"/>
  <c r="O61" i="3"/>
  <c r="O69" i="3"/>
  <c r="O77" i="3"/>
  <c r="O85" i="3"/>
  <c r="O93" i="3"/>
  <c r="O101" i="3"/>
  <c r="O109" i="3"/>
  <c r="O117" i="3"/>
  <c r="O125" i="3"/>
  <c r="O133" i="3"/>
  <c r="O141" i="3"/>
  <c r="N359" i="3"/>
  <c r="H500" i="3"/>
  <c r="U470" i="3"/>
  <c r="P204" i="3"/>
  <c r="P268" i="3"/>
  <c r="P332" i="3"/>
  <c r="P396" i="3"/>
  <c r="P460" i="3"/>
  <c r="P524" i="3"/>
  <c r="O46" i="3"/>
  <c r="O74" i="3"/>
  <c r="O97" i="3"/>
  <c r="O118" i="3"/>
  <c r="O134" i="3"/>
  <c r="O148" i="3"/>
  <c r="O156" i="3"/>
  <c r="O164" i="3"/>
  <c r="O172" i="3"/>
  <c r="O180" i="3"/>
  <c r="O188" i="3"/>
  <c r="O196" i="3"/>
  <c r="O204" i="3"/>
  <c r="O212" i="3"/>
  <c r="O220" i="3"/>
  <c r="O228" i="3"/>
  <c r="O236" i="3"/>
  <c r="O244" i="3"/>
  <c r="O252" i="3"/>
  <c r="O260" i="3"/>
  <c r="O268" i="3"/>
  <c r="O276" i="3"/>
  <c r="O284" i="3"/>
  <c r="O292" i="3"/>
  <c r="O300" i="3"/>
  <c r="O308" i="3"/>
  <c r="O316" i="3"/>
  <c r="O324" i="3"/>
  <c r="O332" i="3"/>
  <c r="O340" i="3"/>
  <c r="O348" i="3"/>
  <c r="O356" i="3"/>
  <c r="O364" i="3"/>
  <c r="O372" i="3"/>
  <c r="O380" i="3"/>
  <c r="O388" i="3"/>
  <c r="O396" i="3"/>
  <c r="O404" i="3"/>
  <c r="O412" i="3"/>
  <c r="O420" i="3"/>
  <c r="O428" i="3"/>
  <c r="O436" i="3"/>
  <c r="O444" i="3"/>
  <c r="O452" i="3"/>
  <c r="O460" i="3"/>
  <c r="O468" i="3"/>
  <c r="O476" i="3"/>
  <c r="O484" i="3"/>
  <c r="O492" i="3"/>
  <c r="O500" i="3"/>
  <c r="O508" i="3"/>
  <c r="O516" i="3"/>
  <c r="O524" i="3"/>
  <c r="O532" i="3"/>
  <c r="O540" i="3"/>
  <c r="P190" i="3"/>
  <c r="O114" i="3"/>
  <c r="O195" i="3"/>
  <c r="O251" i="3"/>
  <c r="O307" i="3"/>
  <c r="O363" i="3"/>
  <c r="O419" i="3"/>
  <c r="O475" i="3"/>
  <c r="O531" i="3"/>
  <c r="I329" i="3"/>
  <c r="U22" i="3"/>
  <c r="U534" i="3"/>
  <c r="P212" i="3"/>
  <c r="P276" i="3"/>
  <c r="P340" i="3"/>
  <c r="P404" i="3"/>
  <c r="P468" i="3"/>
  <c r="P532" i="3"/>
  <c r="O54" i="3"/>
  <c r="O78" i="3"/>
  <c r="O98" i="3"/>
  <c r="O121" i="3"/>
  <c r="O137" i="3"/>
  <c r="O149" i="3"/>
  <c r="O157" i="3"/>
  <c r="O165" i="3"/>
  <c r="O173" i="3"/>
  <c r="O181" i="3"/>
  <c r="O189" i="3"/>
  <c r="O197" i="3"/>
  <c r="O205" i="3"/>
  <c r="O213" i="3"/>
  <c r="O221" i="3"/>
  <c r="O229" i="3"/>
  <c r="O237" i="3"/>
  <c r="O245" i="3"/>
  <c r="O253" i="3"/>
  <c r="O261" i="3"/>
  <c r="O269" i="3"/>
  <c r="O277" i="3"/>
  <c r="O285" i="3"/>
  <c r="O293" i="3"/>
  <c r="O301" i="3"/>
  <c r="O309" i="3"/>
  <c r="O317" i="3"/>
  <c r="O325" i="3"/>
  <c r="O333" i="3"/>
  <c r="O341" i="3"/>
  <c r="O349" i="3"/>
  <c r="O357" i="3"/>
  <c r="O365" i="3"/>
  <c r="O373" i="3"/>
  <c r="O381" i="3"/>
  <c r="O389" i="3"/>
  <c r="O397" i="3"/>
  <c r="O405" i="3"/>
  <c r="O413" i="3"/>
  <c r="O421" i="3"/>
  <c r="O429" i="3"/>
  <c r="O437" i="3"/>
  <c r="O445" i="3"/>
  <c r="O453" i="3"/>
  <c r="O461" i="3"/>
  <c r="O469" i="3"/>
  <c r="O477" i="3"/>
  <c r="O485" i="3"/>
  <c r="O493" i="3"/>
  <c r="O501" i="3"/>
  <c r="O509" i="3"/>
  <c r="O517" i="3"/>
  <c r="O525" i="3"/>
  <c r="O533" i="3"/>
  <c r="O541" i="3"/>
  <c r="P388" i="3"/>
  <c r="O38" i="3"/>
  <c r="O155" i="3"/>
  <c r="O219" i="3"/>
  <c r="O275" i="3"/>
  <c r="O323" i="3"/>
  <c r="O403" i="3"/>
  <c r="O459" i="3"/>
  <c r="O523" i="3"/>
  <c r="H91" i="3"/>
  <c r="U86" i="3"/>
  <c r="P58" i="3"/>
  <c r="P220" i="3"/>
  <c r="P284" i="3"/>
  <c r="P348" i="3"/>
  <c r="P412" i="3"/>
  <c r="P476" i="3"/>
  <c r="P540" i="3"/>
  <c r="O57" i="3"/>
  <c r="O81" i="3"/>
  <c r="O102" i="3"/>
  <c r="O122" i="3"/>
  <c r="O138" i="3"/>
  <c r="O150" i="3"/>
  <c r="O158" i="3"/>
  <c r="O166" i="3"/>
  <c r="O174" i="3"/>
  <c r="O182" i="3"/>
  <c r="O190" i="3"/>
  <c r="O198" i="3"/>
  <c r="O206" i="3"/>
  <c r="O214" i="3"/>
  <c r="O222" i="3"/>
  <c r="O230" i="3"/>
  <c r="O238" i="3"/>
  <c r="O246" i="3"/>
  <c r="O254" i="3"/>
  <c r="O262" i="3"/>
  <c r="O270" i="3"/>
  <c r="O278" i="3"/>
  <c r="O286" i="3"/>
  <c r="O294" i="3"/>
  <c r="O302" i="3"/>
  <c r="O310" i="3"/>
  <c r="O318" i="3"/>
  <c r="O326" i="3"/>
  <c r="O334" i="3"/>
  <c r="O342" i="3"/>
  <c r="O350" i="3"/>
  <c r="O358" i="3"/>
  <c r="O366" i="3"/>
  <c r="O374" i="3"/>
  <c r="O382" i="3"/>
  <c r="O390" i="3"/>
  <c r="O398" i="3"/>
  <c r="O406" i="3"/>
  <c r="O414" i="3"/>
  <c r="O422" i="3"/>
  <c r="O430" i="3"/>
  <c r="O438" i="3"/>
  <c r="O446" i="3"/>
  <c r="O454" i="3"/>
  <c r="O462" i="3"/>
  <c r="O470" i="3"/>
  <c r="O478" i="3"/>
  <c r="O486" i="3"/>
  <c r="O494" i="3"/>
  <c r="O502" i="3"/>
  <c r="O510" i="3"/>
  <c r="O518" i="3"/>
  <c r="O526" i="3"/>
  <c r="O534" i="3"/>
  <c r="O543" i="3"/>
  <c r="P452" i="3"/>
  <c r="O132" i="3"/>
  <c r="O179" i="3"/>
  <c r="O243" i="3"/>
  <c r="O299" i="3"/>
  <c r="O355" i="3"/>
  <c r="O395" i="3"/>
  <c r="O451" i="3"/>
  <c r="O507" i="3"/>
  <c r="H180" i="3"/>
  <c r="U150" i="3"/>
  <c r="P111" i="3"/>
  <c r="P228" i="3"/>
  <c r="P292" i="3"/>
  <c r="P356" i="3"/>
  <c r="P420" i="3"/>
  <c r="P484" i="3"/>
  <c r="O6" i="3"/>
  <c r="O62" i="3"/>
  <c r="O82" i="3"/>
  <c r="O105" i="3"/>
  <c r="O124" i="3"/>
  <c r="O140" i="3"/>
  <c r="O151" i="3"/>
  <c r="O159" i="3"/>
  <c r="O167" i="3"/>
  <c r="O175" i="3"/>
  <c r="O183" i="3"/>
  <c r="O191" i="3"/>
  <c r="O199" i="3"/>
  <c r="O207" i="3"/>
  <c r="O215" i="3"/>
  <c r="O223" i="3"/>
  <c r="O231" i="3"/>
  <c r="O239" i="3"/>
  <c r="O247" i="3"/>
  <c r="O255" i="3"/>
  <c r="O263" i="3"/>
  <c r="O271" i="3"/>
  <c r="O279" i="3"/>
  <c r="O287" i="3"/>
  <c r="O295" i="3"/>
  <c r="O303" i="3"/>
  <c r="O311" i="3"/>
  <c r="O319" i="3"/>
  <c r="O327" i="3"/>
  <c r="O335" i="3"/>
  <c r="O343" i="3"/>
  <c r="O351" i="3"/>
  <c r="O359" i="3"/>
  <c r="O367" i="3"/>
  <c r="O375" i="3"/>
  <c r="O383" i="3"/>
  <c r="O391" i="3"/>
  <c r="O399" i="3"/>
  <c r="O407" i="3"/>
  <c r="O415" i="3"/>
  <c r="O423" i="3"/>
  <c r="O431" i="3"/>
  <c r="O439" i="3"/>
  <c r="O447" i="3"/>
  <c r="O455" i="3"/>
  <c r="O463" i="3"/>
  <c r="O471" i="3"/>
  <c r="O479" i="3"/>
  <c r="O487" i="3"/>
  <c r="O495" i="3"/>
  <c r="O503" i="3"/>
  <c r="O511" i="3"/>
  <c r="O519" i="3"/>
  <c r="O527" i="3"/>
  <c r="O535" i="3"/>
  <c r="U406" i="3"/>
  <c r="O73" i="3"/>
  <c r="O187" i="3"/>
  <c r="O235" i="3"/>
  <c r="O283" i="3"/>
  <c r="O339" i="3"/>
  <c r="O411" i="3"/>
  <c r="O467" i="3"/>
  <c r="O515" i="3"/>
  <c r="H244" i="3"/>
  <c r="U214" i="3"/>
  <c r="P132" i="3"/>
  <c r="P236" i="3"/>
  <c r="P300" i="3"/>
  <c r="P364" i="3"/>
  <c r="P428" i="3"/>
  <c r="P492" i="3"/>
  <c r="O14" i="3"/>
  <c r="O65" i="3"/>
  <c r="O86" i="3"/>
  <c r="O106" i="3"/>
  <c r="O126" i="3"/>
  <c r="O142" i="3"/>
  <c r="O152" i="3"/>
  <c r="O160" i="3"/>
  <c r="O168" i="3"/>
  <c r="O176" i="3"/>
  <c r="O184" i="3"/>
  <c r="O192" i="3"/>
  <c r="O200" i="3"/>
  <c r="O208" i="3"/>
  <c r="O216" i="3"/>
  <c r="O224" i="3"/>
  <c r="O232" i="3"/>
  <c r="O240" i="3"/>
  <c r="O248" i="3"/>
  <c r="O256" i="3"/>
  <c r="O264" i="3"/>
  <c r="O272" i="3"/>
  <c r="O280" i="3"/>
  <c r="O288" i="3"/>
  <c r="O296" i="3"/>
  <c r="O304" i="3"/>
  <c r="O312" i="3"/>
  <c r="O320" i="3"/>
  <c r="O328" i="3"/>
  <c r="O336" i="3"/>
  <c r="O344" i="3"/>
  <c r="O352" i="3"/>
  <c r="O360" i="3"/>
  <c r="O368" i="3"/>
  <c r="O376" i="3"/>
  <c r="O384" i="3"/>
  <c r="O392" i="3"/>
  <c r="O400" i="3"/>
  <c r="O408" i="3"/>
  <c r="O416" i="3"/>
  <c r="O424" i="3"/>
  <c r="O432" i="3"/>
  <c r="O440" i="3"/>
  <c r="O448" i="3"/>
  <c r="O456" i="3"/>
  <c r="O464" i="3"/>
  <c r="O472" i="3"/>
  <c r="O480" i="3"/>
  <c r="O488" i="3"/>
  <c r="O496" i="3"/>
  <c r="O504" i="3"/>
  <c r="O512" i="3"/>
  <c r="O520" i="3"/>
  <c r="O528" i="3"/>
  <c r="O536" i="3"/>
  <c r="P260" i="3"/>
  <c r="P516" i="3"/>
  <c r="O163" i="3"/>
  <c r="O211" i="3"/>
  <c r="O267" i="3"/>
  <c r="O331" i="3"/>
  <c r="O379" i="3"/>
  <c r="O435" i="3"/>
  <c r="O491" i="3"/>
  <c r="H308" i="3"/>
  <c r="U278" i="3"/>
  <c r="P154" i="3"/>
  <c r="P244" i="3"/>
  <c r="P308" i="3"/>
  <c r="P372" i="3"/>
  <c r="P436" i="3"/>
  <c r="P500" i="3"/>
  <c r="O22" i="3"/>
  <c r="O66" i="3"/>
  <c r="O89" i="3"/>
  <c r="O110" i="3"/>
  <c r="O129" i="3"/>
  <c r="O145" i="3"/>
  <c r="O153" i="3"/>
  <c r="O161" i="3"/>
  <c r="O169" i="3"/>
  <c r="O177" i="3"/>
  <c r="O185" i="3"/>
  <c r="O193" i="3"/>
  <c r="O201" i="3"/>
  <c r="O209" i="3"/>
  <c r="O217" i="3"/>
  <c r="O225" i="3"/>
  <c r="O233" i="3"/>
  <c r="O241" i="3"/>
  <c r="O249" i="3"/>
  <c r="O257" i="3"/>
  <c r="O265" i="3"/>
  <c r="O273" i="3"/>
  <c r="O281" i="3"/>
  <c r="O289" i="3"/>
  <c r="O297" i="3"/>
  <c r="O305" i="3"/>
  <c r="O313" i="3"/>
  <c r="O321" i="3"/>
  <c r="O329" i="3"/>
  <c r="O337" i="3"/>
  <c r="O345" i="3"/>
  <c r="O353" i="3"/>
  <c r="O361" i="3"/>
  <c r="O369" i="3"/>
  <c r="O377" i="3"/>
  <c r="O385" i="3"/>
  <c r="O393" i="3"/>
  <c r="O401" i="3"/>
  <c r="O409" i="3"/>
  <c r="O417" i="3"/>
  <c r="O425" i="3"/>
  <c r="O433" i="3"/>
  <c r="O441" i="3"/>
  <c r="O449" i="3"/>
  <c r="O457" i="3"/>
  <c r="O465" i="3"/>
  <c r="O473" i="3"/>
  <c r="O481" i="3"/>
  <c r="O489" i="3"/>
  <c r="O497" i="3"/>
  <c r="O505" i="3"/>
  <c r="O513" i="3"/>
  <c r="O521" i="3"/>
  <c r="O529" i="3"/>
  <c r="O537" i="3"/>
  <c r="H436" i="3"/>
  <c r="O94" i="3"/>
  <c r="O171" i="3"/>
  <c r="O227" i="3"/>
  <c r="O291" i="3"/>
  <c r="O347" i="3"/>
  <c r="O387" i="3"/>
  <c r="O443" i="3"/>
  <c r="O499" i="3"/>
  <c r="H372" i="3"/>
  <c r="U342" i="3"/>
  <c r="P174" i="3"/>
  <c r="P252" i="3"/>
  <c r="P316" i="3"/>
  <c r="P380" i="3"/>
  <c r="P444" i="3"/>
  <c r="P508" i="3"/>
  <c r="O30" i="3"/>
  <c r="O70" i="3"/>
  <c r="O90" i="3"/>
  <c r="O113" i="3"/>
  <c r="O130" i="3"/>
  <c r="O146" i="3"/>
  <c r="O154" i="3"/>
  <c r="O162" i="3"/>
  <c r="O170" i="3"/>
  <c r="O178" i="3"/>
  <c r="O186" i="3"/>
  <c r="O194" i="3"/>
  <c r="O202" i="3"/>
  <c r="O210" i="3"/>
  <c r="O218" i="3"/>
  <c r="O226" i="3"/>
  <c r="O234" i="3"/>
  <c r="O242" i="3"/>
  <c r="O250" i="3"/>
  <c r="O258" i="3"/>
  <c r="O266" i="3"/>
  <c r="O274" i="3"/>
  <c r="O282" i="3"/>
  <c r="O290" i="3"/>
  <c r="O298" i="3"/>
  <c r="O306" i="3"/>
  <c r="O314" i="3"/>
  <c r="O322" i="3"/>
  <c r="O330" i="3"/>
  <c r="O338" i="3"/>
  <c r="O346" i="3"/>
  <c r="O354" i="3"/>
  <c r="O362" i="3"/>
  <c r="O370" i="3"/>
  <c r="O378" i="3"/>
  <c r="O386" i="3"/>
  <c r="O394" i="3"/>
  <c r="O402" i="3"/>
  <c r="O410" i="3"/>
  <c r="O418" i="3"/>
  <c r="O426" i="3"/>
  <c r="O434" i="3"/>
  <c r="O442" i="3"/>
  <c r="O450" i="3"/>
  <c r="O458" i="3"/>
  <c r="O466" i="3"/>
  <c r="O474" i="3"/>
  <c r="O482" i="3"/>
  <c r="O490" i="3"/>
  <c r="O498" i="3"/>
  <c r="O506" i="3"/>
  <c r="O514" i="3"/>
  <c r="O522" i="3"/>
  <c r="O530" i="3"/>
  <c r="O538" i="3"/>
  <c r="P324" i="3"/>
  <c r="O147" i="3"/>
  <c r="O203" i="3"/>
  <c r="O259" i="3"/>
  <c r="O315" i="3"/>
  <c r="O371" i="3"/>
  <c r="O427" i="3"/>
  <c r="O483" i="3"/>
  <c r="O539" i="3"/>
  <c r="G543" i="3"/>
  <c r="G542" i="3"/>
  <c r="G3" i="3"/>
  <c r="G11" i="3"/>
  <c r="G19" i="3"/>
  <c r="G27" i="3"/>
  <c r="G35" i="3"/>
  <c r="G43" i="3"/>
  <c r="G51" i="3"/>
  <c r="G59" i="3"/>
  <c r="G67" i="3"/>
  <c r="G75" i="3"/>
  <c r="G83" i="3"/>
  <c r="G91" i="3"/>
  <c r="G99" i="3"/>
  <c r="G107" i="3"/>
  <c r="G115" i="3"/>
  <c r="G123" i="3"/>
  <c r="G131" i="3"/>
  <c r="G139" i="3"/>
  <c r="G147" i="3"/>
  <c r="G155" i="3"/>
  <c r="G163" i="3"/>
  <c r="G171" i="3"/>
  <c r="G179" i="3"/>
  <c r="G187" i="3"/>
  <c r="G195" i="3"/>
  <c r="G203" i="3"/>
  <c r="G211" i="3"/>
  <c r="G219" i="3"/>
  <c r="G227" i="3"/>
  <c r="G235" i="3"/>
  <c r="G243" i="3"/>
  <c r="G251" i="3"/>
  <c r="G259" i="3"/>
  <c r="G267" i="3"/>
  <c r="G275" i="3"/>
  <c r="G283" i="3"/>
  <c r="G291" i="3"/>
  <c r="G299" i="3"/>
  <c r="G307" i="3"/>
  <c r="G315" i="3"/>
  <c r="G323" i="3"/>
  <c r="G331" i="3"/>
  <c r="G339" i="3"/>
  <c r="G347" i="3"/>
  <c r="G355" i="3"/>
  <c r="G363" i="3"/>
  <c r="G371" i="3"/>
  <c r="G379" i="3"/>
  <c r="G387" i="3"/>
  <c r="G395" i="3"/>
  <c r="G403" i="3"/>
  <c r="G411" i="3"/>
  <c r="G419" i="3"/>
  <c r="G427" i="3"/>
  <c r="G435" i="3"/>
  <c r="G443" i="3"/>
  <c r="G451" i="3"/>
  <c r="G459" i="3"/>
  <c r="G467" i="3"/>
  <c r="G475" i="3"/>
  <c r="G483" i="3"/>
  <c r="G491" i="3"/>
  <c r="G499" i="3"/>
  <c r="G507" i="3"/>
  <c r="G515" i="3"/>
  <c r="G523" i="3"/>
  <c r="G531" i="3"/>
  <c r="G539" i="3"/>
  <c r="G4" i="3"/>
  <c r="G12" i="3"/>
  <c r="G20" i="3"/>
  <c r="G28" i="3"/>
  <c r="G36" i="3"/>
  <c r="G44" i="3"/>
  <c r="G52" i="3"/>
  <c r="G60" i="3"/>
  <c r="G68" i="3"/>
  <c r="G76" i="3"/>
  <c r="G84" i="3"/>
  <c r="G92" i="3"/>
  <c r="G100" i="3"/>
  <c r="G108" i="3"/>
  <c r="G116" i="3"/>
  <c r="G124" i="3"/>
  <c r="G132" i="3"/>
  <c r="G140" i="3"/>
  <c r="G148" i="3"/>
  <c r="G156" i="3"/>
  <c r="G164" i="3"/>
  <c r="G172" i="3"/>
  <c r="G180" i="3"/>
  <c r="G188" i="3"/>
  <c r="G196" i="3"/>
  <c r="G204" i="3"/>
  <c r="G212" i="3"/>
  <c r="G220" i="3"/>
  <c r="G228" i="3"/>
  <c r="G236" i="3"/>
  <c r="G244" i="3"/>
  <c r="G252" i="3"/>
  <c r="G260" i="3"/>
  <c r="G268" i="3"/>
  <c r="G276" i="3"/>
  <c r="G284" i="3"/>
  <c r="G292" i="3"/>
  <c r="G300" i="3"/>
  <c r="G308" i="3"/>
  <c r="G316" i="3"/>
  <c r="G324" i="3"/>
  <c r="G332" i="3"/>
  <c r="G340" i="3"/>
  <c r="G348" i="3"/>
  <c r="G356" i="3"/>
  <c r="G364" i="3"/>
  <c r="G372" i="3"/>
  <c r="G380" i="3"/>
  <c r="G388" i="3"/>
  <c r="G396" i="3"/>
  <c r="G404" i="3"/>
  <c r="G412" i="3"/>
  <c r="G420" i="3"/>
  <c r="G428" i="3"/>
  <c r="G436" i="3"/>
  <c r="G444" i="3"/>
  <c r="G452" i="3"/>
  <c r="G460" i="3"/>
  <c r="G468" i="3"/>
  <c r="G476" i="3"/>
  <c r="G484" i="3"/>
  <c r="G492" i="3"/>
  <c r="G500" i="3"/>
  <c r="G508" i="3"/>
  <c r="G516" i="3"/>
  <c r="G524" i="3"/>
  <c r="G532" i="3"/>
  <c r="G540" i="3"/>
  <c r="G5" i="3"/>
  <c r="G13" i="3"/>
  <c r="G21" i="3"/>
  <c r="G29" i="3"/>
  <c r="G37" i="3"/>
  <c r="G45" i="3"/>
  <c r="G53" i="3"/>
  <c r="G61" i="3"/>
  <c r="G69" i="3"/>
  <c r="G77" i="3"/>
  <c r="G85" i="3"/>
  <c r="G93" i="3"/>
  <c r="G101" i="3"/>
  <c r="G109" i="3"/>
  <c r="G117" i="3"/>
  <c r="G125" i="3"/>
  <c r="G133" i="3"/>
  <c r="G141" i="3"/>
  <c r="G149" i="3"/>
  <c r="G157" i="3"/>
  <c r="G165" i="3"/>
  <c r="G173" i="3"/>
  <c r="G181" i="3"/>
  <c r="G189" i="3"/>
  <c r="G197" i="3"/>
  <c r="G205" i="3"/>
  <c r="G213" i="3"/>
  <c r="G221" i="3"/>
  <c r="G229" i="3"/>
  <c r="G237" i="3"/>
  <c r="G245" i="3"/>
  <c r="G253" i="3"/>
  <c r="G261" i="3"/>
  <c r="G269" i="3"/>
  <c r="G277" i="3"/>
  <c r="G285" i="3"/>
  <c r="G293" i="3"/>
  <c r="G301" i="3"/>
  <c r="G309" i="3"/>
  <c r="G317" i="3"/>
  <c r="G325" i="3"/>
  <c r="G333" i="3"/>
  <c r="G341" i="3"/>
  <c r="G349" i="3"/>
  <c r="G357" i="3"/>
  <c r="G365" i="3"/>
  <c r="G373" i="3"/>
  <c r="G381" i="3"/>
  <c r="G389" i="3"/>
  <c r="G397" i="3"/>
  <c r="G405" i="3"/>
  <c r="G413" i="3"/>
  <c r="G421" i="3"/>
  <c r="G429" i="3"/>
  <c r="G437" i="3"/>
  <c r="G445" i="3"/>
  <c r="G453" i="3"/>
  <c r="G461" i="3"/>
  <c r="G469" i="3"/>
  <c r="G477" i="3"/>
  <c r="G485" i="3"/>
  <c r="G493" i="3"/>
  <c r="G501" i="3"/>
  <c r="G509" i="3"/>
  <c r="G517" i="3"/>
  <c r="G525" i="3"/>
  <c r="G533" i="3"/>
  <c r="G541" i="3"/>
  <c r="G6" i="3"/>
  <c r="G14" i="3"/>
  <c r="G22" i="3"/>
  <c r="G30" i="3"/>
  <c r="G38" i="3"/>
  <c r="G46" i="3"/>
  <c r="G54" i="3"/>
  <c r="G62" i="3"/>
  <c r="G70" i="3"/>
  <c r="G78" i="3"/>
  <c r="G86" i="3"/>
  <c r="G94" i="3"/>
  <c r="G102" i="3"/>
  <c r="G110" i="3"/>
  <c r="G118" i="3"/>
  <c r="G126" i="3"/>
  <c r="G134" i="3"/>
  <c r="G142" i="3"/>
  <c r="G150" i="3"/>
  <c r="G158" i="3"/>
  <c r="G166" i="3"/>
  <c r="G174" i="3"/>
  <c r="G182" i="3"/>
  <c r="G190" i="3"/>
  <c r="G198" i="3"/>
  <c r="G206" i="3"/>
  <c r="G214" i="3"/>
  <c r="G222" i="3"/>
  <c r="G230" i="3"/>
  <c r="G238" i="3"/>
  <c r="G246" i="3"/>
  <c r="G254" i="3"/>
  <c r="G262" i="3"/>
  <c r="G270" i="3"/>
  <c r="G278" i="3"/>
  <c r="G286" i="3"/>
  <c r="G294" i="3"/>
  <c r="G302" i="3"/>
  <c r="G310" i="3"/>
  <c r="G318" i="3"/>
  <c r="G326" i="3"/>
  <c r="G334" i="3"/>
  <c r="G342" i="3"/>
  <c r="G350" i="3"/>
  <c r="G358" i="3"/>
  <c r="G366" i="3"/>
  <c r="G374" i="3"/>
  <c r="G382" i="3"/>
  <c r="G390" i="3"/>
  <c r="G398" i="3"/>
  <c r="G406" i="3"/>
  <c r="G414" i="3"/>
  <c r="G422" i="3"/>
  <c r="G430" i="3"/>
  <c r="G438" i="3"/>
  <c r="G446" i="3"/>
  <c r="G454" i="3"/>
  <c r="G462" i="3"/>
  <c r="G470" i="3"/>
  <c r="G478" i="3"/>
  <c r="G486" i="3"/>
  <c r="G494" i="3"/>
  <c r="G502" i="3"/>
  <c r="G510" i="3"/>
  <c r="G518" i="3"/>
  <c r="G526" i="3"/>
  <c r="G534" i="3"/>
  <c r="G7" i="3"/>
  <c r="G15" i="3"/>
  <c r="G23" i="3"/>
  <c r="G31" i="3"/>
  <c r="G39" i="3"/>
  <c r="G47" i="3"/>
  <c r="G55" i="3"/>
  <c r="G63" i="3"/>
  <c r="G71" i="3"/>
  <c r="G79" i="3"/>
  <c r="G87" i="3"/>
  <c r="G95" i="3"/>
  <c r="G103" i="3"/>
  <c r="G111" i="3"/>
  <c r="G119" i="3"/>
  <c r="G127" i="3"/>
  <c r="G135" i="3"/>
  <c r="G143" i="3"/>
  <c r="G151" i="3"/>
  <c r="G159" i="3"/>
  <c r="G167" i="3"/>
  <c r="G175" i="3"/>
  <c r="G183" i="3"/>
  <c r="G191" i="3"/>
  <c r="G199" i="3"/>
  <c r="G207" i="3"/>
  <c r="G215" i="3"/>
  <c r="G223" i="3"/>
  <c r="G231" i="3"/>
  <c r="G239" i="3"/>
  <c r="G247" i="3"/>
  <c r="G255" i="3"/>
  <c r="G263" i="3"/>
  <c r="G271" i="3"/>
  <c r="G279" i="3"/>
  <c r="G287" i="3"/>
  <c r="G295" i="3"/>
  <c r="G303" i="3"/>
  <c r="G311" i="3"/>
  <c r="G319" i="3"/>
  <c r="G327" i="3"/>
  <c r="G335" i="3"/>
  <c r="G343" i="3"/>
  <c r="G351" i="3"/>
  <c r="G359" i="3"/>
  <c r="G367" i="3"/>
  <c r="G375" i="3"/>
  <c r="G383" i="3"/>
  <c r="G391" i="3"/>
  <c r="G399" i="3"/>
  <c r="G407" i="3"/>
  <c r="G415" i="3"/>
  <c r="G423" i="3"/>
  <c r="G431" i="3"/>
  <c r="G439" i="3"/>
  <c r="G447" i="3"/>
  <c r="G455" i="3"/>
  <c r="G463" i="3"/>
  <c r="G471" i="3"/>
  <c r="G479" i="3"/>
  <c r="G487" i="3"/>
  <c r="G495" i="3"/>
  <c r="G503" i="3"/>
  <c r="G511" i="3"/>
  <c r="G519" i="3"/>
  <c r="G527" i="3"/>
  <c r="G535" i="3"/>
  <c r="G8" i="3"/>
  <c r="G16" i="3"/>
  <c r="G24" i="3"/>
  <c r="G32" i="3"/>
  <c r="G40" i="3"/>
  <c r="G48" i="3"/>
  <c r="G56" i="3"/>
  <c r="G64" i="3"/>
  <c r="G72" i="3"/>
  <c r="G80" i="3"/>
  <c r="G88" i="3"/>
  <c r="G96" i="3"/>
  <c r="G104" i="3"/>
  <c r="G112" i="3"/>
  <c r="G120" i="3"/>
  <c r="G128" i="3"/>
  <c r="G136" i="3"/>
  <c r="G144" i="3"/>
  <c r="G152" i="3"/>
  <c r="G160" i="3"/>
  <c r="G168" i="3"/>
  <c r="G176" i="3"/>
  <c r="G184" i="3"/>
  <c r="G192" i="3"/>
  <c r="G200" i="3"/>
  <c r="G208" i="3"/>
  <c r="G216" i="3"/>
  <c r="G224" i="3"/>
  <c r="G232" i="3"/>
  <c r="G240" i="3"/>
  <c r="G248" i="3"/>
  <c r="G256" i="3"/>
  <c r="G264" i="3"/>
  <c r="G272" i="3"/>
  <c r="G280" i="3"/>
  <c r="G288" i="3"/>
  <c r="G296" i="3"/>
  <c r="G304" i="3"/>
  <c r="G312" i="3"/>
  <c r="G320" i="3"/>
  <c r="G328" i="3"/>
  <c r="G336" i="3"/>
  <c r="G344" i="3"/>
  <c r="G352" i="3"/>
  <c r="G360" i="3"/>
  <c r="G368" i="3"/>
  <c r="G376" i="3"/>
  <c r="G384" i="3"/>
  <c r="G392" i="3"/>
  <c r="G400" i="3"/>
  <c r="G408" i="3"/>
  <c r="G416" i="3"/>
  <c r="G424" i="3"/>
  <c r="G432" i="3"/>
  <c r="G440" i="3"/>
  <c r="G448" i="3"/>
  <c r="G456" i="3"/>
  <c r="G464" i="3"/>
  <c r="G472" i="3"/>
  <c r="G480" i="3"/>
  <c r="G488" i="3"/>
  <c r="G496" i="3"/>
  <c r="G504" i="3"/>
  <c r="G512" i="3"/>
  <c r="G520" i="3"/>
  <c r="G528" i="3"/>
  <c r="G536" i="3"/>
  <c r="G9" i="3"/>
  <c r="G17" i="3"/>
  <c r="G25" i="3"/>
  <c r="G33" i="3"/>
  <c r="G41" i="3"/>
  <c r="G49" i="3"/>
  <c r="G57" i="3"/>
  <c r="G65" i="3"/>
  <c r="G73" i="3"/>
  <c r="G81" i="3"/>
  <c r="G89" i="3"/>
  <c r="G97" i="3"/>
  <c r="G105" i="3"/>
  <c r="G113" i="3"/>
  <c r="G121" i="3"/>
  <c r="G129" i="3"/>
  <c r="G137" i="3"/>
  <c r="G145" i="3"/>
  <c r="G153" i="3"/>
  <c r="G161" i="3"/>
  <c r="G169" i="3"/>
  <c r="G177" i="3"/>
  <c r="G185" i="3"/>
  <c r="G193" i="3"/>
  <c r="G201" i="3"/>
  <c r="G209" i="3"/>
  <c r="G217" i="3"/>
  <c r="G225" i="3"/>
  <c r="G233" i="3"/>
  <c r="G241" i="3"/>
  <c r="G249" i="3"/>
  <c r="G257" i="3"/>
  <c r="G265" i="3"/>
  <c r="G273" i="3"/>
  <c r="G281" i="3"/>
  <c r="G289" i="3"/>
  <c r="G297" i="3"/>
  <c r="G305" i="3"/>
  <c r="G313" i="3"/>
  <c r="G321" i="3"/>
  <c r="G329" i="3"/>
  <c r="G337" i="3"/>
  <c r="G345" i="3"/>
  <c r="G353" i="3"/>
  <c r="G361" i="3"/>
  <c r="G369" i="3"/>
  <c r="G377" i="3"/>
  <c r="G385" i="3"/>
  <c r="G393" i="3"/>
  <c r="G401" i="3"/>
  <c r="G409" i="3"/>
  <c r="G417" i="3"/>
  <c r="G425" i="3"/>
  <c r="G433" i="3"/>
  <c r="G441" i="3"/>
  <c r="G449" i="3"/>
  <c r="G457" i="3"/>
  <c r="G465" i="3"/>
  <c r="G473" i="3"/>
  <c r="G481" i="3"/>
  <c r="G489" i="3"/>
  <c r="G497" i="3"/>
  <c r="G505" i="3"/>
  <c r="G513" i="3"/>
  <c r="G521" i="3"/>
  <c r="G529" i="3"/>
  <c r="G537" i="3"/>
  <c r="G2" i="3"/>
  <c r="G10" i="3"/>
  <c r="G18" i="3"/>
  <c r="G26" i="3"/>
  <c r="G34" i="3"/>
  <c r="G42" i="3"/>
  <c r="G50" i="3"/>
  <c r="G58" i="3"/>
  <c r="G66" i="3"/>
  <c r="G74" i="3"/>
  <c r="G82" i="3"/>
  <c r="G90" i="3"/>
  <c r="G98" i="3"/>
  <c r="G106" i="3"/>
  <c r="G114" i="3"/>
  <c r="G122" i="3"/>
  <c r="G130" i="3"/>
  <c r="G138" i="3"/>
  <c r="G146" i="3"/>
  <c r="G154" i="3"/>
  <c r="G162" i="3"/>
  <c r="G170" i="3"/>
  <c r="G178" i="3"/>
  <c r="G186" i="3"/>
  <c r="G194" i="3"/>
  <c r="G202" i="3"/>
  <c r="G210" i="3"/>
  <c r="G218" i="3"/>
  <c r="G226" i="3"/>
  <c r="G234" i="3"/>
  <c r="G242" i="3"/>
  <c r="G250" i="3"/>
  <c r="G258" i="3"/>
  <c r="G266" i="3"/>
  <c r="G274" i="3"/>
  <c r="G282" i="3"/>
  <c r="G290" i="3"/>
  <c r="G298" i="3"/>
  <c r="G306" i="3"/>
  <c r="G314" i="3"/>
  <c r="G322" i="3"/>
  <c r="G330" i="3"/>
  <c r="G338" i="3"/>
  <c r="G346" i="3"/>
  <c r="G354" i="3"/>
  <c r="G362" i="3"/>
  <c r="G370" i="3"/>
  <c r="G378" i="3"/>
  <c r="G386" i="3"/>
  <c r="G394" i="3"/>
  <c r="G402" i="3"/>
  <c r="G410" i="3"/>
  <c r="G418" i="3"/>
  <c r="G426" i="3"/>
  <c r="G434" i="3"/>
  <c r="G442" i="3"/>
  <c r="G450" i="3"/>
  <c r="G458" i="3"/>
  <c r="G466" i="3"/>
  <c r="G474" i="3"/>
  <c r="G482" i="3"/>
  <c r="G490" i="3"/>
  <c r="G498" i="3"/>
  <c r="G506" i="3"/>
  <c r="G514" i="3"/>
  <c r="G522" i="3"/>
  <c r="G530" i="3"/>
  <c r="G538" i="3"/>
</calcChain>
</file>

<file path=xl/comments1.xml><?xml version="1.0" encoding="utf-8"?>
<comments xmlns="http://schemas.openxmlformats.org/spreadsheetml/2006/main">
  <authors>
    <author>Autor</author>
  </authors>
  <commentList>
    <comment ref="E1" authorId="0" shapeId="0">
      <text>
        <r>
          <rPr>
            <b/>
            <sz val="9"/>
            <color indexed="81"/>
            <rFont val="Tahoma"/>
            <family val="2"/>
          </rPr>
          <t xml:space="preserve">(opcional)
</t>
        </r>
        <r>
          <rPr>
            <sz val="9"/>
            <color indexed="81"/>
            <rFont val="Tahoma"/>
            <family val="2"/>
          </rPr>
          <t xml:space="preserve">Fecha de la ultima vez en que el analista modifico los datos de la solicitud
</t>
        </r>
      </text>
    </comment>
    <comment ref="Z1" authorId="0" shapeId="0">
      <text>
        <r>
          <rPr>
            <b/>
            <sz val="9"/>
            <color indexed="81"/>
            <rFont val="Tahoma"/>
            <family val="2"/>
          </rPr>
          <t>(autogenerados)
No escribir en estos campos</t>
        </r>
        <r>
          <rPr>
            <sz val="9"/>
            <color indexed="81"/>
            <rFont val="Tahoma"/>
            <family val="2"/>
          </rPr>
          <t xml:space="preserve">
</t>
        </r>
      </text>
    </comment>
  </commentList>
</comments>
</file>

<file path=xl/comments2.xml><?xml version="1.0" encoding="utf-8"?>
<comments xmlns="http://schemas.openxmlformats.org/spreadsheetml/2006/main">
  <authors>
    <author>Autor</author>
  </authors>
  <commentList>
    <comment ref="L1" authorId="0" shapeId="0">
      <text>
        <r>
          <rPr>
            <b/>
            <sz val="9"/>
            <color indexed="81"/>
            <rFont val="Tahoma"/>
            <family val="2"/>
          </rPr>
          <t>(obligatorio)</t>
        </r>
        <r>
          <rPr>
            <sz val="9"/>
            <color indexed="81"/>
            <rFont val="Tahoma"/>
            <family val="2"/>
          </rPr>
          <t xml:space="preserve">
</t>
        </r>
      </text>
    </comment>
    <comment ref="M1" authorId="0" shapeId="0">
      <text>
        <r>
          <rPr>
            <b/>
            <sz val="9"/>
            <color indexed="81"/>
            <rFont val="Tahoma"/>
            <family val="2"/>
          </rPr>
          <t>(obligatorio)</t>
        </r>
        <r>
          <rPr>
            <sz val="9"/>
            <color indexed="81"/>
            <rFont val="Tahoma"/>
            <family val="2"/>
          </rPr>
          <t xml:space="preserve">
</t>
        </r>
      </text>
    </comment>
  </commentList>
</comments>
</file>

<file path=xl/comments3.xml><?xml version="1.0" encoding="utf-8"?>
<comments xmlns="http://schemas.openxmlformats.org/spreadsheetml/2006/main">
  <authors>
    <author>Autor</author>
  </authors>
  <commentList>
    <comment ref="E2" authorId="0" shapeId="0">
      <text>
        <r>
          <rPr>
            <b/>
            <sz val="9"/>
            <color indexed="81"/>
            <rFont val="Tahoma"/>
            <family val="2"/>
          </rPr>
          <t>Autor:</t>
        </r>
        <r>
          <rPr>
            <sz val="9"/>
            <color indexed="81"/>
            <rFont val="Tahoma"/>
            <family val="2"/>
          </rPr>
          <t xml:space="preserve">
Oficio creado por el servicio para enviar a DP</t>
        </r>
      </text>
    </comment>
    <comment ref="E3" authorId="0" shapeId="0">
      <text>
        <r>
          <rPr>
            <b/>
            <sz val="9"/>
            <color indexed="81"/>
            <rFont val="Tahoma"/>
            <family val="2"/>
          </rPr>
          <t>Autor:</t>
        </r>
        <r>
          <rPr>
            <sz val="9"/>
            <color indexed="81"/>
            <rFont val="Tahoma"/>
            <family val="2"/>
          </rPr>
          <t xml:space="preserve">
Oficio creado por DP para enviar a DIPRES
</t>
        </r>
      </text>
    </comment>
    <comment ref="E4" authorId="0" shapeId="0">
      <text>
        <r>
          <rPr>
            <b/>
            <sz val="9"/>
            <color indexed="81"/>
            <rFont val="Tahoma"/>
            <family val="2"/>
          </rPr>
          <t>Autor:</t>
        </r>
        <r>
          <rPr>
            <sz val="9"/>
            <color indexed="81"/>
            <rFont val="Tahoma"/>
            <family val="2"/>
          </rPr>
          <t xml:space="preserve">
Decreto creado DIPRES </t>
        </r>
      </text>
    </comment>
    <comment ref="E5" authorId="0" shapeId="0">
      <text>
        <r>
          <rPr>
            <b/>
            <sz val="9"/>
            <color indexed="81"/>
            <rFont val="Tahoma"/>
            <family val="2"/>
          </rPr>
          <t>Autor:</t>
        </r>
        <r>
          <rPr>
            <sz val="9"/>
            <color indexed="81"/>
            <rFont val="Tahoma"/>
            <family val="2"/>
          </rPr>
          <t xml:space="preserve">
Resolucion creada por el servicio al final del proceso de algunas solicitudes</t>
        </r>
      </text>
    </comment>
    <comment ref="E6" authorId="0" shapeId="0">
      <text>
        <r>
          <rPr>
            <b/>
            <sz val="9"/>
            <color indexed="81"/>
            <rFont val="Tahoma"/>
            <family val="2"/>
          </rPr>
          <t>Autor:</t>
        </r>
        <r>
          <rPr>
            <sz val="9"/>
            <color indexed="81"/>
            <rFont val="Tahoma"/>
            <family val="2"/>
          </rPr>
          <t xml:space="preserve">
Oficio creado por DP para  responder al servicio en solicitudes de Reasignacion Interna</t>
        </r>
      </text>
    </comment>
    <comment ref="E7" authorId="0" shapeId="0">
      <text>
        <r>
          <rPr>
            <b/>
            <sz val="9"/>
            <color indexed="81"/>
            <rFont val="Tahoma"/>
            <family val="2"/>
          </rPr>
          <t>Autor:</t>
        </r>
        <r>
          <rPr>
            <sz val="9"/>
            <color indexed="81"/>
            <rFont val="Tahoma"/>
            <family val="2"/>
          </rPr>
          <t xml:space="preserve">
Oficio creado por DIPRES en respuesta a solicitudes de Autorizacion</t>
        </r>
      </text>
    </comment>
  </commentList>
</comments>
</file>

<file path=xl/sharedStrings.xml><?xml version="1.0" encoding="utf-8"?>
<sst xmlns="http://schemas.openxmlformats.org/spreadsheetml/2006/main" count="11122" uniqueCount="2433">
  <si>
    <t>id_solicitud</t>
  </si>
  <si>
    <t>fecha_ultima_interaccion</t>
  </si>
  <si>
    <t>tipo</t>
  </si>
  <si>
    <t>servicio_origen</t>
  </si>
  <si>
    <t>fecha_toma_razon</t>
  </si>
  <si>
    <t>fecha_totalmente_tramitado</t>
  </si>
  <si>
    <t>APR</t>
  </si>
  <si>
    <t>AGUA POTABLE RURAL</t>
  </si>
  <si>
    <t>DA</t>
  </si>
  <si>
    <t>ARQUITECTURA</t>
  </si>
  <si>
    <t>DAP</t>
  </si>
  <si>
    <t>AEROPUERTOS</t>
  </si>
  <si>
    <t>DCyF</t>
  </si>
  <si>
    <t>CONTABILIDAD Y FINANZAS</t>
  </si>
  <si>
    <t>DGA</t>
  </si>
  <si>
    <t>DIRECCIÓN GENERAL DE AGUAS</t>
  </si>
  <si>
    <t>DGC</t>
  </si>
  <si>
    <t>CONCESIONES</t>
  </si>
  <si>
    <t>DGOP</t>
  </si>
  <si>
    <t>DIRECCIÓN GENERAL DE OBRAS PÚBLICAS</t>
  </si>
  <si>
    <t>DOH</t>
  </si>
  <si>
    <t>OBRAS HIDRÁULICAS</t>
  </si>
  <si>
    <t>DOP</t>
  </si>
  <si>
    <t>OBRAS PORTUARIAS</t>
  </si>
  <si>
    <t>DP</t>
  </si>
  <si>
    <t>PLANEAMIENTO</t>
  </si>
  <si>
    <t>DV</t>
  </si>
  <si>
    <t>VIALIDAD</t>
  </si>
  <si>
    <t>FISC</t>
  </si>
  <si>
    <t>FISCALÍA</t>
  </si>
  <si>
    <t>INH</t>
  </si>
  <si>
    <t>INSTITUTO NACIONAL DE HIDRÁULICA</t>
  </si>
  <si>
    <t>MOP</t>
  </si>
  <si>
    <t>SISS</t>
  </si>
  <si>
    <t>SUPERINTENDENCIA DE SERVICIOS SANITARIOS</t>
  </si>
  <si>
    <t>SOP</t>
  </si>
  <si>
    <t>SUBSECRATARÍA DE OBRAS PÚBLICAS</t>
  </si>
  <si>
    <t>id_servicio</t>
  </si>
  <si>
    <t>materia</t>
  </si>
  <si>
    <t>ultima_actualizacion</t>
  </si>
  <si>
    <t>Estructura</t>
  </si>
  <si>
    <t>Cierre</t>
  </si>
  <si>
    <t>Glosa</t>
  </si>
  <si>
    <t>Inicial</t>
  </si>
  <si>
    <t>Autorizacion</t>
  </si>
  <si>
    <t>tipo_documento</t>
  </si>
  <si>
    <t>Proposicion</t>
  </si>
  <si>
    <t>Decreto</t>
  </si>
  <si>
    <t>Resolucion</t>
  </si>
  <si>
    <t>numero_documento</t>
  </si>
  <si>
    <t>fecha_recepcion</t>
  </si>
  <si>
    <t>El Servicio solicita financiamiento asociado a Cartera Regulary considera iniciativas de inversión que han obtenido su Recomendación Favorable recientemente y que están a la espera de financiamiento para continuar con los trámites de adjudicación correspondientes, así como también saldos y modificaciones de contratos.
Se identifican 3 iniciativas y se modifican 8 proyectos.</t>
  </si>
  <si>
    <t>comentario</t>
  </si>
  <si>
    <t>Oficio_Solicitud</t>
  </si>
  <si>
    <t>nombre_servicio</t>
  </si>
  <si>
    <t>id_documento</t>
  </si>
  <si>
    <t>sigla_servicio</t>
  </si>
  <si>
    <t>inicial</t>
  </si>
  <si>
    <t>Traspaso entre Servicios-Inicial-Estructura</t>
  </si>
  <si>
    <t>Traspaso entre Servicios</t>
  </si>
  <si>
    <t>Ident. y/o Modif.</t>
  </si>
  <si>
    <t>Ident. y/o Modif.-Estructura</t>
  </si>
  <si>
    <t>Traspaso entre Servicios-Ident. y/o Modif.</t>
  </si>
  <si>
    <t>Estructura-Ident. y/o Modif.</t>
  </si>
  <si>
    <t>Ident. y/o Modif.-Glosa</t>
  </si>
  <si>
    <t>Estructura-Traspaso entre Servicios</t>
  </si>
  <si>
    <t>Estructura-Glosa</t>
  </si>
  <si>
    <t>Estructura-Cierre</t>
  </si>
  <si>
    <t>Ident. y/o Modif.-Estructura-Cierre</t>
  </si>
  <si>
    <t>Se solicita identificar 5 Estudios Básicos por M$1.126.957, destacando "DIAGNOSTICO AUSCULTACION PAV. AEROPORTUARIO RED PRIMARIA ZONA CENTRO".  Se solicita identificar 28 proyectos entre los que destaca "MEJORAMIENTO ÁREA DE MOVIMIENTO AEROPUERTO PRESIDENTE IBÁÑEZ. XII REGIÓN." por M$44.001.673; se generan compromisos para el año 2023 por M$8.557.776</t>
  </si>
  <si>
    <t>Se solicita identificar el Estudio Básico "ACTUALIZACIÓN PLAN MAESTRO AEROPUERTO AMB Y ESTUDIO LOCALIZACIÓN NAMZC" por M$274.564, no se generan compromisos futuros.  Se solicita identificar 44 proyectos entre los que destaca "CONSERVACION MAYOR AREA DE MOVIMIENTO AEROPUERTO MATAVERI" por M$52.492.269, generando compromisos para el año 2023 por M$30.369.515, para el año 2024 M$293.012 y M$21.395 para el año 2025.</t>
  </si>
  <si>
    <t>Identifica 3 estudios y 69 proyectos por un monto total de M$ 65263785. Genera un arrastre 2023 de M$28.576.314</t>
  </si>
  <si>
    <t>Identifica 11 proyectos por un monto de M$16.200.797 y un arrastre 2023 de M$1.737.352</t>
  </si>
  <si>
    <t>Solicita identificar 1 estudio por M$6.540. No genera arrastre 2023</t>
  </si>
  <si>
    <t>Solicita Indentificar proyecto OT "Construcción Nuevo Aeródromo de Peldehue, Colina" por M$278.328 generando compromisos futuros por M$431.437desde el 2023 al 2026.</t>
  </si>
  <si>
    <t>Se solicita identificar 5 iniciativas por un monto total de M$3.669.133. Esta cartera incluye 1 proyecto que
forma parte de la Nómina de Respaldo de la Ley de Presupuestos 2022 y los restantes corresponden a
proyectos iniciados en el año 2021. Destacan en la proposición, la “Ampliación Edificio MOP Atacama” y la
“Normalización Edificio de los SSPP y Provinciales MOP XII Región”.</t>
  </si>
  <si>
    <t>Se solicita Indentificar Estudios por M$74.620 y proyectos por M$2.651.377, generando compromisos para el año 2023 por M$2.019.120.</t>
  </si>
  <si>
    <t>El Servicio solicita en Cartera Regular, un presupuesto de MM$1.120.208.-para el año 2022, con una programación global para los próximos años de MM$938.014.-para el año 2023; MM$886.962.-para el año 2024; MM$510.831.-para el año 2025 y MM$81.999.-para el año 2026. 
En cartera FET COVID habrá decretado un presupuesto de MM$571.448.-para el año 2022, con una programación global para los próximos años de MM$13.347.-para el año 2023; MM$25.-para el año 2024</t>
  </si>
  <si>
    <t>Se solicita Indentificar Estudio por M$60.300, no genera compromisos para el año 2023.</t>
  </si>
  <si>
    <t>Solicitud decreto inicial arrastre cartera regular por M$458.911 para el año 2022 y compromisos por M$45.000 para el 2023.-</t>
  </si>
  <si>
    <t>Solicitud decreto inicial arrastre cartera FET por M$1.675.955 para el año 2022 y sin compromisos futuros.-</t>
  </si>
  <si>
    <t>Se solicita identificar la iniciativa “Análisis de reducción de emisión de GEI en proyectos aeroportuarios y de conectividad” por un monto de M$ 35.186. la iniciativa tiene un arrastre 22023 por M$25801</t>
  </si>
  <si>
    <t>Se solicita Indentificar Estudio por M$60.200, genera compromisos para el año 2023 por M$99.800.</t>
  </si>
  <si>
    <t>Solicita identificar 5 proyectos por M$4.875.287; la solicitud tiene arrastres 2023 por M$3.150.000</t>
  </si>
  <si>
    <t>Solicita decreto inicial Nuevos 2022 cartera Regular, para 15 iniciativas por un monto de M$6.014.780</t>
  </si>
  <si>
    <t>Solicita decreto inicial Nuevos 2022 cartera FET para 11 iniciativas por un monto de M$6.099.332</t>
  </si>
  <si>
    <t>Decreto Inicial Nuevos, se solicita identificar 11 proyectos entre los que destaca "Mejoramiento Sistema de Drenajes Aeropuerto AMB, RM". La solicitud es por M$10.194.276, generando compromisos para el año 2023 por M$12.056.036.-</t>
  </si>
  <si>
    <t>Se solicita Indentificar proyectos por M$2.724.429, generando compromisos para el año 2023 por M$203.989.</t>
  </si>
  <si>
    <t>Se solicita identificar las iniciativas “Construcción Edificio Ministerio Obras Públicas Región de Ñuble”,”Conservación DS 50 Provincia Palena, Región De Los Lagos - Chaitén Futalefu” y “Conservación DS 50 Provincia Chiloé, Región de Los Lagos - Castro”, por un monto total de M$2.018.018. Estas iniciativas no forman parte de la Nómina de Respaldo de la Ley de Presupuestos 2022</t>
  </si>
  <si>
    <t>Solicitud de identificación presupuestaria, corresponde a la asignación de presupuesto necesario para financiar iniciativas en el año 2022, por el monto de M$ 57.840.612. Compromete recursos por M$45.080.376 para el año 2023, M$22.086.692 para el año 2024, M$ 11.496.611 para el año 2025 y M$12.649.086 para el año 2026.
Para el pago de asesorías a la inspección fiscal y estudios de arrastre.</t>
  </si>
  <si>
    <t>Solicitud de identificación presupuestaria, corresponde a la asignación de presupuesto necesario para financiar iniciativas en el año 2022, por el monto de M$ 11.772.901. No compromete recursos para años siguientes.
Para el pago de compensaciones y asesorías a la inspección fiscal.</t>
  </si>
  <si>
    <t xml:space="preserve">Solicitud de identificación presupuestaria, corresponde a la asignación de presupuesto necesario para financiar iniciativas en el año 2022, por el monto de M$277.883.951. Compromete recursos por M$111.918.955 para el año 2023, M$77.829.378 para el año 2024, M$74.974.833 para el año 2025 y M$78.988.698 para el año 2026.
Para el pago de subsidios, compensaciones, expropiaciones y sus gastos inherentes además de recursos para la defensa judicial
</t>
  </si>
  <si>
    <t>Decreto Inicial Nuevos, se solicita identificar 9 proyectos entre los que destaca "Conservación Rutinaria Aeropuerto Andrés Sabella, Antofagasta, Plan de Recuperación". La solicitud es por M$9.557.030 y no genera compromisos para años futuros.</t>
  </si>
  <si>
    <t>Solicita identificar 1 estudio y 16 proyectos por M$6.185.853. Tiene un arrastre de M$17.903.755</t>
  </si>
  <si>
    <t>Solicita identificar 87 iniciativas de arrastre por M$58.023.307, fondo FET, sin compromisos futuros.</t>
  </si>
  <si>
    <t>Solicita identificar 133 iniciativas de arrastre por M$95.339.530, fondo Regular, compromete compromisos futuros por M$30.232.846.</t>
  </si>
  <si>
    <t>El Servicio solicita financiamiento asociado a Cartera Regular, desstinado a la cartera de contratos rezagados los que se encuentran en proceso de licitacion durante el año 2021.
Dicha cartera se compone de 5 iniciativas de inversion, las que comprometen fondos para el año 2022 por M$ 7.073.000.</t>
  </si>
  <si>
    <t>El Servicio solicita financiamiento asociado a Cartera Regular y corresponde a la asignación de presupuesto necesario para financiar 120 iniciativas nuevas 2022, por un monto de M$48.674.422.-</t>
  </si>
  <si>
    <t>Se solicita identificar 3 estudios básicos destacando "Diagnostico Plan Maestro Agua Lluvia San Felipe" y solicita identificar 42 proyectos destacando "Construcción Embalse Chironta, Valle del Lluta" y "Construcción obras de Mejoramiento Canal de La Luz en Chillán"</t>
  </si>
  <si>
    <t>Se solicita identificar 2 estudios básicos destacando "Análisis Hidrológico y Mecánico Fluvial Quebrada de Acha" y solicita identificar 35 proyectos destacando Conservaciones de Aguas Lluvias, Riberas y obras de Riego en varias regiones.</t>
  </si>
  <si>
    <t xml:space="preserve">Se solicita identificar 5 iniciativas por un monto total de M$1.831.124. Corresponden a contratos de asesoría a la inspección fiscal de proyectos
concesionados. El arrastre para los años siguientes es de M$5.001.095 para el año 2023, M$5.197.681 para el año 2024, M$5.397.142 para el año 2025.
Además se solicita modificar 8 iniciativas por un monto de M$2.024.551 para el año 2022, con un incremento del arrastre por M$8.294.340 para el año 2023.
</t>
  </si>
  <si>
    <t>Se solicita identificar el proyecto "Conservación Infraestructura Piso 7 SISS" por M$ 183.723</t>
  </si>
  <si>
    <t>Solicitud de identificación presupuestaria Inicial de los proyectos financiados en el respaldo de Ley de Presupuesto 2022 con el Fondo de Emergencia Transitorio COVID 19 (“FET”) para el año presupuestario 2022, contempla los recursos para compensaciones, expropiaciones y contratos de asesorías a la inspección fiscal para el año 2022 por el monto de M$156.279.815. Requiere financiamiento de Vialidad Regular.</t>
  </si>
  <si>
    <t>Solicita identificar 31 iniciativas por un monto de M$24.198.473 para el 2022 y un arrastre de M$15.626.912 para el año 2023 y M$.2.785.892 para el año 2023.</t>
  </si>
  <si>
    <t>Solicita identificar 12 iniciativas por un monto de M$5.217.767 para el 2022 y sin compromisos para los años futuros.</t>
  </si>
  <si>
    <t>Modifica Presupuesto para el año 2022, correspondiente al ST 30 Adquisición de Activos Financieros. Se solicita transferencia de recursos al Gobierno Regional de Coquimbo, según se detalla en la propuesta adjunta, por un monto total de M$13.267.758 para el año 2022, para cumplir con el acuerdo GORE de Coquimbo.</t>
  </si>
  <si>
    <t>El Servicio solicita financiamiento asociado a Cartera Regular y cartera FET. Además se reasigna presupuesto desde el ST.31 Iniciativas de Inversiones al ST.29 Activos No Financieros, para el financiamiento de adquisición de equipos, los cuales fueron licitados dentro del año 2021.
 Se identifican 33 iniciativas en cartera normal y 01 iniciativas en cartera recuperación. Adicionalmente se consideran 97 proyectos en modificase de la cartera normal y 03 de la cartera de recuperación.</t>
  </si>
  <si>
    <t>Solicita modificación de glosas, relacionadas a traspaso de honorarios a contrata.</t>
  </si>
  <si>
    <t>El Servicio solicita financiamiento asociado a Cartera Regular correspondiente a iniciativas de inversiones de Conservación Red Vial Administración Directa cuya finalidad es recuperar las condiciones de accesibilidad, transitabilidad y seguridad de las fajas ferroviarias en desuso, evitando la pérdida en el patrimonio de la Red Vial.
Se encuentra conformada por la identificación de 03 proyectos de cartera normal y contempla un monto de inversión año 2022 por M$ 1.410.000.</t>
  </si>
  <si>
    <t>Se solicita identificar 15 Estudios Básicos entre los que destaca "Diagnostico Plan Maestro Evac. y Drenaje A. Lluvias de Buin y Paine" que generan compromisos para el año 2023 por M$2.876.686, M$1.125.775 para el año 2024 y M$611.436 para el año 2025.  Además se solicita identificar 61 proyectos destacando la "Construcción Defensas Fluviales Río Andalien y otros, Concepción" generando compromisos para el año 2023 por M$25.924.975, M$6.735.854 para el año 2024 y M$180.542 para el año 2025.
Contiene Estructura</t>
  </si>
  <si>
    <t>Se solicita identificar 3 Estudios básicos destacando "Diagnostico Comportamiento Aluvional de las Quebradas Afluentes a la Cuenca Camarones", se solicita identificar 20 proyectos destacando "Construcción Obras Fluviales y Control Aluvional Quebrada Paipote", no genera compromisos futuros</t>
  </si>
  <si>
    <t>La solicitud contempla ajuste presupuestario por medio del cual reduce FSD ST. 31.02  por M$449.427, los que seran destinados a la  Superintendencia de Servicios Sanitarios, para proyecto de conservación del piso 7 del edificio. 
institucional.</t>
  </si>
  <si>
    <t>Solicitud de identificación presupuestaria, corresponde a la asignación de presupuesto necesario para financiar iniciativas en el año 2022, por el monto de M$ 10. Compromete recursos para el año 2023 por M$303.777.
Para el pago de compensaciones y asesorías a la inspección fiscal.</t>
  </si>
  <si>
    <t>Solicita reasig. Interna proyectos "Conservación Mayor Calle de Rodaje Bravo Aeropuerto Diego Aracena" y "Conservación Mayor Area de Movimiento Andres Sabella", traspasando desde Obras Civiles y Otros Gastos a Consultorias.</t>
  </si>
  <si>
    <t>Solicitud de identificación y modificación presupuestaria, tiene por finalidad asignar recursos del ST 31 “Iniciativas de Inversión”, para identificar estudios de arrastre y modificar AIF y estudios, por el monto total de M$6.416.380, y M$1.788.855 para el año 2023.</t>
  </si>
  <si>
    <t xml:space="preserve">Solicitud de modificación presupuestaria, para reasignar recursos del ST 31 “Iniciativas de Inversión”, por el monto de M$25.545.442, para complementar las partidas presupuestarias asociadas a subsidios, compensaciones e ingresos mínimos garantizados (“IMG”) de los contratos de concesión. Además, se solicitan recursos para el el pago de las compensaciones del contrato de concesión “Relicitación Concesión Túnel El Melón y para el pago de la sentencia “Ruta 160 Tramo Tres Pinos acceso Norte a Coronel”.
</t>
  </si>
  <si>
    <t>Servicio solicita autorización para compra de 3 Dispositivos TOKEN, incluido certificado. Presupuesto vigente en 2906 M$136 y 2907 M$124.</t>
  </si>
  <si>
    <t>La solicitud plantea la identificación presupuestaria, corresponde a la asignación de presupuesto necesario para financiar 1 iniciativa inversión, por un monto de MM$5.200.-
"MEJORAMIENTO RUTA 7, SECTOR LAS PULGAS - QUEULAT - BIF. CISNES".
En materia de compromisos futuros solicita M$ 10.000.000 para el año 2023 y M$ 4.200.000 para el año 2024.</t>
  </si>
  <si>
    <t>Solicita identificar 5 iniciativas por un monto total de M$ 2.921.000. Esta proposición se financia con el proyecto Mejoramiento Borde Costero Playa Las Machas que debe ser re-licitado</t>
  </si>
  <si>
    <t>Solicita traspaso desde DV por M$449.427 para proyecto "Conservación Infraestructura SISS Piso 7" y así poder adelantar arrastre 2023</t>
  </si>
  <si>
    <t>Solicita Identificar 14 Iniciativas nuevas por M$11.361.926, con un arrastre para el año 2023 de M$11.653.304.</t>
  </si>
  <si>
    <t>Solicita modificar 8 Proyectos de conservación Glosa N°4 por M$9.463.390, los cuales no generan  arrastre para años futuros.</t>
  </si>
  <si>
    <t>Se solicita identificar 3 estudios básicos y 11 proyectos por un monto de M$1.687.717. Adicionalmente se solicita modificar 13 proyectos por un monto de M$833.270. En total, la propuesta tiene un arrastre para el año 2023 de M$13.471.259 y para el año 2024 M$10.131.304.</t>
  </si>
  <si>
    <t>Se solicita identificar el proyecto “Conservación Global Obras Portuarias 2022 de Atacama” por un monto total de M$ 800.000; no tiene arrastre para el 2023.</t>
  </si>
  <si>
    <t>Concesiones solicita la modificación al límite máximo de la dotación de personal fijada en la Ley de Presupuestos 2022, con cargo a una compensación equivalente en el número de personas contratadas a honorarios fijado en las glosas presupuestarias correspondientes, en este caso la que está asociada al Subtítulo 21 de Gastos en Personal:
Dado lo anterior, se solicita lo siguiente:
➢ Incremento N° de personas Glosa 05 a) Dotación máxima de personal: +3
➢ Disminución N° de personas Glosa 05 d) Convenio con Personas Naturales: -3
➢ Disminución Monto Glosa 05 d) Convenio con Personas Naturales: -72.858</t>
  </si>
  <si>
    <t>Se solicita autorización para la compra de de 3 camionetas por presupuesto regular. Dado que las cotizaciones excedeen los 350 UTM se requiere autorización de acuerdo a instrucciones específicas de circular N°2</t>
  </si>
  <si>
    <t>5 proyectos no otorgados en Decreto Arratsre FET y Nuevos FET</t>
  </si>
  <si>
    <t xml:space="preserve">Concesiones solicita modificación 
presupuestaria que asigne los recursos en el ST 22 “Bienes y Servicios de Consumo”, por el 
monto de M$211.932, del ST 30  Fondo de Emergencia Transitorio” (“FET”), los cuales no  fueron considerados en el Decreto N°45 de 18 de enero 2022, del Ministerio de Hacienda y cuyo financiamiento corresponde a estudios ST. 22.11.
- Estudio Ferroviario apoyo a la revisión de los estudios requeridos para ejecutar una Concesión Ferroviaria.
- Estudio Sistema de Inspección Fiscal para Sistemas Concesionados.
</t>
  </si>
  <si>
    <t>El Servicio solicita traspaso de fondos por M$ 160.000 desde el ST. 31.02 destinados al ST. 29.
De los cuáles M$ 50.000 se destinaran a Mobliario y M$ 110.000 a Máquinas y Equipos asociados a proceso de compra inconcluso año 2021 destinado a la adquisición de 3 Pala Barre Nieve y Porta pala</t>
  </si>
  <si>
    <t>El Servicio solicita financiamiento asociado a Cartera Regular . Además se reasigna presupuesto desde el ST.31 Iniciativas de Inversiones al ST.29 Activos No Financieros, para el financiamiento de adquisición de equipos, los cuales fueron licitados dentro del año 2021.
 Se identifican 33 iniciativas en cartera normal. Adicionalmente se consideran 97 proyectos en modificase de la cartera normal.</t>
  </si>
  <si>
    <t>Solicita identificar 22 iniciativas por M$ 3.711.358 y modificar 36 iniciativas por M$ 8.640.669, sumando en total M$12.333.508, sin compromisos para los años futuros.</t>
  </si>
  <si>
    <t>Solicita identificar el proyecto "Conservación de Recolección y Tratamiento de Aguas Servidas 2021-2022" por M$ 9.050.247, sin compromisos para los años futuros.</t>
  </si>
  <si>
    <t>Solicita identificar el proyecto "Construcción Canales Secundarios y Terciarios Sistema Regadío Comuy" por un monto de M$ 2.483.960 para el 2022 y M$ 1.902.657 para el año 2023.</t>
  </si>
  <si>
    <t>Concesiones solicita modificar y asignar presupuesto por  M$65.653, para el presente año destinado a Asesoría de Inspección Fiscal de la obra pública fiscal denominado “Hospital de La Serena”</t>
  </si>
  <si>
    <t>Se solicita ajuste presupuestario para glosas del Subtítulo 21 “Gastos en Personal” de la Fiscalía de Obras Públicas, en lo que respecta al traspaso de personal contratado en
modalidad de Honorarios a Contrata.
➢ Disminución N° de personas Glosa 03 d) Convenio con Personas Naturales: -3
➢ Incremento N° de personas Glosa 02 Dotación máxima de personal: 3
➢ Disminución Monto Glosa 03 d) Convenio con Personas Naturales: M$ -53.95</t>
  </si>
  <si>
    <t>Se solicita ajustar los recursos del presente año correspondientes a la inspección fiscal de dos proyectos,
disminuyendo el monto de “HOSPITAL DE COQUIMBO” en M$61.576 e incrementando el de “HOSPITALES
GRUPO III: RED LOS RÍOS - LOS LAGOS” en M$27.385, en tanto que para ambos proyectos, aumentan los
montos de años futuros. Con la tramitación de esta propuesta, los compromisos futuros se incrementan en M$852.433 el año 2023,
en M$969.700 el año 2024, en M$1.031.742 el año 2025 y en M$266.171 el año 2026.</t>
  </si>
  <si>
    <t>Solicita reasig. Interna proyecto "Conservación Pequeños Aerodromos Zona Central 2021/2022, Plan de recuperacion", traspasando desde Obras Civiles  a Consultorias M$26.000.</t>
  </si>
  <si>
    <t>Se solicita autorización para la compra de de 14 camionetas por presupuesto FET por M$193.140 y Regular por M$57.942.</t>
  </si>
  <si>
    <t>Solciita identificacion de proyecto "Conservacion Planta Agua Potable Aeródromo  Pichoy, Plan de recuperacion" por M$243.842 y modificar 15 proyectos, por un valor neto de M$185.719. No se generan compromisos futuros.</t>
  </si>
  <si>
    <t>El Servicio solicita identificación presupuestaria de 2 iniciativas inversión que han obtenido RATE OT fichas IDI 2022 asociadas a Ruta 7 por un monto de inversión 2022 de M$ 11.000 y que comprometen recursos futuros por M$ 100.000 para el año 2023</t>
  </si>
  <si>
    <t>El Servicio solicita traspaso de fondos por M$ 7.081.000 desde el ST. 31.02 destinados al ST. 29.
De los cuáles M$ 6.946.000 se destinaran a Maquinas y equipos que requieren Laboratorios de Vialidad para contar con equipamiento suficiente para enfrentar adecuadamente el control de calidad de las obras viales que se ejecutan en todo el país y M$ 135.000 que serán destinados a adquisición de 8 módulos contenedores que en su conjunto, conformarán el “Puesto Caminero Director Regional Francisco Orozco López” destinado al apoyo de las operaciones de la Administración Directa.</t>
  </si>
  <si>
    <t>El servicio solicita traspaso presupuestario en el subtítulo 29 Adquisición de Activos No Financieros, 
financiamiento regular, desde el ítem 07 Programas Informaticos al ítem 02 Edificios por un monto neto 
de M$8.503, con la finalidad de adquirir un contenedor que será utilizado como oficina para la Región de 
Ñuble.</t>
  </si>
  <si>
    <t>Se solicita autorización para la compra de de 10 camionetas por presupuesto FET. Dado que las cotizaciones excedeen los 350 UTM se requiere autorización de acuerdo a instrucciones específicas de circular N°2</t>
  </si>
  <si>
    <t>Se solicita traspaso presupuestario por M$27.120 destinados al Subtítulo 29, Ítem 05 (Máquinas y Equipos), para la compra de equipos de aire acondicionado y su instalación y equipos rotuladores, y de M$500 al Subtítulo 29, Ítem 04 (Mobiliario y  Otros), para dar respuesta a requerimientos de mobiliario urgentes.
Financiamiento proviene de ST. 29.06 por M$ 15.221 y ST. 29.07 por M$ 12.399.</t>
  </si>
  <si>
    <t>Se solicitan identificar 23 iniciativas en cartera normal. Adicionalmente se consideran 74 proyectos en modificase de la cartera normal.</t>
  </si>
  <si>
    <t>Se solicitan modificar 5 proyectos de la cartera FET.</t>
  </si>
  <si>
    <t>Solicita Modificar estudio basico por M$205.187 y  modificar 28 proyectos, adicionalmente solicita identificar 8 proyectos por un monto neto de M$2.883.874.- Se generan compromisos futuros por M$41.919.639 para año 2023 , M$32.584.208 para año 2024 y M$159.328 para año 2025.
Necesita estructura de traspaso desde 3102 a 3101.</t>
  </si>
  <si>
    <t>Solicita autorización para adquisición de vehiculo fiscal, Dirección Regional de Magallenes.</t>
  </si>
  <si>
    <t>Se solicita asignar recursos al proyecto “Conservación Medidas Prioritarias Edificio MOP de Iquique” por un monto de M$1.605, sin compromisos para años siguientes.</t>
  </si>
  <si>
    <t>Solicita reasignar M$300 desde la asignación 999 a 001 para el pago de publicaciones en el proyecto "Construcción Infraestructura Portuaria en Pto Navarino"</t>
  </si>
  <si>
    <t>Solicita identificar el Poryecto "Construcción Infr. Pesquera Artesanal Caleta Talquilla"  y modifica otros 4 proyectos. Solicitud libera M$94.411</t>
  </si>
  <si>
    <t>Vialidad  programa regular traspasa fondos ST. 31 destinado a Planeamiento para financiamiento de Estudio Básico BIP 40032811-0 “Diagnóstico Plan de inversión Servicios Sanitarios Rurales Macrozona norte” (2022-2023).</t>
  </si>
  <si>
    <t>Se solicita modificación presupuestaria, traspasó de recursos, desde el ST 31-02 de la Dirección de Vialidad a ST 31-01 de Planeamiento, con el objeto de financiar el Estudio Básico denominado “Diagnóstico Plan de Inversión Servicios Sanitarios Rurales Macrozona Norte”, por el monto de M$74.735 para el año 2022.</t>
  </si>
  <si>
    <t>Solicita reasig. Interna proyecto "Conservación PAD Region de Coquimbo 2021-2022, Plan de Recuperacion", traspasando desde Obras Civiles a Consultorias.</t>
  </si>
  <si>
    <t>Solicita traspaso pptario desde ST31 proyecto "Ampliacion Aeródromo Cañal Bajo, Osorno" a ST29 item 04 , 05 y 03, un monto neto de M$85.039.-</t>
  </si>
  <si>
    <t>Se solicita identificar Sistema de Regadío Embalse Zapallar, Río Diguillín, Ñuble por M$1.086.193 y M$831.543 para el año 2023.</t>
  </si>
  <si>
    <t>La Dirección de Planeamiento solicita la asignación de recursos en Subtítulo 31, para el Estudio Básico denominado “Diagnóstico Plan de Inversión Servicios Sanitarios Rurales Macrozona Norte”, por un monto M$74.735.
El presupuesto requerido será financiado con un traspaso de fondos sin Decretar desde el Subtítulo 31 de la Dirección de Vialidad</t>
  </si>
  <si>
    <t>Se solicita ajuste presupuestario para traspasar recursos desde el Subtítulo 30, Adquisición de Activos Financieros, hacia el ST 22 “Bienes y Servicios de Consumo”, por un monto de M$43.383, del Programa Dirección General de Concesiones de Obras Públicas FET-Covid-19, para el desarrollo de un estudio que permitirá mejorar el diseño de los contratos de concesión, identificando condiciones que apunten a facilitar la certificación verde/social/sostenible de futuros proyectos.</t>
  </si>
  <si>
    <t>Solicita reasignacion interna para los proyectos "Conservacion Mayor Aeropuerto Arturo Merino Benitez Años 2021/2022 , Plan de Recuperacion" y Conservacion Plataforma Estac. De Aviones y Rodajes Asociados AP AMB, Plan de Recuperacion". Con un monto neto de M$61.400.</t>
  </si>
  <si>
    <t>Solicita autorización para renovación de 2 vehiculos para el nivel central, en labores de terreno.</t>
  </si>
  <si>
    <t>Solicita autorización para adquirir bajo modalidad de convienio marco 43 computadores</t>
  </si>
  <si>
    <t>Solicita reasignar desde la asignación  002 a la 001 para el pago de publicaciones, para el proyecto "Análisis dinámica de Sedimentos Canal de Acceso Bahía Chilota, Porvenir"</t>
  </si>
  <si>
    <t>Solicita reasignar desde la asignación 004 a la 999 para el proyecto Conservación Obras Portuarias Costeras Menores 2026 - 2021 por M$11.100 para gasto de viático del inspector fiscal en Juan Fernández</t>
  </si>
  <si>
    <t>Solicita reasignar desde la asignación  004 a la 001 por M$42 para el pago de publicaciones, para el proyecto Mejoramiento Borde Costero Socos - Tongoy, Coquimbo</t>
  </si>
  <si>
    <t>Se solicita reasignación interna de 3 proyectos APR: Verdes Campiñas, Campamento y Rucalhue.</t>
  </si>
  <si>
    <t>Se solicita Reasignación interna del proyecto "Construcción Obras de Retención en Hondonada Quebrada de Macul"</t>
  </si>
  <si>
    <t>Se solicita reasignación interna de 2 proyectos DOH FET: Red Primaria Aguas Lluvias Biobío y Control Aluvional Qdas. Sectores República y Tiro al Blanco Taltal</t>
  </si>
  <si>
    <t>Se solicita reasignación interna para el proyecto Conservación rutinaria Aeródromo Peldehue, por M$14.256 desde asignación 004 a 002</t>
  </si>
  <si>
    <t>Se traspasan M$35.067 desde 004 a 002 para el aumento de plazo de la Asesoría a la inspección fiscal del proyecto:"Mejoramiento Borde Costero de Quemchi".</t>
  </si>
  <si>
    <t xml:space="preserve">1era. Reasig. Interna Ppto. 2022 programa regular y FET, por M$ 546.300
</t>
  </si>
  <si>
    <t>Se solicita modificacion presupuestaria para 2 proyectos: rebaja Conserv. Mayor area mov. Mataveri, incrementa Ampliación área Terminal Ad. Gama Zañartu de Pto. Williams</t>
  </si>
  <si>
    <t>Se solicita modificar 5 proyectos en programa DA_FET Covid 19, donde destaca Conserv. Plataforma Estac. De aviones y Rodajes aosciadods AP. AMB.
La solcitud se financia con el proyecto Mej. Área de Movimiento Aeropuerto Pdte. Ibañez R 12.
Decreto de suma cero.</t>
  </si>
  <si>
    <t>la Dirección de Obras Portuarias, en el programa regular (206), presenta compromisos exigibles por la suma de $ 5.774.487.130.-, cuyo detalle se adjunta.
Por otra parte, en el programa FET (256), a igual fecha registró compromisos exigibles por un monto de $ 1.423.418.111.-, adjuntándose también el detalle.</t>
  </si>
  <si>
    <t>la Dirección de Aeropuertos, en el programa regular (207), presenta compromisos exigibles por la suma de $ 3.135.834.-, cuyo detalle se adjunta.
Por otra parte, en el programa FET (257), a igual fecha registró compromisos exigibles por un monto de $ 8.252.746.-, adjuntándose también el detalle.</t>
  </si>
  <si>
    <t>Solicita autorización para renovar la inscripción correspondiente al año 2022, de la Dirección de Vialidad, como miembro de la Asociación Mundial de Carreteras (AIPCR–PIARC) con un valor anual de 8.900 euros</t>
  </si>
  <si>
    <t>Propuesta confirmada.
Solicita autorización para adquirir 11 vehículos productivos y de apoyo a la inspección fiscal, financiados con Decreto 45 del 18-01-2022.</t>
  </si>
  <si>
    <t>El Servicio solicita autorización para arrendar 2 estacionamientos para Of. Provincial de Limarí, por un monto de $90.000 en total.</t>
  </si>
  <si>
    <t>Fiscalia informa Informa como compromisos exigibleslos siguientes montos:
0210: M$104.047
260:M$3.084</t>
  </si>
  <si>
    <t>Solicita Reasignación interna de cartera normal:
Se reasignan fondos en el ST 31.02 Cartera Regular por M$ 127.495</t>
  </si>
  <si>
    <t>La Dirección de Arquitectura, en el programa regular (202), presenta compromisos exigibles por la suma de M$ 1.090.481.
Por otra parte, en el programa FET (252), a igual fecha registró compromisos exigibles por un monto de M$ 75.691.</t>
  </si>
  <si>
    <t>La Dirección de Planeamiento, en el programa regular (211), presenta compromisos exigibles por la suma de M$ 38.106.
Por otra parte, en el programa FET (261), a igual fecha registró compromisos exigibles por un monto de M$ 5.384.</t>
  </si>
  <si>
    <t xml:space="preserve">La Dirección General de Concesiones, en el programa regular (301), presenta compromisos exigibles por la suma de M$ 20.002.526.
</t>
  </si>
  <si>
    <t xml:space="preserve">2da. Reasig. Interna Ppto. 2022 programa regular conformada por 28 iniciativas que involucran pagos por M$ 112.693 destinado a gastos en materia de publicaciones y viaticos.
</t>
  </si>
  <si>
    <t>Arquitectura solicita reasignar internamente M$500 desde 004 a 001 en el proyecto Ampliación Edificio MOP Atacama</t>
  </si>
  <si>
    <t>La Dirección de Contabilidad y Finanzas, presenta compromisos exigibles por la suma de M$ 90.650.</t>
  </si>
  <si>
    <t>Vialidad  programa regular solicita asignar presupuesto a 3 iniciativas de inversión  que cuentan con RATE IN. 
Se solicita financimiento año 2022 por un monto de M$ 1.391.000 destinado a 20166923-1, REPOSICIÓN PAVIMENTO RUTA M - 50 SECTOR: CAUQUENES - CHANCO; 30091314-0, MEJORAMIENTO RUTA K - 635/573, SECTOR DUAO - SAN DIEGO - CRUCE RUTA 115 - CH y 30062890-0 CONSTRUCCIÓN PUENTE CAU CAU Y ACCESOS, VALDIVIA.
Comprometen recursos futuros por M$ 63.000 año 2023, M$ 47.000 año 2024 y M$ 87.000 año 2025.</t>
  </si>
  <si>
    <t>Se solicita autorización para compra de notebook para Subsecretario y tablet y teléfono celular para Director DIRPLAN</t>
  </si>
  <si>
    <t>2da. Reasig. Interna Ppto. 2022 programa FET conformada por 10 iniciativas que involucran pagos por M$ 53.400 destinado a gastos en materia de publicaciones y viaticos.</t>
  </si>
  <si>
    <t>Solicita identificar 4 proyectos y modificar 10 por un monto total M$ 2.736.385 para el 2022 y un arrastre de M$ 1.657.505 para el 2023.</t>
  </si>
  <si>
    <t>Solicita redistribución de recursos internos desde ST22 a ST2905, necesarios para procesos de fiscalización a las empresas sanitarias.</t>
  </si>
  <si>
    <t>Solicita la identificacion de 2 proyectos por M$1.539.000 y la modificacion de 7 iniciativas; las cuales generan compromisos futuros para 2023 de M$9.081.881 y M$17.517.064 para el 2024.</t>
  </si>
  <si>
    <t>Solicita Reasignacion interna para los proyectos "Conservacion Mayor Area de Movimiento Aeródromo Chamote" y "Conservacion Refugio de Psajeros F.Bianco, Cerro Sombrero"</t>
  </si>
  <si>
    <t>Se solicita reasignar fondos desde la asignación 002 a la 001 para el pago de publicaciones del proyecto: “Construcción Obras Marítimas Y Terrestres Caleta Horcón, Puchuncaví”.</t>
  </si>
  <si>
    <t>Se solicita identificar M$144.192.- en el ST 31, para financiar un estudio por M$44.192.- y un proyecto por M$ 100.000.-.
Además se requiere modificar 18 proyectos por M$ 2.097.054.-, ajustando su programación a la realidad actualizada de la inversión regional.</t>
  </si>
  <si>
    <t>Arquitectura solicita decreto de identificación y modificación presupuestaria por M$ 852.460, con el fin de la identificacar recursos de 5 proyectos incluidos en la Nómina de respaldo 2022 y 3 incrementos de recursos, correspondiente a la conservación de apoyo nivel nacional.</t>
  </si>
  <si>
    <t>Vialidad  programa regular solicita asignar presupuesto a 11 iniciativas y 30 proyectos en modificase.
Identifica proyectos por M$ 847.185, arrastres por M$ 14.105.000 para el año 2023, M$ 52.628.000 para el año 2024 y M$ 45.012.000 para el año 2025.
Modifica proyectos por M$ 9.471.475, arrastres por M$ 11.343.000 para el año 2023, M$ 6.395.000 para el año 2024 y M$ 1.645.000 para el año 2025.</t>
  </si>
  <si>
    <t>Arquitectura solicita identificar recursos del proyecto Centro interdisciplinario Neurociencia para ejecutar este año por M$ 22.000 que se encuentra con RATE IN, financiamiento proviene de los recursos reasignados de la Ley de presupuesto vigente 2022.
Arrastres por M$ 1.350.500 para el año 2023 y M$ 2.366.674 para el año 2024.</t>
  </si>
  <si>
    <t>Se solicita identificar el proyecto “Construcción Playa Sector Centro Taltal” por un monto total de M$ 1.250.190 para el pago de expropiaciones. Adicionalmente se pide modificar 5 proyectos en los que se deben realizar ajustes en montos y trabajos a realizar</t>
  </si>
  <si>
    <t>Se solicita reasignación interna para 12 proyectos.</t>
  </si>
  <si>
    <t>Se solicita reasignación interna para 6 proyectos.</t>
  </si>
  <si>
    <t>Se solicita reasignación interna para proyecto "CONSTRUCCION RAMPAS CONECTIVIDAD CANAL FITZ ROY, RIO VERDE" para el pago de publicaciones</t>
  </si>
  <si>
    <t>Solicita modificación presupuestaria para proyectos de Conservación de Riberas y específicos en varias regiones</t>
  </si>
  <si>
    <t>Solicita autorización para compra de 4 equipos computacionales Workstation</t>
  </si>
  <si>
    <t>Concesiones solicita propuesta de decreto del ST 31, por el monto de M$724.467, para cubrir pagos de compromisos contractuales de vencimiento entre los meses de abril a julio, dada la variación experimentada en el último mes del IPC, esta propuesta se financia con reasignaciones de esta Dirección  y no varía los años futuros.</t>
  </si>
  <si>
    <t>Concesiones solicita propuesta de decreto del ST 31, por el monto de M$494.000, para cubrir pagos de sentencia judicial y de lotes, de los contratos de Concesión Ruta 160 Tramo Coronel Tres Pinos, Autopista Concepción Cabrero, Nogales Puchuncaví y Vespucio Norponiente, se financia con Fondos sin Decretar M$182.741 , y el resto con recursos liberados de esta Dirección.</t>
  </si>
  <si>
    <t>Solicita Reasignación interna de cartera normal:
Se reasignan fondos en el ST 31.02 Cartera Regular por M$ 2.007.399</t>
  </si>
  <si>
    <t>Se solicita identificar 2 proyectos por un monto de M$30.500 y modificar 3 proyectos por M$105.800. Esta propuesta genera arrastres por M$1.390.973 para el 2023, M$2.093.400 para el 2024 y 1.000.000 para el 2025.</t>
  </si>
  <si>
    <t>Se solicita reasignacion interna de 3 proeyctos por un monto neto de M$67.990.</t>
  </si>
  <si>
    <t>Se solicita reasignacion interna proyecto Conservacion Mayor Aerodromo Chile Chico - Region de Aysen.</t>
  </si>
  <si>
    <t>Se solicita identificar el proyecto "Conservación de Recolección y Tratamiento de Aguas Servidas 2021-2022" pro un monto de M$ 3.343.275, sin compromisos futuros.</t>
  </si>
  <si>
    <t>Arquitectura solicita decreto de identificación y modificación presupuestaria por M$ 155.000, proyecto RESTAURACION PALACIO PEREIRA y el aumento de los arrastres en el proyecto CONSERVACION PISO 6 DE LA ARAUCANIA, el financiamiento proviene de los fondos sin decretar del Servicio.</t>
  </si>
  <si>
    <t>Se solicita reasignar fondos desde la asignación 004 a la 001 para el pago de publicaciones de los proyectos: “Conservación Global Plan de Recuperación Obras Portuarias, Región de Coquimbo”, BIP 40024046-0, por M$250 y “Conservación Caletas pesqueras Comuna de Chañaral”, BIP 40038131-0, por M$61</t>
  </si>
  <si>
    <t>Solicita identificar proyecto "Construcción Sistema de Aguas Lluvias Quilque, Los Angeles, VIII Reg."</t>
  </si>
  <si>
    <t>Se solicita identificar Conservación Obras de Riego en O'Higgins y Cuenca río Petorca, además de modificar 15 proyectos en diferentes regiones, principalmente en La Araucanía.</t>
  </si>
  <si>
    <t>Se solicita identificarel proyecto "Construcción Regadío Cuncumén, comuna de San Antonio"</t>
  </si>
  <si>
    <t>La Dirección de Vialidad solicita asignar presupuesto desde ST 31 al ST 29-03 por M$1.504.000 y 29-05 por M$89.000, para la adquisición de un camión y una camioneta equipados para inspección de puentes con carrocería de servicio, los cuales serán utilizados a nivel nacional y para la adquisición de una camioneta y un equipo de demarcación para la Dirección Regional del Biobío</t>
  </si>
  <si>
    <t>Se solicita identificar M$1.380.000.- en el ST 31, para financiar 4 conservaciones, 3 de la Región de Los Rios y 1 de Magallanes y Antártida Chilena. Además se requiere modificar 2 proyectos por -M$870.647.-, los cuales se requiere ajustar su programación a la realidad actualizada de la inversión regional</t>
  </si>
  <si>
    <t>Solicita identificar 9 Estudios Básicos por M$795.118, se destaca "Análisis Limitación  del Cauce del Río San José, Región de Arica y Parinacota", compromete recursos para el año 2023 por M$2.950.995, M$1.233.583 para el año 2024 y M$674.869 para el año 2025.</t>
  </si>
  <si>
    <t>Solicita identificar 12 iniciativas y modifiar 16 por un total de M$ 4.073.956 para el año 2022, con un arrastre de M$ 15.200.129 para el año 2023 y M$ 4.788.782 para el año 2024.-</t>
  </si>
  <si>
    <t>Servicio Solciita mejoramiento de remuneraciones para funcionaria Cythia Urrea, por un aumento menasual de $104.326.</t>
  </si>
  <si>
    <t xml:space="preserve">El Servicio solicita financiamiento asociado a Cartera Regular y cartera FET. 
 Cartera Regular 0204: Se solicita identificar 26 iniciativas por el monto de M$7.781.340, con arrastre para el año 2023 por M$38.174.000, M$22.268.000 para el año 2024 y M$17.300.000 para el año 2025; y modificar 2 estudios y 64 proyectos por M$4.216.020.
</t>
  </si>
  <si>
    <t>Solicita ST 22 para pago a Comisión de Expertos para fijación de Tarifas Aguas Patagonia periodo 2021-2026 SISS</t>
  </si>
  <si>
    <t>Solicita autorización para reemplazo y provisión de cargo vacante por retiro de funcionaria</t>
  </si>
  <si>
    <t>Solicita identificar 3 proyectos de Ocnservación por un monto de M$817.228, sin compromisos futuros.</t>
  </si>
  <si>
    <t>Solicita modificación de presupuesto Subtítulo 34, para pago Servicio Deuda Externa, en M$34.691.</t>
  </si>
  <si>
    <t>Solicita autorización para desarrollo de softares a través del ST 29.07 para 3 proyectos que poseen ficha EVALTIC</t>
  </si>
  <si>
    <t>Solicita Reasignación interna de cartera FET:
Se reasignan fondos en el ST 31.02 Cartera FET por M$ 1.798.000</t>
  </si>
  <si>
    <t xml:space="preserve">Vialidad en programa regular disponibiliza recursos por M$ 170.570.008 los que seran destinados a DGC programa regular. 
</t>
  </si>
  <si>
    <t>El Servicio solicita financiamiento asociado a Cartera Regular y cartera FET. 
Cartera FET 0254: Se solicita identificar 03 iniciativas por M$4.052.500 y modificar 37 proyectos que se reasignan para financiar lo anterior.</t>
  </si>
  <si>
    <t>Solicita identificar el proyecto "Construcción Sistema de Riego Embalse Empedrado" con RATE IN por M$4.572.314 y M$3.071.690 para el año 2023.</t>
  </si>
  <si>
    <t>Solicita autorización para adquisición de 5 licencias Windows, para computadores del Servicio.</t>
  </si>
  <si>
    <t>La Dirección de Arquitectura solicita Modificar Presupuesto para el año 2022, para traspasar recursos al GORE de Arica y Parinacota para el proyecto "Construcción Museo Antropológico San Miguel de Azapa", por un monto total de M$4.072.410 para el año 2022, se financia con fondos sin Decretar del ST 31 FET y ST 30 FET del Servicio.</t>
  </si>
  <si>
    <t>Se solicita modificar 6 proyectos dentro de los que destaca “Mejoramiento Borde Costero de Curaco de Vélez” que debió incorporar pilotes y vigas de soporte en pasarelas dados los hallazgos arqueológicos detectados para no intervenir dichos hallazgos. Esta propuesta es de suma cero.</t>
  </si>
  <si>
    <t>Se solicita reasignación interna para el proyecto "Conservación Mayor pista 17L35R y Rodajes asociados Aeropuerto AMB, Plan de Recuperación</t>
  </si>
  <si>
    <t>Solicita traspaso desde ST31 proyectos "Normalizacipon Aeródromo La Florida" y "Conservación Mayor Area de Movimiento Aeródromo De Caldera", a ST29 para compra de Maquinas y Equipos, Equipos Infomraticos y Programas Informaticos por M$224.961.-</t>
  </si>
  <si>
    <t>Se solicita identificar M$3.001.673.- en el ST 31, para financiar 9 proyectos, de los cuales 8 corresponden a conservaciones y un nuevo proyecto que obtuvo RS.
Además se requiere modificar 23 proyectos por -M$2.683.402.-, los cuales se requiere ajustar su programación a la realidad actualizada de la inversión regional</t>
  </si>
  <si>
    <t>Se solicita reasignación desde ST31 DV por M$104.000.- para la adquisicion de Mobiliarios ST2904 M$93.000 y Maquinas ST2905 por M$11.000</t>
  </si>
  <si>
    <t>Solicita autorización para la compra de 3 Vehículos Fiscales por M$65.078 y adquisicion de Equipos Informáticos ST2906 por M$22.273.-</t>
  </si>
  <si>
    <t>Modificación N°3: Solicita modificación de 4 Estudios Básicos, disminuyendo en M$118.810.-; así mismo se solicita la Modificación de 16 Proyectos en ST3102 por un valor neto de M$118.810.-. En ambos casos no existe compromisos futuros.</t>
  </si>
  <si>
    <t>Solicita modificación presupuestaria para 5 proyectos por un monto de M$3.338.900, sin compromisos futuros.</t>
  </si>
  <si>
    <t>Solicita autorización para adquirir 2 vehículos para funciones del Servicio, no para autoridades.</t>
  </si>
  <si>
    <t>Solicita traspaso desde FSD ST31 FET a ST 22 por un monto de M$418.980 y a ST29 por M$398.248, para financiar 3 iniciativas del respaldo Ley que no fueron decretadas por DIPRES.</t>
  </si>
  <si>
    <t>Solicita reasignación interna para 5 proyectos por un monto de M$667.241. Proyectos de sequía en regiones de O'Higgins, Ñuble, RM y estanques de Aysén.</t>
  </si>
  <si>
    <t>Solicita identificar 11 iniciativas de sequía regionales por un monto de M$20.304.193, sin compromisos futuros.</t>
  </si>
  <si>
    <t>Suplemento FET: Solicita la identificacion de 3 proyectos por un monto total de M$2.990.082.- los cuales no generan compromisos futuros.</t>
  </si>
  <si>
    <t>Solicita transferencia de recursos para 2022 para consultoría sobre libro de obra digital, Sistema de Registro, licencias y 3 estudios del ST 22,11</t>
  </si>
  <si>
    <t>Solicita transferencia de recusos 2022 para la compra de 6 vehículos y su autorización.</t>
  </si>
  <si>
    <t xml:space="preserve">solicita autorización para compra de computadores y monitores fuera de compra coordinada. </t>
  </si>
  <si>
    <t>Solicita reasignar proyecto "Conservación PAD Zona Central 2021/2022" por un monto neto de M$443 desde Consultorías a Obras Civiles.</t>
  </si>
  <si>
    <t>Se solicita identificar proyecto Conservación de Ribera Interregional 2022-2024</t>
  </si>
  <si>
    <t xml:space="preserve">El Servicio solicita financiamiento destinado a programa FET 0254 por M$ 9.268.810. 
ST. 29.03 destinado a Vehiculos por M$ 3.988.000.
ST. 29.05  destinado a Equipos M$ 5.280.810
</t>
  </si>
  <si>
    <t>Solicita asignación adicional de Ppto subtítulo 22 para reparación de vehículos fiscales.</t>
  </si>
  <si>
    <t>ESTRUCTURA: Se solicita traspaso de ST31.02 FSD a ST31.01 para financiar Estudios Básicos</t>
  </si>
  <si>
    <t>Solicita asignación adicional de Ppto subtítulo 29.06 por M$41.922 para adquisición de microcomputadores. Tiene ficha EVALTIC aprobada.</t>
  </si>
  <si>
    <t>Solicita autorización para adquirir 2 vehículos y reponer cupos autorizados y disponibles. Presupuesto regular.</t>
  </si>
  <si>
    <t>Solicita asignación adicional de Ppto subtítulo 29.07 por M$763.073 para adquisición de licencias Microsoft y SQL. Tiene ficha EVALTIC aprobada.</t>
  </si>
  <si>
    <t>Solicita asignación adicional de Ppto ST 29.03 por M$25.000 para adquisición de 1 camioneta y completar cupos autorizados y ST 29.04 por M$87.942 para mobiliario.</t>
  </si>
  <si>
    <t>Solicita asignación adicional de Ppto subtítulos 22 por M$18.500 y 29 por M$452.570.</t>
  </si>
  <si>
    <t>La Dirección de Vialidad solicita identificar 77 iniciativas de inversión y modificar el presupuesto de 45  proyectos. La solicitud es financiada por medio de las reasignaciones presupuestarias propuestas y fondos sin decretar disponibles del Servicio.
Cabe señalar que los proyectos que se identifican, se incluyen en la cartera de proyectos que cambian su financiamiento.</t>
  </si>
  <si>
    <t>La Dirección de Vialidad financia traspaso desde presupuesto regular de la Dirección de Vialidad por M$ 170.570.009 con recursos que provienen de ajuste de financiamiento de la cartera y de fondos sin decretar, los que son destinados al ppto. regular de la DGC</t>
  </si>
  <si>
    <t>La Dirección de Planeamiento solicita la asignación de recursos en Subtítulo 31, para el Estudio Básico denominado “Diagnóstico Plan de Inversión Servicios Sanitarios Rurales Macrozona Norte”, por un monto M$32.143 para el año 2022 y M$181.013 para el año 2023. El presupuesto requerido será financiado con un traspaso de fondos sin Decretar desde el Subtítulo 31 de la Dirección de Vialidad.
Además solicita identificar el estudio "Análisis Plan de Inversión en Soluciones de Reuso 12 Localidades Rurales" por el monto de M$30.000 para el año 2022 y M$125.131 para el año 2023.</t>
  </si>
  <si>
    <t xml:space="preserve">La Dirección de Planeamiento solicita la asignación de recursos adicionales en Subtítulo 29, ítem 03 "Vehículos" por M$40.000; ítem 04 "Mobiliario" M$5.680;  ítem 05 "Máquinas y Equipos" M$5.532; ítem 06 "Equipos Informáticos" M$98.030 e ítem 07 "Programas Informáticos" por M$5.0000. El presupuesto requerido será financiado con un traspaso de fondos desde el Subtítulo 30 de otros Servicios MOP.
Además solicita recursos por M$325.000, en el ST 22.11.001 para 4 estudios "Diseño Plan Director de Infraestructura para el 2055", "Elaboración Metodología de Formulación y Evaluación de Proyectos de Infraestructura Verde y Soluciones Basadas en la Naturaleza", "Libro Blanco de la Descentralización del MOP" y "Libro Blanco del Enfoque de Género del MOP".
</t>
  </si>
  <si>
    <t xml:space="preserve">La Dirección de Planeamiento solicita la asignación de recursos adicionales en Subtítulo 21 por M$411.598, asociado a lo anterior solicita el el ST 22 M$1.340, ST 29, íítem 04 "Mobiliario" M$15.404; ítem 06 "Equipos Informáticos" M$27.444. El presupuesto requerido será financiado con un traspaso de fondos desde el Subtítulo 30 de otros Servicios MOP.
</t>
  </si>
  <si>
    <t xml:space="preserve">La Dirección de Arquitectura solicita la asignación de recursos adicionales en Subtítulo 21 por M$291.804, en Subtítulo 29, ítem 04 "Mobiliario" M$16.142;  ítem 05 "Máquinas y Equipos" M$24.953; ítem 06 "Equipos Informáticos" M$93.115 e ítem 07 "Programas Informáticos" por M$156.815. El presupuesto requerido será financiado con un traspaso de fondos desde el Subtítulo 30 de otros Servicios MOP.
Además solicita recursos por M$50.000, en el ST 22.11.001 para estudio "Servicio de Conservación y Digitalización de Planimetría Histórica".
</t>
  </si>
  <si>
    <t>La Dirección de Arquitectura solicita la asignación de recursos adicionales en Subtítulo 22 por M$40.000, para seguridad de ascensores Valparaíso.</t>
  </si>
  <si>
    <t>Se solicitan recursos por un monto de M$ 1.042.414, para el proyecto Conservación de apoyo nivel nacional, ajuste gastos administrativos ascensores monjas Villaseca y conservación de ascensores, se solicita además recursos adicionales por el mayor gasto programado en la obra restauración iglesia San Francisco Barón de la región de Valparaíso.</t>
  </si>
  <si>
    <t>solicitud de recursos para implementación Plan de Infraestructura para Territorios Indígenas de Arauco, Malleco y Cautín, Dirección General de Obras Públicas FET Covid</t>
  </si>
  <si>
    <t>solicitud de recursos  adicionales para reforzar el trabajo comprometido en el desarrollo de obras y consultorías propias de la DOP, para el cabal cumplimiento del programa FET y renovación de 6 camionetas</t>
  </si>
  <si>
    <t>Solicita reasignación presupuestaria para cubrir el financiamiento de las siguientes necesidades para la continuidad operacional ST 22: M$ 35.790 y ST 29: M$ 91.190</t>
  </si>
  <si>
    <t>Se solicita identificar y reasignar recursos en el Subtítulo 31 “Iniciativas de Inversión” por un monto total
de M$2.642.515, para cubrir modificaciones de contratos de asesorías de inspección fiscal vigentes,
principalmente del proyecto “Concesión Ruta 5 – Santiago - Los Vilos”, llamados a licitación de “Concesión
Sistema Américo Vespucio Oriente Tramo Príncipe de Gales - Los Presidentes” y “Concesión Ruta G-21
Acceso Centros de Esquí”, entre otras. Asimismo, complementar recursos para el pago de sentencias por
discrepancias en los proyectos “Ruta 5 Tramo Talca – Chillán” y “Concesión Sistema Américo Vespucio
Oriente Tramo El Salto - Príncipe de Gales”</t>
  </si>
  <si>
    <t>Se solicita reasignación interna para proyectos "Conservación Caletas pesqueras Comuna de Chañaral", BIP 40038131-0, para el pago de publicaciones</t>
  </si>
  <si>
    <t>Se solicita financiamiento  bajo programa regular DV por un monto de M$ 10.760.623 destinado a iniciativas de Conservación Globales Mixtas y ajuste Art 19. 
Considera iniciativas de inversiones de arrastre de la cartera de proyectos en ejecución, se ajusta el presupuesto de arrastre del Servicio y se insiste iniciativas no aprobadas en modificaciones anteriores.
Se identifican 30 iniciativas y se consideran 57 proyectos en modificase.</t>
  </si>
  <si>
    <t>Se solicita ppto extra en ST29 para compra de Maquinas y Equipos como tambien Equipos Computacionales. Adicionalmente se requiere ST22 M$250.000 para comision de Expertos.</t>
  </si>
  <si>
    <t>Solicita Decreto de Ajuste Presupuestario para el año 2022, correspondiente al traspaso desde el ST 30 Adquisición de Activos Financieros de la Dirección de Arquitectura, que asciende a M$2.609.768 y de la Dirección General de Concesiones que asciende a M$9.735.305, a diversos Programas con financiamiento FET-Covid-19, como también ajustes presupuestarios entre Programas FET-Covid-19. Esta solicitud incluye el traspaso del ST 30 al ST 21 Gasto en Personal, ST 22 Bienes y Servicios de Consumo y de forma parcial al ST 29 Adquisición de Activos no Financieros de diferentes Programas FET-Covid-19 según planilla adjunta y antecedentes de respaldo.
Por otro lado, se rebajan M$10.203.036 del ST 31 de la Dirección de Obras Hidráulicas FET-Covid-19, los que permiten financiar el complemento de los requerimientos del ST 29 y los requerimientos del ST 31 de la Dirección General de Aguas FET-Covid-19 y de la Dirección de Aeropuertos FET-Covid-19, según propuesta adjunta y antecedentes de respaldo.</t>
  </si>
  <si>
    <t>Solicita identificar proyecto de prefactibilidad por Glosa 04 en la Región de Atacama, por un monto de M$301.000 para el 2022 y M$400.000 para el 2023.</t>
  </si>
  <si>
    <t>Solicita M$555.732 en ST 21, M$140.095 en ST 22, M$330.000 en ST 22.11, M$ 646.995 en ST 29 y M$ 410.000 en ST 31; para implementar las modificaciones al Código de Aguas 2023.</t>
  </si>
  <si>
    <t xml:space="preserve">La Dirección de Planeamiento solicita la asignación de recursos adicionales en Subtítulo 29, ítem 03 "Vehículos" por M$40.000; ítem 04 "Mobiliario" M$5.680;  ítem 05 "Máquinas y Equipos" M$5.532; ítem 06 "Equipos Informáticos" M$98.030 e ítem 07 "Programas Informáticos" por M$5.000. El presupuesto requerido será financiado con un traspaso de fondos desde el Subtítulo 30 de otros Servicios MOP.
Además solicita recursos por M$280.000, en el ST 22.11.001 para 4 estudios "Diseño Plan Director de Infraestructura para el 2055", "Elaboración Metodología de Formulación y Evaluación de Proyectos de Infraestructura Verde y Soluciones Basadas en la Naturaleza", "Libro Blanco de la Descentralización del MOP" y "Libro Blanco del Enfoque de Género del MOP".
</t>
  </si>
  <si>
    <t>Solicita autorización para la adquisición de consultoría para proyecto informático denominado Internalización del Libro de Obra Digital, para la Dirección General de Obras Públicas, con financiamiento FET - Covid -19</t>
  </si>
  <si>
    <t>La Dirección de Vialidad solicita asignar presupuesto desde ST 31 al ST 29-07 por M$424.000 con la finalidad proveer el financiamiento para la adquisición de 50 licencias del Software HDM-4 en su versión 2.10 los que serán destinados a formuladores de iniciativas de inversión de todo el país.</t>
  </si>
  <si>
    <t>Se solicita reasignación interna para 4 proyectos</t>
  </si>
  <si>
    <t>El Servicio solicita modificar 3 Estudios Básicos, identificar 1 proyecto y modificar 34 proyectos en distintas regiones.</t>
  </si>
  <si>
    <t>Solicita modificar 33 proyectos por un monto de M$1.133.419 del fondo FET, sin compromisos futuros y modificar 3 proyectos por un monto de M$30, del fondo Regular, con un arrastre de M$612.916 para el año 2023.</t>
  </si>
  <si>
    <t>Solicita identificar 16 proyectos por un monto de M$3.092.666 con un arrastre de M$10.199.378 para el año 2023. Además, se solicita modificar 3 proyectos por un monto de - M$2.217.959, con un arrastre de M$2.923.908 para el año 2013.</t>
  </si>
  <si>
    <t>Se solicitan recursos por un monto de M$1.000 para el año 2022 y M$548.000 para el año 2023, para el proyecto "Construcción Centro Gabriela Mistral Etapa 2", por el pago de seguridad y contratos de administración directa para el resguardo de la obra.</t>
  </si>
  <si>
    <t>Solicita modificación de 7 proyectos DOP_FET Covid 19</t>
  </si>
  <si>
    <t>Solicita Reasignación interna de cartera normal:
Se reasignan fondos en el ST 31.02 compuesta por 36 iniciativas Cartera Regular por M$ 1.692.187.</t>
  </si>
  <si>
    <t>Solicita Reasignación interna de cartera FET:
Se reasignan fondos en el ST 31.02 compuesta por 6 iniciativas Cartera FET por M$ 36.287.</t>
  </si>
  <si>
    <t>solicitud de reasignación de presupuesto para el proyecto: "CONSTRUCCIÓN BORDES COSTEROS DE CHONCHI", BIP 30339273-0 debido a aumento de los reajustes del proyecto desde la asignación 31 02 002 a la 31 02 004.</t>
  </si>
  <si>
    <t>Estructura incrementa Estudios Básicos en M$52.518 y rebaja Proyectos en el mismo monto.</t>
  </si>
  <si>
    <t>Se solicita reasignación interna para 3 proyectos</t>
  </si>
  <si>
    <t>solicita identificar el proyecto "CONSERVACION PROTECCION COSTERA LIPIMAVIDA" dentro del presupuesto FET y modificar otro</t>
  </si>
  <si>
    <t>Se solicita autorización para la ejecución de los gastos de operación programados en el Subtítulo 24.03.001 por M$60.224</t>
  </si>
  <si>
    <t>Solicita recursos para implementación de modificaciones al Código de Aguas en ST21, 22, 29 y para 6 proyectos de Conservación ST31. Se financia con rebaja de DOH FET por M$4.922.104</t>
  </si>
  <si>
    <t>Solicita reasignación interna de tres proyectos</t>
  </si>
  <si>
    <t xml:space="preserve">DGC: Sol.Reasignación Interna:
Se solicita reasignación presupuestaria interna del Subtítulo 31 “Iniciativas de Inversión”, para regularizar el gasto por concepto de publicaciones de llamados a licitación de contratos de consultoría y pagos de viáticos de Inspectores Fiscales para la correcta fiscalización de los contratos que tienen a su cargo. </t>
  </si>
  <si>
    <t>Se solicita reasignación interna DOH para 4 proyectos</t>
  </si>
  <si>
    <t>Solicita identificar 11 iniciativas de sequía regionales por un monto de M$110 y M$29.125.266 para el año 2023.</t>
  </si>
  <si>
    <t xml:space="preserve">Se solicita financiamiento  bajo programa regular DV por un monto de M$ 41.300 destinado a identificación de iniciativas priorizadas por el Servicio y que están a la espera de financiamiento para continuar con los trámites de licitación correspondientes.
</t>
  </si>
  <si>
    <t>Modificación N°4: Se solicita la Modificación de 10 Proyectos en ST3102 por un valor neto de M$1.256.651; destacando "Conservación Caminos Perimetrales Interiores Aeropuerto AMB, Plan de Recuperación" y "Conservación Mayor Infraestructura Horizontal Aeropuerto Carriel Sur, Plan de Recuperación"</t>
  </si>
  <si>
    <t>Se solicita reasignar internamente 5 proyectos para el pago de publicacionesen presupuesto regular</t>
  </si>
  <si>
    <t>Se identifican 3 proyectos y se modifican 9 donde se destaca "CONSTRUCCION EMBARCADERO DE CONECTIVIDAD SECTOR LAS COLORADAS ISLA DEL REY COMUNA DE CORRAL"
Genera arrastres al 2023 por M$5.337.201</t>
  </si>
  <si>
    <t>Se solicita identifica 1 EB por M$336.291, modifica 1 EB por M$10.452, identifica 10 proyectos por M$2.818.271 y modifica 27 proyectos por M$ -3.999.459 en diferentes regiones del país.  Contiene Estructura</t>
  </si>
  <si>
    <t>Se solicita reasignación interna para el proyecto"Conservación, mantención y ampliación Sistema APR, Región de Valparaíso (Glosa 04)</t>
  </si>
  <si>
    <t>Se solicita reasignación interna para los proyectos "Mejoramiento Integral sistema APR Chanavayita, Iquique", por un monto de M$ 45.960 y "Conservación, mantención y ampliación sistema APR Región de Coquimbo (Glosa 05)" por un monto de M$3.650.</t>
  </si>
  <si>
    <t>Reasignación interna del proyecto CONSERVACION GLOBAL PLAN DE RECUPERACION OBRAS PORTUARIAS REGION DE COQUIMBO para el pago de publicaciones</t>
  </si>
  <si>
    <t>Solicita autorización para la compra de 10 camionetas 4x4. compra excede los 350UTM</t>
  </si>
  <si>
    <t xml:space="preserve">Se solicita identificar recursos en el Subtítulo 31, para el proyecto “Restauración Palacio Pereira y Reposición Edificios Consejo Monumentos Nacionales y DIBAM”, por un monto total de M$154.000 para el año 2022, para pagar indemnización por mayores gastos a la empresa contratista. No se comprometen recursos para años siguientes. 
Esta propuesta se financia con fondos sin Decretar del Servicio.
</t>
  </si>
  <si>
    <t>Se solicita reasignación interna para el proyecto Construccion Defensas Fluviales Rio Andalien y Otros, Concepción"</t>
  </si>
  <si>
    <t>Solicita autorización para la compra de 2 notbook bajo modalidad de licitación pública para el trabajo en terreno de los funcionarios del Departamento de Protección y Conservación de Recursos Hídricos (DCPRH) por M$8.883 para el proyecto 30130267-0</t>
  </si>
  <si>
    <t>Solicita Reasignación interna de cartera normal:
Se reasignan fondos en el ST 31.02 compuesta por 26 iniciativas Cartera Regular por M$ 1.227.610.</t>
  </si>
  <si>
    <t>Solicita Reasignación interna de cartera FET:
Se reasignan fondos en el ST 31.02 compuesta por 3 iniciativas Cartera FET por M$ 77.740.</t>
  </si>
  <si>
    <t>Solicitia reasignación interna para 3 iniciativas de inversión por un total de M$436.503.</t>
  </si>
  <si>
    <t>Se solicita reasignación interna para el proyecto CONSERVACIÓN RUTINARIA AERÓDROMO PELDEHUE, COLINA desde la asignación 004 a la 002</t>
  </si>
  <si>
    <t>Se solicita financiamiento  bajo programa regular DV por un monto de M$ 320.800 dentro de las que destacan Código BIP : 40031004-0 “CONSTRUCCION 
CONEXION VIAL SECTOR PAN DE AZUCAR-AGUAS CALIENTES-CR. RUTA 5  CMT”, y BIP: 40031194-0 “MEJORAMIENTO CBI VARIOS CAMINOS LA  ARAUCANIA ETAPA 1”, los cuales obtuvieron su rate favorable, recientemente y se  encuentra en la cartera de prioridades del Servicio y en la Ley de Presupuestos año 2022  de la Dirección de Vialidad.</t>
  </si>
  <si>
    <t xml:space="preserve">Se solicita identificar el proyecto “Ampliación Área de Movimiento Pequeño Aeródromo Alto Palena, Palena”, por un monto de M$273.961, genera compromisos por M$1.102.393 para el año 2023.
Además, se solicita modificar el estudio básico “Actualización Plan Maestro Aeropuerto AMB y Estudio Localización NAMZC”, por un monto de M$8.000, no genera compromisos para años siguientes y reasignar recursos en 10 proyectos por un monto de M$410.687, entre los que destacan: “Conservación Rutinaria Camino Perimetral Aeropuerto Chacalluta, Región de Arica y Parinacota”, “Ampliación y Mejoramiento Aeródromo Pichoy Valdivia” y “Ampliación y Mejoramiento Aeropuerto Andrés Sabella Región de Antofagasta”, que generan compromisos por M$498.577 para el año 2023, M$10.255.968 para el año 2024, M$9.615.455 para el año 2025 y M$79.847 para el año 2026. 
</t>
  </si>
  <si>
    <t>La Dirección de Arquitectura solicita gestionar pronunciamiento a DIPRES respecto a imputación de recursos para contratar servicios asociados a contratos de los proyectos que se encuentra administrando, los cuales por distintas razones, se encuentran en proceso de liquidación anticipada de obras; tales con Ascensores de Valparaíso, Contraloría de Tarapacá, entre otros.</t>
  </si>
  <si>
    <t>Solicita autorización para la adquisición de equipamiento tecnológico por un monto de M$ 136.122 (80 Laptop, monitores, Escaner de álto Rendimiento, discos duros SSD 1 TB y cámaras de video conferencias Polycom)</t>
  </si>
  <si>
    <t>solicita identificar 7 proyectos  y modificar 42 iniciativas de inversión para el año 2022, en el programa “Dirección de Obras Hidráulicas”. La Solicitud tiene arrastres para el 2023 por M$20.724.400 y M$5.028.206 para el 2024</t>
  </si>
  <si>
    <t>Se solicita reasignación interna para el proyecto CONSERVACIÓN MAYOR AREA MOVIMIENTO AP ANDRES SABELLA ANTOFAGASTA desde la asignación 002 a la 004</t>
  </si>
  <si>
    <t>Se solicita Reasignación Interna en Reg. De Los Ríos y B. O'Higgins</t>
  </si>
  <si>
    <t>Se solicita Reasignación Interna en Reg. del Lib. B. O'Higgins</t>
  </si>
  <si>
    <t>Se solicita Reasignación Interna Conservación Embalse Aromos</t>
  </si>
  <si>
    <t>Se solicita identificar 9 proyectos  destacando "Conservación Estanques 2022 - 2023 Región del Bío Bío", además de modificar 10 iniciativas</t>
  </si>
  <si>
    <t>Se solicita reasignación interna proyecto Construcción Obras de Retención en Hondonada Quebrada de Macul</t>
  </si>
  <si>
    <t>Se solicita traspaso presupuestario provenientes de FSD ST. 31.02 por $M$9.998.646, los que seran destinados al ST. 29 adquisición de activos no financieros para dar cumplimiento a las condiciones necesarias que se requieren a nivel nacional, regional y provincial de la Dirección de Vialidad, dotando a los Laboratorios y Maestranzas de Vialidad de equipamiento suficiente para enfrentar adecuadamente el control de calidad de las obras viales que se ejecutan en todo el país. Así mismo permitir mejores condiciones de trabajo en los espacios laborales y mayor capacidad de procesamiento de información.
Cabe mencionar que solo se plantean renovaciones de parque vehicular y de maquinarias obsoletos.</t>
  </si>
  <si>
    <t xml:space="preserve">Se solicita identificar los proyectos “Conservación Caminos Perimetrales Interiores Aeropuerto AMB, Plan de Recuperación”, “Ampliación Área de Movimiento Pequeño Aeródromo Alto Palena, Palena” y otros, por un monto de M$3.694.746, genera compromisos por M$4.565.525 para el año 2023.
Además, se solicita modificar el estudio básico “Actualización Plan Maestro Aeropuerto AMB y Estudio Localización NAMZC”, por un monto de M$7.000, no genera compromisos para años siguientes; y reasignar recursos en 29 proyectos por un monto de M$1.656.116, que generan compromisos por M$41.949.075 para el año 2023, M$45.885.010 para el año 2024, M$9.596.843 para el año 2025 y M$79.847 para el año 2026. 
</t>
  </si>
  <si>
    <t xml:space="preserve">Se solicita identificar y modificar iniciativas de inversión del presupuesto del ST 31 de la Dirección de Aeropuertos para este año, las cuales se financian con los fondos asignados con cargo al FET - COVID - 19.
Se solicita identificar el proyecto “Conservación Rutinaria Aeropuerto Mataveri Rapa Nui 2022”, por un monto de M$1.000.244, no genera compromisos para el año 2023.
Además, se solicita reasignar recursos en 14 proyectos por un monto de M$3.561.076
</t>
  </si>
  <si>
    <t>Identifica 3 proyectos y modifica 1 Estudio básico y 9 proyectos. Solicitud de suma cero. Con arrastre de M$12.367.741 para el 2023, M$ 13.634.720 para el 2024 y M$5.500.000 para el 2025
Tiene estructura</t>
  </si>
  <si>
    <t>Solicita pronunciamiento para pagar deudas del proyecto “CONSTRUCCIÓN TEATRO REGIONAL DEL BIOBÍO”, BIP N°30084787-0con el Subtítulo 26, para luego proceder a realizar las gestiones de financiamiento que se indique</t>
  </si>
  <si>
    <t>Solicita traspaso desde ST 24 al ST 22 de la DGC por M$30.000 y modificación de Glosa 09 a M$30.224</t>
  </si>
  <si>
    <t>Subsecretaría solicita aumento de presupuesto en el ST. 29.04 por M$ 87.942 , los que serán destinados a adquisición de Mobiliario obsoleto. El financiamiento proviene por una parte de de  traspaso presupuestario ST. 29 Ppto. regular SOP por un monto de M$ 7.778, corresponde a saldo presupuestario proyectado en el ST. 29.05 Máquinas y Equipos y  saldo por M$ 80.164 proviene de traspaso de fondos desde ST. 31 DOH programa regular.</t>
  </si>
  <si>
    <t>Concesiones solicita reasignar recursos, principalmente Hospital de Maipú y la Florida, Acceso Vial AMB, Aeropuerto El Tepual de Puerto Montt, llamados a licitación de las AIF de Conexión Vial Ruta 68 hasta la Ruta 78, Hospital Félix Bulnes, entre otras, además complementar recursos de estados de pagos del último trimestre y suplementar recursos para los reajustes de las AIF vigentes. También se reasignan recursos de estudios Mejoramiento y Ampliación Concesión Ruta 57 Santiago Colina Los Andes, entre otros, por el monto de M$4.138.968, el cual se financia con reasignaciones del Servicio.</t>
  </si>
  <si>
    <t>Se solicita transferir desde el St. 31 M$168.000 para el St. 29 para incrementar los item 03-05-06 y 07.</t>
  </si>
  <si>
    <t xml:space="preserve">La Dirección de Contabilidad y Finanzas, solicita un aumento de presupuesto en M$93.702, los que serán destinados a: ST 29.04: M$21.995; ST 29.05: M$13.013 y ST 29.06: M$58.694. El financiamiento proviene del ST 31 DOH.
</t>
  </si>
  <si>
    <t xml:space="preserve">La Dirección de Contabilidad y Finanzas, solicita autorización para la compra de PC por M$55.000. El financiamiento proviene del ST 31 DOH.
</t>
  </si>
  <si>
    <t>Vialidad solicita la autorización para realizar una prórroga del  contrato actual, mediante trato directo, con las actuales condiciones del  contrato (331 líneas por un costo unitario de $3.637), por un periodo de 6 meses o hasta que entre en vigencia el contrato correspondiente al nuevo proceso licitatorio, considerando que,  de acuerdo al calendario de compras coordinadas para el año 2022, la invitación para Telefonía Móvil y BAM es en junio 2022, la publicación en octubre y la adjudicación en diciembre del presente año.</t>
  </si>
  <si>
    <t>Se solicita reasignación presupuestaria interna del Subtítulo 31 “Iniciativas de Inversión”, para regularizar el gasto por concepto de publicaciones de llamados a licitación de contratos de consultoría y pagos de pasajes aéreos de Inspectores Fiscales para la correcta fiscalización de los contratos que tienen a su cargo, por el monto de M$133.976.</t>
  </si>
  <si>
    <t>Servicio solicita reasignacion desde el ST 29.03 por M$1.129.817 al ST 29.04 por M$ 30.300; 29.05 por M$ 775.786, 29.06 por M$ 69.103 y 29.07 por M$ 254.628 ya que los contratos de las construcciones de las barcazas del Lago Ranco y Lago O´Higgins se encuentran detenidos operacionalmente debido a problemas contractuales con la empresa contratada</t>
  </si>
  <si>
    <t>Solicita Reasignación interna de cartera normal:
Se reasignan fondos en el ST 31.02 compuesta por 10 iniciativas Cartera Regular por M$ 923.470.</t>
  </si>
  <si>
    <t>Solicita Reasignación interna de cartera FET:
Se reasignan fondos en el ST 31.02 compuesta por 2 iniciativas Cartera FET por M$ 400.000.</t>
  </si>
  <si>
    <t>Se solicita identificar 2 proyectos por un monto de M$51.000, modificar 5 Estudios Básicos por M$-601.631 y modificar 57 proyectos por M$-15.655.735.  La propuesta contiene estructura donde se requiere rebajar el St. 31 por M$17.322.211, se traspasa desde el St. 31 al St. 29 por M$1.139.546.</t>
  </si>
  <si>
    <t xml:space="preserve">Solicita traspaso pptario desde ST31 para ST 29 por M$41.720. ST 29.04: M$4.248 para 19 muebles; ST 29.05: M$2.216 para máquinas dispensadoras de agua desmineralizada, extractores de aire, Smart TV y perforadora; ST 29.06: M$35.256 para 38 equipos tales como plotter, desktop gama 3 y monitores. El financiamiento de la propuesta proviene del  ST 31.01 del Servicio por M$6.483 y en el ST 31-02 de la Dirección de Obras Hidráulicas por M$35.237.
</t>
  </si>
  <si>
    <t>Solicita requerimiento adicional ST2905 para la compra de 3 Equipos medidores de Gases M$5.000 y una caldera para la oficina Regional de Punta Arenas M$5.000</t>
  </si>
  <si>
    <t>La presente solicitud está conformada por proyectos de cartera regular con 67 proyectos en  identificase y 202 en modificase</t>
  </si>
  <si>
    <t>La presente solicitud está conformada por proyectos de cartera FET con 30 proyectos en modificase</t>
  </si>
  <si>
    <t>Solicita autorización para renovar contrato de arriendo de la Dirección de Vialidad,inmueble ubicado en la calle Bandera N° 76, piso 9, Oficina Nº 901, comuna de Santiago, debido al aumento de funcionarios asociado al actual “Plan de Reactivación Económica”, asociado al Fondo de Emergencia Transitorio COVID–19.</t>
  </si>
  <si>
    <t>Se solicita reasignación interna de 4 proyectos</t>
  </si>
  <si>
    <t>Se solicita reasignación interna de 3 proyectos</t>
  </si>
  <si>
    <t>El servicio solicita modificar 4 Estudios Básicos y 13 proyectos, la propuesta contiene una estructura de rebaja al St. 31 por M$11.587.196</t>
  </si>
  <si>
    <t>Reasignación interna del proyecto CONSERVACION PROTECCIÓN BORDE COSTERO AVDA. PERÚ, VIÑA DEL MAR para el pago de ajuste de cubos</t>
  </si>
  <si>
    <t>Solicita autorización para Comisión de Servicio al Extranjero y Modificación glosa gasto de viáticos al exterior para la Dirección de Vialidad.</t>
  </si>
  <si>
    <t>El Servicio solicita fondos para habilitación de pozos existentes "Agua para Chile" en 5 proyectos por M$281.518 los que generan compromisos por M$1.898.666 para el 2023.  Además se solicita sustituir M$21.907.204 por M$22.188.722 en la Glosa N°4.</t>
  </si>
  <si>
    <t>El servicio solicita identificar 3 proyectos y modificar 38 proyectos destacando "Mejoramiento y Ampliación Sist. APR San Luis Villa Alegre, Placilla", se solicita una estructura de rebaja para el St. 31 por M$8.882.776, también se solicita modificar el St 29  en M$1.375.022.</t>
  </si>
  <si>
    <t>El Servicio solicita identificar 6 proyectos y modificar 31 proyectos, también se solicita una estructura de rebaja al St. 31 por M$41.657.117.</t>
  </si>
  <si>
    <t>Servicio solicita la modificación de 4 Proyectos regular Peldehue y Arica y Parinacota, generando compromisos futuros de M$187.767 año 2023 , M$119.007 año 2024 y M$164.863 para año 2025</t>
  </si>
  <si>
    <t>Se solicita Reasig. Interna por un monto neto de M$2.200 de los proyectos "Conservación Mayor Area de Movimiento Aeropuerto Diego Aracena" y " Coservación PAD Region de Aysen". Ambos proyectos no generan compromisos futuros.</t>
  </si>
  <si>
    <t>Se solicita reasignación interna para "Conservación de Recolección y Tratamiento de Aguas Servidas 2021-2022</t>
  </si>
  <si>
    <t>Se solicitan fondos para el ST 29 por: M$3.280, destinados a: ST 29.04: M$1.700 para la compra de sillas ergonómicas y estaciones de trabajo; ST 29.05: M$ 180  para la compra trituradora de papel y ventilador; ST 29.06: M$1.400 para la compra proyectores. 
El financiamiento de la propuesta proviene de traspaso de fondos disponibles en el ST. 31.02.- de la DOH</t>
  </si>
  <si>
    <t>Se solicitan fondos para el ST 29 por: M$430.326, destinados a: ST 29.03: M$20.571 para Reposición de vehículo siniestrado; ST 29.05: M$ 1.999  para reposición de equipos de aire acondicionado; ST 29.06: M$14.144 para reposición de plotter; ST 29.07: M$393.612 para migración del Sistema de Registro de Contratistas y licencias.
El financiamiento de la propuesta proviene de traspaso de fondos disponibles en el ST. 31.02.- de la DOH</t>
  </si>
  <si>
    <t>Servicio solicita autorización para adquirir licencias Microsoft Datacenter, en subtitulo 29.07
Basado en cotización más reciente de software SQL Server para 16 cores en total, Licenciamiento Local (OLP), Licencias On Premise Perpetua en servidor exclusivo SQL (no virtualizado) por un monto USD 95.588.</t>
  </si>
  <si>
    <t>Se solicita la identificación y el financiamiento para el proyecto “CONSERVACION CAMINOS CAMINOS INDIGENAS COMUNA DE ALTO BIOBIO”, el cual forma parte de las prioridades del Servicio.</t>
  </si>
  <si>
    <t>Se solicita reasignación interna para el proyectos ""Conservación, Mantención y Ampliación Sistemas APR Región de Tarapacá (Glosa 04)</t>
  </si>
  <si>
    <t>Se solicita la reasig. Interna de 6 proyectos, destacando "Conservación Caminos Perimetrales Interiores Aeropuerto AMB" y "Conservación Pequeños Aerodromos Region de Afta". No se generan compromisos futuros.</t>
  </si>
  <si>
    <t>DGC solicita incrementar el ST 29 “Adquisición de Activos No Financieros” del presupuesto correspondiente al año 2022 de este Servicio, en el monto de M$151.247, para la adquisición de vehículos, mobiliario y equipos computacionales.
ST 29.03: M$67.929; ST 29.04: M$17.070; ST 29.05: M$7.500; ST 29.06: M$58.748. El financiamiento de la propuesta proviene de fondos disponibles en el ST 31.02 de la Dirección de Obras Hidráulicas.</t>
  </si>
  <si>
    <t>Servicio solicita modificación pptaria desde ST31 proyecto "Exploración de la capacidad de explotación aguas subterraneas en el sector productivo Biobio", para ST2903 M$329.275; ST2905 M$558.025 y ST2999M$20.000. Diferencial sera traspasado desde DOH.</t>
  </si>
  <si>
    <t>Servicio solicita autorización para desarrollo de software a medida.</t>
  </si>
  <si>
    <t xml:space="preserve">Solicita autorización para ST 29.06 por M$35.256 para 38 equipos tales como plotter, desktop gama 3 y monitores. </t>
  </si>
  <si>
    <t>Vialidad solicita modificación para el presente año en el subtítulo 21, “Gasto en Personal”,  correspondiente a un aumento de la Glosa autorizada y recursos para viáticos en territorio nacional, la cual se requiere para poder dar cobertura al pago por este concepto, derivado de las labores de continuidad operacional en terreno y que permitan efectuar un adecuado apoyo a la inspección de programa de inversiones.</t>
  </si>
  <si>
    <t>Solicita autorización para contrataciones y mejoramientos para la DGC, Of. GAB. PRES 4 del 25.03.2022</t>
  </si>
  <si>
    <t>Solicita autorización para la compra de 2 notbook para el trabajo en terreno de los funcionarios DCPRH por M$8.883 para el proyecto 30130267-0; además se requiere adquisición de equipamiento tecnológico por un monto de M$ 136.122 (80 Laptop, monitores, Escaner de álto Rendimiento, discos duros SSD 1 TB y cámaras de video conferencias Polycom)</t>
  </si>
  <si>
    <t>Servicio Solicita autorización para la compra de 12 camionetas</t>
  </si>
  <si>
    <t>Solicitud de Decreto para el año 2022 correspondiente al ST 29 Activos no financieros y ST 31 Iniciativas de inversión, de la cartera regular de la Dirección de Arquitectura, solicitando el traspaso de fondos al ST.29 por un monto total de M$276.365</t>
  </si>
  <si>
    <t>Se requiere reasignar recursos en el Subtítulo 31 “Iniciativas de Inversión” por el monto de M$46.253.613, para el pago de expropiaciones en los contratos de concesión Camino de La Fruta y Ruta de Nahuelbuta, sentencias por discrepancias en los contratos de concesión Ruta 43 de la Región de Coquimbo, Ruta 5 Tramo La Serena Vallenar. El financiamiento de la propuesta proviene de reasignación de recursos del Servicio.</t>
  </si>
  <si>
    <t>Servicio solicita modificar el EB "Diagnostico Auscultacion Pavimentos Aeroportuarios Red Primaria Zona Sur" por M$600 y modificar 9 Proyectos, rebajando M$600. Los 10 proyectos no generan compromisos futuros.</t>
  </si>
  <si>
    <t>Solicita Reasig. Interna de Proyectos "Construcción Nuevo Aeródromo de Peldehue, Colina" y "Conservación Mayor Area de Movimiento Aeródromo de Caldera".</t>
  </si>
  <si>
    <t>Se solicita modificar 08 proyectos, siendo una solicitud de decreto suma cero, ajustando su programación a la realidad actualizada de la inversión regional; dentro de los proyectos a modificar se encuentra "CONSERVACION OBRAS PORTUARIAS MENORES REGION DE LOS RÍOS PLAN DE RECUPERACION"</t>
  </si>
  <si>
    <t>La Dirección General de Concesiones solicita rebajar la AIF para el Estudio y Construcción del Proyecto y Obras de Mejoramiento del Contrato de Concesión "Ruta 5, Tramo Puerto Montt –Pargua", esto porque no se utilizarán recursos por el Monto de M$11.550.235.</t>
  </si>
  <si>
    <t>Se solicita autorización para la renovación de vehículos por un costo estimado de M$67.929 y renovación de equipos computacionales que se encuentran funcionando defectuosamente, por un monto estimado de M$58.748.</t>
  </si>
  <si>
    <t xml:space="preserve"> Se solicita ajuste presupuestario para incrementar el Subtítulo 22 “Bienes y Servicios de Consumo” de la Dirección de Planeamiento, por el monto de M$25.000, a través de una reasignación del ST 21, para desarrollar el estudio inherente denominado “Diseño Plan Director de Infraestructura para el 2055”.</t>
  </si>
  <si>
    <t>La Dirección de Arquitectura solicita traspaso presupuestario desde el ST 31.02, proyecto “CONSTRUCCIÓN CENTRO GABRIELA MISTRAL ETAPA 2”, código BIP: 30310626-0, hacia a la Subsecretaría de las Culturas y las Artes, por el monto de M$650.000, y posteriormente la Subsecretaría de las Culturas y las Artes pueda realizar la transferencia a la Corporación GAM.</t>
  </si>
  <si>
    <t>La presente solicitud está conformada por proyectos de cartera regular con 2 proyectos en identificase y 40 en modificase.
Se solicita financiamiento para iniciativas CAD a lo largo del país.</t>
  </si>
  <si>
    <t>La presente solicitud está conformada por proyectos de cartera FET COVID que modifican 08 iniciativas.</t>
  </si>
  <si>
    <t>Se solciita reasignación interna para el proyecto "Conservación Rutinaria Aeropuerto El Loa, Calama , Plan de Recuperación" desde Obras Civiles a Consultorías por M$33.000</t>
  </si>
  <si>
    <t xml:space="preserve">Vialidad solicita ajuste presupuestario para el Subtítulo 24 “Transferencias Corrientes” de la Dirección de  Vialidad, con el fin cursar pagos a empresas concesionarias por concepto de devolución por sobrepeso.
Incremento del ST 2401001 “Compensación Tránsito con Sobrepeso” por M$ 541.789.
En mayo del año 2021, para el proyecto de presupuesto del 2022, se estimó un monto de  M$ 930.958, que corresponde al gasto proyectado más ajustes, sin embargo, el monto  efectivo por concepto de devolución por sobrepeso es de M$ 1.472.746, lo cual da una  diferencia de M$ 541.789 respecto a los montos autorizados en la Ley de Presupuestos 
vigente. 
Se hace presente, que se encuentra disponible para su evaluación el financiamiento  declarado en el Ord. DCyF N° 548 del 17.08.2022. </t>
  </si>
  <si>
    <t>Se solicita dotación de personal para 5cupos.</t>
  </si>
  <si>
    <t>Subsecretaría solicita aumento de presupuesto en el ST. 29.04 por M$ 87.942 , los que serán destinados a adquisición de Mobiliario obsoleto. El financiamiento proviene por una parte de de  traspaso presupuestario ST. 29 Ppto. regular SOP por un monto de M$ 7.778, corresponde a saldo presupuestario proyectado en el ST. 29.05 Máquinas y Equipos y  saldo por M$ 80.164 proviene de traspaso de fondos desde ST. 31 DOH programa regular.
La Dirección de Contabilidad y Finanzas, solicita un aumento de presupuesto en M$93.702, los que serán destinados a: ST 29.04: M$21.995; ST 29.05: M$13.013 y ST 29.06: M$58.694. El financiamiento proviene del ST 31 DOH.</t>
  </si>
  <si>
    <t>Solicitud de Devolucion de multa a empresa Consorcio DRS ICH por concepto de "Densimetro Nuclerar no sumistrdo por el Consultor"</t>
  </si>
  <si>
    <t>Solicita autorización para contrataciones y mejoramientos para la Dirección Arquitectura, según lo dispuesto en el GAB. PRES. N° 004 de 25.03.2022.
Autorización para 25 contrataciones y mejoramiento de 3 funcionarios.</t>
  </si>
  <si>
    <t>Se solciita identificar 2 proyectos y modificar 29 por un monto neto de M$1.500.130, generando compromisos futuros para año 2023 de M$29.232.007 , M$4.158.823 año 2024 , M$224.911 años 2025 y para año 2026 de M$214.545.</t>
  </si>
  <si>
    <t>Se solicita reasig. Interna por un monto neto de M$16.133 para los proyectos "Construccion Peldehue", "Conservacion AMB Etapa 2" y "Normalizacion La Florida".</t>
  </si>
  <si>
    <t>Reitera solicitud de ST22 para pago a Comisión de Expertos para fiajción de tarifas Aguas Patagonia periodo 2021-2026.</t>
  </si>
  <si>
    <t>Solicita gestionar solicitud de autorización para la renovación de 6 vehículos para la DOP</t>
  </si>
  <si>
    <t>Se solicita propuesta de decreto dque tiene por objeto reasignar recursos en el Subtítulo 31 “Iniciativas de Inversión” por el monto de M$39.750, principalmente para el gasto de publicaciones de decretos expropiatorios, además modificar el arrastre para el año 2023, de las asignaciones relacionadas con el Estudio de Ruidos.</t>
  </si>
  <si>
    <t>Solicitud de autorización para adquirir equipamiento informático correspondiente al subtitulo 29.06.001 para la Dirección Nacional de Vialidad.
- 96 EQUIPOS LAPTOP GAMA 3: Entrega de equipamiento a nuevos funcionarios que  contribuirán al proceso de fiscalización obras viales.  (56 Prevencionistas y 40 Inspectores fiscales.)
- 122 EQUIPO DESKTOP GAMA: Entrega de equipamiento a nuevos funcionarios que contribuirán al proceso de análisis obras viales. (22 Laboratoristas viales) y reemplazo de un 7% del equipamiento más  obsoleto, equivalente a 100 computadores.
Total M$ 177.646.</t>
  </si>
  <si>
    <t>Se solicita modificación presupuestaria para el proyecto "CONSTRUCCION CENTRO GABRIELA MISTRAL ETAPA 2", BIP: 30310626-0 por M$ 10 para el año 2022, con arrastre de M$648000 para el año 2023 y M$100.000 para el año 2024.</t>
  </si>
  <si>
    <t>Solicitud de autorización destinada a la adquisición de 36 vehículos productivos, considerando la necesidad de reforzar la Administración Directa de la 
Dirección de Vialidad, permitiendo aumentar las capacidades productivas, en base a los nuevos requerimientos de conservación con alcance nacional.
La Dirección de Vialidad cuenta con la disponibilidad de fondos en los recursos asignados en Subtitulo  29 Ítem 03 del presente año, gracias a modificaciones de presupuesto.
Monto de adquisiciones suman M$ 3.285.000.</t>
  </si>
  <si>
    <t>Solicita reasignación interna proyecto "Conservación Rutinaria Aeródromo Pichoy" desde Obras Civiles a Otros Gastos por M$577</t>
  </si>
  <si>
    <t xml:space="preserve">Solicitud de Reasignación Interna para el proyecto CONSERVACION INFRAESTRUCTURA DE APOYO 2022-2024 BIP: 40030197-0; para el año 2022, desde la Asignación 004 a la Asignación 005, por el monto de M$150.000 .
</t>
  </si>
  <si>
    <t>Se solicita reasignación interna para 1 proyecto</t>
  </si>
  <si>
    <t>Vialidad solicita de acuerdo a lo instruido en ORD. GAB.PRES. N°004 de fecha 25 de Marzo 2022 en su apartado XVIII, establece que las nuevas contrataciones celebradas 
durante el segundo semestre del presente año, deberán ser autorizadas por la  Dirección de Presupuesto.
Dado lo antes mencionado, se adjunta listado de contrataciones para la  Dirección de Vialidad, de las cuales, su financiamiento se encuentra provisto en la Ley 
de Presupuesto.</t>
  </si>
  <si>
    <t>Solicitud de Decreto de modificación de proyectos "RESTAURACIÓN IGLESIA Y CONVENTO SAN FRANCISCO BARÓN, VALPARAISO", "AMPLIACIÓN SEGUNDA ETAPA EDIFICIO MOP, VALDIVIA" y otros por M$ 293.097 para el año 2022, con arrastre de M$2.768.379 para el año 2023 y M$2.000.000 para el año 2024.</t>
  </si>
  <si>
    <t>Solicitud de decreto interna para la modificación de proyecto Construcción Centro Gabriela Mistral Etapa 2 BIP: 30310626-0 y Ampliación Edificio MOP Valdivia BIP: 30309972-0</t>
  </si>
  <si>
    <t>Se solicita identificar 11 proyectos por M$1.112.588 que generan arrastre para el 2023 por M$14.940.945 y M$4.447.684 para el 2024; además se solicita modificar 20 prooyectos en diversas regiones.</t>
  </si>
  <si>
    <t>Se solicita modificar 4 proyectos en las regiones de Valparaíso, Maule y La Araucanía.</t>
  </si>
  <si>
    <t>Solicita reasignación interna Septiembre, de 4 proyectos por un monto neto de M$38.658</t>
  </si>
  <si>
    <t>Solicita incrementar los recursos en el Subtítulo 31 “Iniciativas de Inversión” por el monto de M$20.638.398. Para poder pre pagar la cuenta de compensación del Convenio Ad Referéndum N°1 del contrato de concesión Autopista Concepción Cabrero y Convenio Ad Referéndum N°2 del contrato de concesión Sistema Norte Sur, por el monto total de M$27.262.000. Se financia con fondos sin Decretar del Servicio por M$6.623.602, fondos disponibles en el ST 31.02 de la Dirección de Obras Hidráulicas por M$14.126.398 y de Agua Potable Rural por M$6.512.000.</t>
  </si>
  <si>
    <t>Subsecretaría de Obras Públicas solicita modificación presupuestaria del Subtítulo 21 correspondiente a la Glosa de Viáticos al Extranjero de la Subsecretaría de Obras Públicas, esto debido a viajes programados de nuestras Autoridades Ministeriales; además se solicita autorización para ampliar comitiva de viaje del Ministro y Subsecretario.
Se solicita aumento de Glosa y presupuesto para financiamiento de viáticos por medio de reasignación presupuestaria desde el Subtítulo 22 de Bienes y Servicios de Consumo, lo que corresponde a pasajes será financiado por la Subsecretaria sin solicitar presupuesto extraordinario.
Involucra traspaso desde ST. 22 al ST. 21 por M$ 18.539; aumento Glosa Autorización máxima para gastos en viáticos en el Exterior por M$ 15.425; aumento Glosa Convenio con personas naturales por M$ 3.114.</t>
  </si>
  <si>
    <t>Solicita Reasignación interna de cartera normal:
Se reasignan fondos en el ST 31.02 compuesta por 45 iniciativas Cartera Regular por M$ 1.503.710.</t>
  </si>
  <si>
    <t>Solicita Reasignación interna de cartera FET:
Se reasignan fondos en el ST 31.02 compuesta por 7 iniciativas Cartera FET por M$ 367.635.</t>
  </si>
  <si>
    <t>Se solicita identificar proyecto "Conservación de Canal de Estudio de Socavación en Pilas de Puentes" por M$25.612 en Obras Civiles; no se generan compromisos futuros.</t>
  </si>
  <si>
    <t>Subsecretaría de Obras Públicas actualiza nómina definitiva del personal a traspasar de Honorarios a Contrata, con su respectiva modificación de glosas presupuestarias de honorarios con cargo a una compensación equivalente en el número en la dotación de personal, de la Subsecretaría de Obras Públicas, Programa 101.</t>
  </si>
  <si>
    <t>Se requiere un aumento de la glosa de Viáticos en Territorio Nacional por M$ 40.000, monto que se encuentra financiado dentro del presupuesto vigente de la DGC, por saldo en glosa 05 que se produjo por una renuncia y dos términos anticipados de contrato de funcionarios que percibían esta asignación especial.</t>
  </si>
  <si>
    <t>Se solicita la modificación de 6 proyectos, por un valor neto de M$1.467.205, generando compromisos futuros para año 2023 de M$17.640.707 y M$3.000.000 para año 2024.</t>
  </si>
  <si>
    <t>Se solicita Reasig.Interna proyecto "Conservación Global Pequeños Aerodromos Región de Ohiggins" FET, desde Consultorias a Obras Civiles por M$100.000</t>
  </si>
  <si>
    <t>Se solicitan fondos para el ST 29 por DGOP: M$430.326, destinados a: ST 29.03: M$20.571; ST 29.05: M$ 1.999; ST 29.06: M$14.144; ST 29.07: M$393.612. Fiscalía: M$3.280, destinados a: ST 29.04: M$1.700; ST 29.05: M$ 180; ST 29.06: M$1.400. 
El financiamiento de la propuesta proviene de traspaso de fondos disponibles en el ST. 31.02.- de la DOH</t>
  </si>
  <si>
    <t>Se solicita identificar 2 Estudios Básico por M$25.500, también se solicita modificar 19 proyectos.</t>
  </si>
  <si>
    <t>Solicita autorización y mejoramiento para 4 funcionarios, dejando sin efecto Oficio DCyF N°458.</t>
  </si>
  <si>
    <t>Se solicita reasignación interna para 2 proyectos en Atacama y Ñuble</t>
  </si>
  <si>
    <t>El Servicio solicita liberar recursos en el ST 31 Iniciativas de Inversión, del Fondo de Emergencia Transitorio Covid 19 (FET), por un monto de M$4.752.826, para el año 2022.
14-10 Se solicita traspasar recursos disponibles FET a IND, proyecto “REPOSICIÓN ESTADIO COMUNAL DE SAN ANTONIO” por M$1.920.000.</t>
  </si>
  <si>
    <t>Se requiere modificar el presupuesto del Subtítulo 31 Iniciativas de Inversión, para los proyectos “Reposición Edificio MOP Región de la Araucanía” y “Normalización y Mejoramiento Edificio Público N°2, Valdivia”. La propuesta total incrementa los fondos sin decretar del subtítulo 31, ítem 02, en M$117.924. Por otra parte, de acuerdo a lo requerido en los oficios DA N°958 y N°1093, se solicita poner a disposición
de la Subsecretaría de las Culturas y las Artes, un monto de M$800.000 para la normalización y actualización el diseño del proyecto “Construcción Centro Gabriela Mistral Etapa 2”.</t>
  </si>
  <si>
    <t>Se solicita traspaso por M$ 60.000 desde el ST. 29.07 al ST. 29.06 los que serán destinados a adquirir 3 servidores para el Data Center Ministerial.
Lo anterior en razón del incidente de seguridad de la información ocurrido el pasado 18  de septiembre del presente año en el Data Center Ministerial, que produjo una baja general en servidores y bases de datos del Ministerio, en el cual los Servidores resultaron con fallas físicas irreparables.</t>
  </si>
  <si>
    <t xml:space="preserve">Se solicita modificar 14 proyectos de Prefactibilidad, Factibilidad y Diseño de la Glosa 4 </t>
  </si>
  <si>
    <t>Se solicita modificar 10 proyectos de Conservación Glosa 4</t>
  </si>
  <si>
    <t>Vialidad solicita de acuerdo a lo instruido en ORD. GAB.PRES. N°004 de fecha 25 de Marzo 2022 en su apartado XVIII, establece que las nuevas contrataciones celebradas 
durante el segundo semestre del presente año, deberán ser autorizadas por la  Dirección de Presupuesto.
Dado lo antes mencionado, se adjunta listado (N°2) de contrataciones  para la Dirección de Vialidad, de las cuales, su financiamiento se encuentra provisto en  la Ley de Presupuesto.
Son 56 las contrataciones previstas.</t>
  </si>
  <si>
    <t xml:space="preserve">Se requiere autorización de aumento de la glosa de viáticos y un aumento en el ST 22, vía reasignación desde el ST 21 para la compra de pasajes aéreos, por lo que se solicita lo siguiente:
➢ Incremento glosa 05 c) Autorización máxima para gasto de viáticos en el exterior por M$ 3.576
</t>
  </si>
  <si>
    <t>Se solicita la rebaja de 2 proyectos en el ST 31,02 para traspasar fondos al ST26 para el pago de una  restitución del cobro a contratista ordenada por la CGR</t>
  </si>
  <si>
    <t>Solicita reasignación interna "Conservación Obras de Regadío Sequía 2019-2021, región de Valparaíso"</t>
  </si>
  <si>
    <t>Se solicita identificar 41 proyectos y modificar 1 proyecto</t>
  </si>
  <si>
    <t>Solicita Modificación Presupuestaria glosa de viáticos en el exterior .</t>
  </si>
  <si>
    <t>Se solicita autorización para el mejoramiento de remuneraciones a funcionarios de la Dirección de Arquitectura, que se indican a continuación</t>
  </si>
  <si>
    <t>Se solicita rebajar el St. 21 por disminución de ingresos de parte de la Subsecretaría de Ciencias, por estar financiados con Aporte Fiscal</t>
  </si>
  <si>
    <t>Se solicita proposición de Decreto de modificación presupuestaria en Subtítulo 31 por aumento de M$40.748 en el arrastre 2023 del Estudio Básico denominado “Análisis Plan de Inversión en Soluciones de Reúso para 12 Localidades Rurales”</t>
  </si>
  <si>
    <t>Se identifica 3 proyectos y modifican 1 estudio y 16 proyectos</t>
  </si>
  <si>
    <t>Se solicita modificar 8 proyectos que se financiará el arrastre con presupuesto regular.</t>
  </si>
  <si>
    <t>Se solicita identificar 2 proyectos en RM y Tarapacá por M$51.000 que compromete recursos por M$3.327.102 para el año 2023 y M$116.243 para el 2024.
Se solicita modificar 3 Estudios Básicos que generan arrastre por M$897.825 para el año 2023 y M$202.888 para el año 2024.
Se solicita modificar 18 proyectos por M$607.975 que generan compromisos por M$13.141.074 para el 2023 y M$500.000 para el año 2024.</t>
  </si>
  <si>
    <t>La DA solicita traspasar recursos desde el ST 21 al ST22 por M$110.000, e incrementa dotación de personal en 1, Vialidad disminuye dotación de personal en 1.</t>
  </si>
  <si>
    <t>La presente solicitud está conformada por proyectos de cartera regular con 13 proyectos en identificase y 65 en modificase.
Considera iniciativas de inversiones que han obtenido su recomendación favorable recientemente, y contratos de arrastres de la cartera normal, además de saldos para la liquidación de contratos terminados.
Compromete pagos para el presente año por M$ 18.589.150, cuyo financiamiento proviene de reasignaciones presupuestarias y FSD disponibles por M$ 1.026.850.</t>
  </si>
  <si>
    <t>La presente solicitud está conformada por proyectos de cartera FET con 14 proyectos en modificase.
Considera iniciativas de inversiones que ajustan sus contratos de arrastres de la cartera FET</t>
  </si>
  <si>
    <t>Se solicita traspasar M$108.700 desde DOH para DCyF para aumento en ST 29.03 por M$21.500; 29.04 por M$3.500; 29.06 por M$76.400 y 29.07 por M$7.300</t>
  </si>
  <si>
    <t>Se solicita la reasignación interna de 2 proyectos</t>
  </si>
  <si>
    <t>Solicita autorización para contratación y mejoramiento de la Dirección General de Concesiones</t>
  </si>
  <si>
    <t>Decreto FET de Cierre, solicita la rebaja de 14 proyectos por un total de M$2.137.801; sin compromisos futuros.</t>
  </si>
  <si>
    <t>Solicita modificación presupuestaria ST29, traspaso desde 2906 a 2905 para compra de sistema de climatización por M$13.259.-</t>
  </si>
  <si>
    <t>Se solicita rebaja de FSD del ST 31</t>
  </si>
  <si>
    <t>Decreto Regular de Cierre : Solicita modificar 3 Estudios Básicos, rebajando ppto en M$26.083; identificar dos proyectos por M$130 y modificar 31 proyectos por una rebaja de M$2.328.718; generando compromisos futuros para año 2023 por M$28.585.934, año 2024 por M$1.189.730, año 2025 por M$128.975 y M$297.717 para año 2026.</t>
  </si>
  <si>
    <t>Solicita autorización para contratación y mejoramiento de la Dirección de Planeamiento, se plantea para su aprobación, la autorización para 9 contrataciones.</t>
  </si>
  <si>
    <t xml:space="preserve">Se solicita identificar 4 estudios y 5 proyectos que requieren comenzar su licitación, por un monto total de M$5.200 en el año 2022, con arrastre por M$755.000 para el año 2023 y M$684.899 para el año 2024. 
Los proyectos por un monto total de M$6.900 en el año 2022, generan un arrastre para el año 2023 por M$1.845.964 y M$521.733 para el año 2024.
Adicionalmente, se solicita modificación presupuestaria para 6 proyectos para el pago de reajuste y reprogramaciones de obra. </t>
  </si>
  <si>
    <t>Se solicita reasignar recursos para el pago de la cuarta cuota del subsidio correspondiente al contrato de concesión de la obra pública fiscal denominada “Américo Vespucio Oriente – Tramo El Salto Príncipe de Gales”, para incrementar recursos para compensaciones y se ajustan recursos de consultorías principalmente por variaciones de reajustes.
Por lo anterior, en la presente propuesta se solicita incrementar los recursos para esta Dirección en M$1.182.197, que se distribuyen en el ST 31, “Iniciativas de Inversión” por el monto de M$1.173.828, y ST 26 “Otros Gastos Corriente”, por el monto de M$8.369.</t>
  </si>
  <si>
    <t>La presente modificación presupuestaria incluye iniciativas de inversiones, las que requieren  recursos para el financiamiento de adjudicación, modificaciones, avance de obras y pago de saldos de contratos que finalizan el presente año. 
La presente solicitud está conformada por 4 proyectos en Identificase y 836 en modificase de cartera normal, iniciativas que reducen inversión ST. 31 por M$ 104.565.058 el presente año.
Contempla traspaso presupuestario por M$ 11.414.000 destinado al ST. 32.</t>
  </si>
  <si>
    <t>La presente solicitud está conformada por proyectos de cartera FET con 160 proyectos en modificase.
Considera iniciativas de inversiones que ajustan sus contratos de arrastres de la cartera FET</t>
  </si>
  <si>
    <t>Solicitud decreto de Cierre:  modifica 1 Estudio Básico y  45 proyectos</t>
  </si>
  <si>
    <t>Solicitud decreto de Cierre:  modifica 13 estudios básicos, identifica 7 y modifica 85 proyectos</t>
  </si>
  <si>
    <t>Solicitud decreto de Cierre: identifica 2 EB, identifica 24 proyectos, modifica 156 proyectos</t>
  </si>
  <si>
    <t>Solicitud decreto de Cierre:  modifica 73 proyectos</t>
  </si>
  <si>
    <t>Se solicita identificar 10 iniciativas (1 estudio básico) y modificar 95 iniciativas (7 estudios básicos) tiene rebaja de FSD</t>
  </si>
  <si>
    <t>se solicita modificar 21 iniciativas liberando
un total de M$2.385.128 del presupuesto vigente</t>
  </si>
  <si>
    <t>se solicita gestionar decreto para reasignación presupuestaria
Presupuesto Regular, en los siguientes términos:
➢ Incremento ST 29 ítem 04 por M$ 19.555
➢ Reducción ST 29 ítem 07 por M$ -19.555</t>
  </si>
  <si>
    <t>Solicita traspasar M$ 51.266 desde ST 21 al ST 26</t>
  </si>
  <si>
    <t>solcita modificar 6 proyectos por un monto de M$-328.103 y rebajar fondos sin decretar por M$-2770</t>
  </si>
  <si>
    <t>Solicita modificar 6 proyectos por un monto de M$151.286</t>
  </si>
  <si>
    <t>Solicita traspaso desde el ST 22 de la SOP al ST 22 de la DOP</t>
  </si>
  <si>
    <t>Subsecretaría de Obras Públicas solicita autorizacion de Dirección de Presupuestos para cubrir vacantes con motivo de licencia médica tipo 1 “enfermedad o accidente común” de funcionaria</t>
  </si>
  <si>
    <t>Solicita renovar autorizacio- nes para asignación de equi- pos celulares para la Dirección de Planeamiento</t>
  </si>
  <si>
    <t>Se solicita reasignar recursos del Subtítulo 31 “Iniciativas de Inversión” por el monto de M$24.982.532, para financiar la diferencia , del Director Nacional de Planeamiento, los que tienen relación con la solicitud de recursos necesarios para prepagar la cuenta de compensación del Convenio Ad Referéndum N°1 del contrato de concesión de la obra pública fiscal denominada “Autopista Concepción Cabrero” y Convenio Ad Referéndum N°2 del contrato de concesión de la obra pública fiscal denominada “Sistema Norte Sur”, derivados de modificaciones que se realizaron a los contratos de concesión respectivo.</t>
  </si>
  <si>
    <t>Solicita Reasig.Interna de 4 proyectos por un monto neto de M$187.594; esta propuesta no genera cambios en compromisos futuros.</t>
  </si>
  <si>
    <t>Se incrementa ST 31-02 de Concesiones por M$20.638.398, fondos disponibles en el ST 31.02 de la Dirección de Obras Hidráulicas por M$14.126.398 y de Agua Potable Rural por M$6.512.000.</t>
  </si>
  <si>
    <t>Solicita Reasig.Interna de 6 proyectos por un monto neto de M$117.710; esta propuesta no genera cambios en compromisos futuros.</t>
  </si>
  <si>
    <t>Corresponde a ajuste sde compromisos futuros Cartera FET bajo financiamiento programa regular</t>
  </si>
  <si>
    <t>SOP - Vialidad solicita modificación de destino asociado a glosa viático al exterior programado para periodo 2022.
 El cambio en el destino es hacia Argentina, dentro del marco de la Reunión del comité de integración Austral a realizarse en la ciudad de Ushuaia entre las fechas 22 y 
26 de octubre del año en curso. Se cambia por viaje que se encontraba planificado a Israel, esto sin requerir de mayor financiamiento ni glosa.
Por otra paerte, se solicita autorizaciones para realizar el viático al exterior, para los siguientes  funcionarios Seremis y de la Dirección de Vialidad:
• Seremi Aysén
• Director Regional de Vialidad Aysén
• Seremi Magallanes
• Director Regional de Vialidad de Magallanes
• Conductor de Vialidad (Dickson Puebla)</t>
  </si>
  <si>
    <t>Solicita traspaso ST21 desde DV por un monto M$301.343 para el pago de Bono de desempeño Colectivo.</t>
  </si>
  <si>
    <t>Solicita Reasignación interna de cartera normal:
Se reasignan fondos en el ST 31.02 compuesta por 92 iniciativas Cartera Regular por M$ 1.054.521.</t>
  </si>
  <si>
    <t>Solicita Reasignación interna de cartera FET:
Se reasignan fondos en el ST 31.02 compuesta por 15 iniciativas Cartera FET por M$ 298.422.</t>
  </si>
  <si>
    <t>Solicitud de cierre ppto. 2022 programa regular DV ST. 29.
Corresponde a ajuste por M$ 3.425.730 en asignación de presupuesto para el ST  29-05, estos recursos fueron asignados para la adquisición de equipos de laboratorio para el Laboratorio Nacional y Laboratorios Regionales y Provinciales de Vialidad.</t>
  </si>
  <si>
    <t>Se solicita traspaso pptario desde ST21 APR a ST22 APR por M$169.604 para arriendo de inmuebles, como tambien desde ST21 APR para ST22 DOH por M$50.000 para financiar la inscripción de 234 registros de propiedad.</t>
  </si>
  <si>
    <t>Se solicita devolver recursos del ST 29.03 debido a que los contratos se encuentran operacionalmente detenidos debido a problemas contractuales con la empresa contratada</t>
  </si>
  <si>
    <t>Vialidad solicita PROGRAMA REGULAR
- Subtítulo 21. Se solicita aumentar Glosa autorizada para viáticos en territorio 
nacional por un monto de M$ 300.000.- Este aumento no requiere autorización 
de fondos adicionales, ya que será cubierta con fondos del Presupuesto 
vigente.
- Subtítulo 26. Se requiere la asignación de M$ 524.790.- según se detalla en 
nómina adjunta, a fin de regularizar pagos por el concepto de devoluciones de 
multa cobradas en excesos y compensación por daños a terceros.</t>
  </si>
  <si>
    <t>Vialidad solicita PROGRAMA FET - COVID
- Subtítulo 26. Se requiere la asignación de M$ 24.675.- según se detalla en 
nómina adjunta, a fin de regularizar pagos por el concepto de devoluciones de 
multa cobradas en exceso.</t>
  </si>
  <si>
    <t>Se solicita reprogramar los recursos en el Subtítulo 31, para el Estudio Básico denominado “Análisis Plan de Inversión en Soluciones de Reuso 12 Localidades Rurales”, rebajando el monto de M$29.800 para el año 2022 e incrementando el arrastre para el año 2023 por el monto total de M$195.679. Se incluye propuesta de ajuste de la estructura presupuestaria</t>
  </si>
  <si>
    <t>Se solicita modificar 14 proyectos de Prefactibilidad, Factibilidad y Diseño de la Glosa 4 y modificar 10 proyectos de Conservación Glosa 4</t>
  </si>
  <si>
    <t>Se solicita modificación para 7 proyectos entre los que incluye "Construcción Sistema de Aguas Lluvias Quilque, Los Angeles, VIII Reg."</t>
  </si>
  <si>
    <t>Se solicita modificación prespuestaria para regularización de pagos realizados a través del ST. 26</t>
  </si>
  <si>
    <t>Se solicita reasignación interna para el proyecto "Conservación de Riberas de Cauces Naturales Región de Antofagasta 2022-2024"</t>
  </si>
  <si>
    <t>Se solicita reasignación interna para 4 proyectos.</t>
  </si>
  <si>
    <t>Se solicita reasignación interna para 3 proyectos.</t>
  </si>
  <si>
    <t>Se solicita reasignación de glosas ST. 21</t>
  </si>
  <si>
    <t>Solicita autorización para contratación año 2023 de un profesional Grado 10, contrata.</t>
  </si>
  <si>
    <t>Se solicita poner a disposición de la Subsecretaría de las Culturas y las Artes, un monto de M$800.000 para la normalización y actualización el diseño del proyecto “Construcción Centro Gabriela Mistral Etapa 2”.</t>
  </si>
  <si>
    <t>La presente solicitud está conformada por proyectos de cartera regular. Se identifican 09  iniciativas y se modifican 20 proyectos.
La propuesta es necesaria para financiar contratos de la cartera nueva 2022-2023, lo que  permitirá licitar en dentro del presente año y ejecutar a partir del primer trimestre del año 2023.</t>
  </si>
  <si>
    <t>Se solicita autorización para viaje del Subsecretario de Obras Públicas, entre los días 4 al 15 de noviembre, relacionado con visitas de inspección técnica de fábricas y maestranzas que elaboran los sistemas de apoyo y sillas del Puente Chacao.</t>
  </si>
  <si>
    <t>Vialidad solicita PROGRAMA REGULAR
Solicita autorización para  Comisión de Servicio al  Extranjero para la Dirección  de Vialidad.
En conformidad a las normas de flexibilidad presupuestaria y al GAB. PRES 004 de 25.03.2022, en lo que respecta a viajes internacionales, se solicita autorización para realizar una Comisión de Servicio al Extranjero, relacionadas a un viaje del Sr. Carlo Castilla Rho,  Inspector Fiscal, entre los días 6 al 14 de noviembre, relacionado con visitas de inspección  técnica de fábricas y maestranzas que elaboran los sistemas de apoyo y sillas del Puente Chacao.
1. Viaje a Italia: Visita de inspección técnica a Fábrica AFC, en dónde se están fabricando 
las Sillas para el Cable Principal del Puente Chacao, en las ciudades de Údine y Vedelago, entre los días 06.11.2022 y 10.11.2022.
2. Viaje a Alemania: Visita de inspección técnica a Fábrica MAURER, donde se fabricarán 3 de los 7 sistemas de apoyo y amortiguadores del Puente Chacao, en la ciudad de 
München, entre los días 11.11.2022 y 14.11.2022.</t>
  </si>
  <si>
    <t>Se solicita la identificación de 13 proyectos nuevos por  concepto de "adelantamiento", por M$1.370,  generando compromisos futuros para año 2023 M$20.063.522 y para año 2024 M$1.489.910.</t>
  </si>
  <si>
    <t xml:space="preserve">Se solicita reasignación interna para 2 proyectos  </t>
  </si>
  <si>
    <t>Se solicita reasignación interna para 3 proyectos , por un valor neto de M$4.249</t>
  </si>
  <si>
    <t>subtitulos</t>
  </si>
  <si>
    <t>31</t>
  </si>
  <si>
    <t>30</t>
  </si>
  <si>
    <t>31-29</t>
  </si>
  <si>
    <t>21</t>
  </si>
  <si>
    <t>29</t>
  </si>
  <si>
    <t>21-22-29-31</t>
  </si>
  <si>
    <t>22</t>
  </si>
  <si>
    <t>29-31</t>
  </si>
  <si>
    <t>22-29-31-34</t>
  </si>
  <si>
    <t>31-22</t>
  </si>
  <si>
    <t>24</t>
  </si>
  <si>
    <t>34</t>
  </si>
  <si>
    <t>34-22-25-31</t>
  </si>
  <si>
    <t>21-22-25-29</t>
  </si>
  <si>
    <t>21-22-25-29-31</t>
  </si>
  <si>
    <t>30-31</t>
  </si>
  <si>
    <t>22-29</t>
  </si>
  <si>
    <t>29-30</t>
  </si>
  <si>
    <t>29-30-21</t>
  </si>
  <si>
    <t>29-21-22-30</t>
  </si>
  <si>
    <t>22-30</t>
  </si>
  <si>
    <t>21-22-29</t>
  </si>
  <si>
    <t>21-29</t>
  </si>
  <si>
    <t>29-22</t>
  </si>
  <si>
    <t>21-22-30-31</t>
  </si>
  <si>
    <t>26</t>
  </si>
  <si>
    <t>24-22</t>
  </si>
  <si>
    <t>31-29-29</t>
  </si>
  <si>
    <t>21-22</t>
  </si>
  <si>
    <t>22-21</t>
  </si>
  <si>
    <t>26-31</t>
  </si>
  <si>
    <t>31-32</t>
  </si>
  <si>
    <t>21-26</t>
  </si>
  <si>
    <t>25-Otro</t>
  </si>
  <si>
    <t>29-26-31</t>
  </si>
  <si>
    <t>SOP_FETCovid19</t>
  </si>
  <si>
    <t>0151</t>
  </si>
  <si>
    <t>SUBSECRATARÍA DE OBRAS PÚBLICAS_FETCovid19</t>
  </si>
  <si>
    <t>DA_FETCovid19</t>
  </si>
  <si>
    <t>0252</t>
  </si>
  <si>
    <t>ARQUITECTURA_FETCovid19</t>
  </si>
  <si>
    <t>DOH_FETCovid19</t>
  </si>
  <si>
    <t>0253</t>
  </si>
  <si>
    <t>OBRAS HIDRÁULICAS_FETCovid19</t>
  </si>
  <si>
    <t>DV_FETCovid19</t>
  </si>
  <si>
    <t>0254</t>
  </si>
  <si>
    <t>VIALIDAD_FETCovid19</t>
  </si>
  <si>
    <t>DOP_FETCovid19</t>
  </si>
  <si>
    <t>0256</t>
  </si>
  <si>
    <t>OBRAS PORTUARIAS_FETCovid19</t>
  </si>
  <si>
    <t>DAP_FETCovid19</t>
  </si>
  <si>
    <t>0257</t>
  </si>
  <si>
    <t>AEROPUERTOS_FETCovid19</t>
  </si>
  <si>
    <t>DGOP_FETCovid19</t>
  </si>
  <si>
    <t>0259</t>
  </si>
  <si>
    <t>DIRECCIÓN GENERAL DE OBRAS PÚBLICAS_FETCovid19</t>
  </si>
  <si>
    <t>FISC_FETCovid19</t>
  </si>
  <si>
    <t>0260</t>
  </si>
  <si>
    <t>FISCALÍA_FETCovid19</t>
  </si>
  <si>
    <t>DCyF_FETCovid19</t>
  </si>
  <si>
    <t>0263</t>
  </si>
  <si>
    <t>CONTABILIDAD Y FINANZAS_FETCovid19</t>
  </si>
  <si>
    <t>DP_FETCovid19</t>
  </si>
  <si>
    <t>0261</t>
  </si>
  <si>
    <t>PLANEAMIENTO_FETCovid19</t>
  </si>
  <si>
    <t>APR_FETCovid19</t>
  </si>
  <si>
    <t>0262</t>
  </si>
  <si>
    <t>AGUA POTABLE RURAL_FETCovid19</t>
  </si>
  <si>
    <t>DGC_FETCovid19</t>
  </si>
  <si>
    <t>0351</t>
  </si>
  <si>
    <t>CONCESIONES_FETCovid19</t>
  </si>
  <si>
    <t>DGA_FETCovid19</t>
  </si>
  <si>
    <t>0451</t>
  </si>
  <si>
    <t>DIRECCIÓN GENERAL DE AGUAS_FETCovid19</t>
  </si>
  <si>
    <t>INH_FETCovid19</t>
  </si>
  <si>
    <t>0551</t>
  </si>
  <si>
    <t>INSTITUTO NACIONAL DE HIDRÁULICA_FETCovid19</t>
  </si>
  <si>
    <t>SISS_FETCovid19</t>
  </si>
  <si>
    <t>0751</t>
  </si>
  <si>
    <t>SUPERINTENDENCIA DE SERVICIOS SANITARIOS_FETCovid19</t>
  </si>
  <si>
    <t>MOP_FETCovid19</t>
  </si>
  <si>
    <t>0959</t>
  </si>
  <si>
    <t>DV-DV_FETCovid19</t>
  </si>
  <si>
    <t>MOP-MOP_FETCovid19</t>
  </si>
  <si>
    <t>DV-SISS</t>
  </si>
  <si>
    <t>DV-DP</t>
  </si>
  <si>
    <t>DOP-DOP_FETCovid19</t>
  </si>
  <si>
    <t>DAP-DAP_FETCovid19</t>
  </si>
  <si>
    <t>DOH-APR-DOH_FETCovid19-APR_FETCovid19</t>
  </si>
  <si>
    <t>DV-DGC</t>
  </si>
  <si>
    <t>DP-DV</t>
  </si>
  <si>
    <t>DA-SISS</t>
  </si>
  <si>
    <t>DOH_FETCovid19-DGA_FETCovid19</t>
  </si>
  <si>
    <t>DV-DGC-DAP</t>
  </si>
  <si>
    <t>DA-DA_FETCovid19-DOH_FETCovid19-DGC</t>
  </si>
  <si>
    <t>SOP-DOH</t>
  </si>
  <si>
    <t>DOH-DCyF</t>
  </si>
  <si>
    <t>DOH-SISS</t>
  </si>
  <si>
    <t>SOP-DGC</t>
  </si>
  <si>
    <t>DOH-FISC</t>
  </si>
  <si>
    <t>DGOP-DOH</t>
  </si>
  <si>
    <t>DGC-DOH</t>
  </si>
  <si>
    <t>DOH-DGA</t>
  </si>
  <si>
    <t>DV-APR</t>
  </si>
  <si>
    <t>DGA-DGA_FETCovid19</t>
  </si>
  <si>
    <t>SOP-DGOP-DOH</t>
  </si>
  <si>
    <t>DOP-DGA-SISS</t>
  </si>
  <si>
    <t>DGOP-DP</t>
  </si>
  <si>
    <t>DOH-DGOP-FISC</t>
  </si>
  <si>
    <t>DV-DOP</t>
  </si>
  <si>
    <t>DA-DV</t>
  </si>
  <si>
    <t>SOP-DOP</t>
  </si>
  <si>
    <t>DGC-DOH-APR</t>
  </si>
  <si>
    <t>DV-SOP</t>
  </si>
  <si>
    <t>DOH-APR</t>
  </si>
  <si>
    <t>DV-DAP</t>
  </si>
  <si>
    <t>Se solicita identificar el estudio básico “Actualización Inventario Patrimonio Cultural Inmueble Región de
Ñuble” por M$14.251 y otros 9 proyectos por M$3.429.767. Del total de iniciativas, 9 forman parte de la
Nómina de Respaldo de la Ley de Presupuestos 2022</t>
  </si>
  <si>
    <t>Solicita decreto inicial Nuevos 2022 cartera Regular, para 14 iniciativas por un monto de M$6.008.010</t>
  </si>
  <si>
    <t>Se solicita identificar 8 proyectos por un monto total de M$2.724.429. De ellas, 7 iniciativas se encuentran en la Nómina de Respaldo de la Ley de Presupuestos 2022 y una restante corresponde a la “Conservación Piso 6° (Seremi OOPP) Edificio MOP Región de La Araucanía”. Destacan en la proposición, los proyectos “Conservación Infraestructura de Apoyo Nivel Nacional 2022-2024” y “Conservación Palacio de La Moneda 2022-2024”. La propuesta tiene un arrastre para el año 2023 de M$203.989.</t>
  </si>
  <si>
    <t>Solicitud de identificación presupuestaria, corresponde a la asignación de presupuesto necesario para financiar iniciativas en el año 2022, por el monto de M$ 11.772.901. Compromete recursos futuros para el año 2023 por M$ 303.777.
Para el pago de compensaciones y asesorías a la inspección fiscal.</t>
  </si>
  <si>
    <t>Solicia identificar 111 iniciativas de arrastre por M$79.854.581, las que comprometen M$25.013.869 para el 2023.</t>
  </si>
  <si>
    <t>Solicita identificar para el 2022 el Diagnóstico de cuentas de la RM y Análisis de reducción de emisión de GEI en proyectos aeroportuarias y de conectividad, asociados a solicitudes de Arrastre y nuevos 2022.
La solicitud tiene un arrastre para el 2023 de M$25.801</t>
  </si>
  <si>
    <t>Se solicita identificar 656 iniciativas por un monto total de M$1.088.918.237 destinado al financiamiento de contratos de arrastre y de contratos en los que se espera concretar procesos de licitación durante el presente año. En total, la propuesta compromete recursos futuros para el año 2023 por M$889.976.870, que corresponde al 70% del monto otorgado al Servicio en la Ley de Presupuestos 2022. Los montos de arrastre para los años siguientes son M$827.765.400 para el año 2024, M$488.838.000 para el año 2025 y
M$78.932.000 para el año 2026.</t>
  </si>
  <si>
    <t>Se solicita identificar 96 iniciativas por un monto total de M$568.117.022 destinado al financiamiento de contratos de arrastre de la cartera de inversión. En total, la propuesta compromete recursos futuros para el año 2023 de M$17.094.000, que corresponde al 3% del monto otorgado al Servicio en la Ley de Presupuestos 2022. El arrastre para el año 2024 es de M$25.000.-</t>
  </si>
  <si>
    <t>Se solicita modificar 5 iniciativas asignando recursos por un monto total de M$7.073.000 destinado al financiamiento de cartera de contratos cuya licitación se espera concretar durante el presente año, para ser iniciados durante el primer semestre del año 2022. Considerando la propuesta de identificación anterior, se comprometen recursos futuros para el año 2023 por M$907.142.870, que corresponde al 72% del monto otorgado al Servicio en la Ley de Presupuestos 2022. Los montos de arrastre para los años
siguientes son M$849.767.400 para el año 2024, de M$497.838.000 para el año 2025 y M$81.999.000 para el año 2026.</t>
  </si>
  <si>
    <t>Se solicita asignar fondos destinados a 93 iniciativas por un monto total de M$32.708.732 destinado al 
financiamiento de cartera de contratos nuevos 2022, lo que permitirá concretar procesos de licitación 
durante el primer semestre del presente año. Con la tramitación de esta propuesta, el Servicio 
comprometerá recursos futuros para el año 2023 por un monto de M$1.060.124.330, que corresponde al 
87% del monto otorgado en la Ley de Presupuestos 2022. Los montos de arrastre para los años siguientes 
son M$1.000.592.870 para el año 2024, M$551.535.500 para el año 2025 y M$81.999.000 para el año 2026.</t>
  </si>
  <si>
    <t>Se solicita asignar recursos por M$ 400.500 para el año 2022, los que serán destinados a una iniciativa de inversión que ha sido priorizada por el Servicio. El proyecto “Construcción Costanera Sur San Pedro De La Paz” debe contratar servicios de consultoría para el diseño de ingeniería que permita la conexión vial por la ribera sur del río Biobío. Considerando la propuesta de identificación anterior, se comprometen recursos futuros para el año 2023 por M$910.642.870, que corresponde al 72% del monto otorgado al Servicio en la Ley de Presupuestos 2022. Los montos de arrastre para los años siguientes son M$ 850.517.400 para el año 2024, de M$ 497.838.000 para el año 2025 y M$ 81.999.000 para el año 2026.</t>
  </si>
  <si>
    <t>Se solicita identificar el proyecto "Conservación Infraestructura Piso 7 SISS" por M$ 183.723 y M$183.723 para el 2023</t>
  </si>
  <si>
    <t>La Dirección General de Concesiones solicita asignar recursos en el Subtítulo 31 Iniciativas de Inversión,
destinados al financiamiento de la cartera de proyectos Chile se Recupera, conformada por 13 iniciativas
de inversión, que incluye obras civiles, expropiaciones y asesorías a la inspección fiscal, por un monto total
de M$123.161.552 para el año 2022, que comprometen recursos por M$69.921.913 para el año 2023.
Adicionalmente, solicita identificar los proyectos Ruta 5 Santiago - Los Vilos (Compensación Sistema Nuevas
Inversiones); Américo Vespucio Oriente, Tramo Av. Príncipe de Gales - Los Presidentes (Sistema Nuevas
Inversiones) y Segunda Concesión Ruta 66 Camino de la Fruta (Compensaciones) y modificar el presupuesto
de otros dos proyectos. Todo lo anterior, por un monto total de M$47.408.457 para el año 2022, que
comprometen recursos por M$343.548 para el año 2023 y M$259.993 para el año 2024.
La propuesta se financia con traspaso de presupuesto regular de la Dirección de Vialidad, por recursos que
provienen de ajuste de financiamiento de la cartera y de fondos sin decretar.</t>
  </si>
  <si>
    <t>Modifica Presupuesto para el año 2022, correspondiente al ST 30 Adquisición de Activos Financieros. Se solicita transferencia de recursos al Gobierno Regional de Coquimbo, según se detalla en la propuesta adjunta, por un monto total de M$12.336.348 para el año 2022, para cumplir con el acuerdo GORE de Coquimbo.</t>
  </si>
  <si>
    <t>Solicita financiamiento asociado a Cartera Regular correspondiente a iniciativas de inversiones de Conservación Red Vial Administración Directa cuya finalidad es recuperar las condiciones de accesibilidad, transitabilidad y seguridad de las fajas ferroviarias en desuso, evitando la pérdida en el patrimonio de la Red Vial.
Se encuentra conformada por la identificación de 03 proyectos de cartera normal y contempla un monto de inversión año 2022 por M$ 1.410.000.</t>
  </si>
  <si>
    <t>Se solicita autorizacion para la adquisición de 1 camioneta y 7 SUV 4X4</t>
  </si>
  <si>
    <t>Se solicita identificar 14 Estudios Básicos entre los que destaca "Diagnostico Plan Maestro Evac. y Drenaje A. Lluvias de Buin y Paine" que generan compromisos para el año 2023 por M$2.777.516, M$1.049.962 para el año 2024 y M$611.436 para el año 2025.  Además se solicita identificar 60 proyectos destacando la "Construcción Defensas Fluviales Río Andalien y otros, Concepción", también se modifica 2 proyectos</t>
  </si>
  <si>
    <t>Se solicita identificar 3 Estudios básicos destacando "Diagnostico Comportamiento Aluvional de las Quebradas Afluentes a la Cuenca Camarones", se solicita identificar 23 proyectos destacando "Construcción Obras Fluviales y Control Aluvional Quebrada Paipote", también se solicita modificar 7 proyectos entre los que destaca "Conservación de Riberas Región de Tarapacá 2020-2023 Recup", no generan compromisos futuros</t>
  </si>
  <si>
    <t>Solicitud de identificación presupuestaria, corresponde a la asignación de presupuesto necesario para financiar iniciativas en el año 2022, por el monto de M$ 10. Compromete recursos futuros para el año 2023 por M$ 303.777.
Para el pago de compensaciones y asesorías a la inspección fiscal.</t>
  </si>
  <si>
    <t>La solicitud plantea la identificación presupuestaria, corresponde a la asignación de presupuesto necesario para financiar 1 iniciativa inversión, por un monto de M$5.200.000.-
"MEJORAMIENTO RUTA 7, SECTOR LAS PULGAS - QUEULAT - BIF. CISNES".
En materia de compromisos futuros solicita M$ 10.000.000 para el año 2023 y M$ 4.200.000 para el año 2024.</t>
  </si>
  <si>
    <t>Solicita traspaso desde fondos ST. 31.02 DV por M$449.427 destinados a la SISS ST. 31.02 para financiar proyecto "Conservación Infraestructura SISS Piso 7".</t>
  </si>
  <si>
    <t>Propuesta confirmada.
El Servicio solicita traspaso de fondos por M$ 160.000 desde el ST. 31.02 destinados al ST. 29.
De los cuáles M$ 50.000 se destinaran a Mobliario y M$ 110.000 a Máquinas y Equipos asociados a proceso de compra inconcluso año 2021 destinado a la adquisición de 3 Pala Barre Nieve y Porta pala</t>
  </si>
  <si>
    <t>Se solicita asignar fondos a 152 iniciativas por un monto total de M$52.824.344 destinado al financiamiento de cartera de contratos nuevos y de arrastre. 
Por otra parte, se solicita traspasar fondos por M$ 120.000 desde ST. 31.02 Proyectos, a ST. 29.05 Máquinas y Equipos para financiar la adquisición de equipos para el Laboratorio Nacional de Vialidad, proceso de licitación ID Mercado Público 979-103-LP21, iniciado el año 2021.</t>
  </si>
  <si>
    <t>El Servicio solicita financiamiento asociado a cartera FET. Se ajustan 03 iniciativas de la cartera de recuperación.
Compromete recursos futuros por M$ 1.161.000 para el año 2023.
Por otra parte se solicita traspaso de fondos por M$ 392.600 desde el ST. 31.01 Estudios Básicos al ST. 
31.02 Proyectos.</t>
  </si>
  <si>
    <t>Concesiones solicita modificar y asignar presupuesto por  M$65.653, para el presente año destinado a Asesoría de Inspección Fiscal de la obra pública fiscal denominado “Hospital de La Serena”.
En materia de compromisos futuros se solicitan M$ 1.286.607 para el año 2023, M$ 1.344.759 para el año 2024, M$ 1.419.531 para el año 2025 y M$ 1.379.358 para el año 2026.</t>
  </si>
  <si>
    <t>Propuesta confirmada.
Vialidad programa regular solicita traspaso de fondos por M$ 7.081.000 desde el ST. 31.02 destinados al ST. 29.
De los cuáles M$ 6.946.000 se destinaran a Maquinas y equipos que requieren Laboratorios de Vialidad para contar con equipamiento suficiente para enfrentar adecuadamente el control de calidad de las obras viales que se ejecutan en todo el país y M$ 135.000 que serán destinados a adquisición de 8 módulos contenedores que en su conjunto, conformarán el “Puesto Caminero Director Regional Francisco Orozco López” destinado al apoyo de las operaciones de la Administración Directa.</t>
  </si>
  <si>
    <t>Propuesta Confirmada. 
El servicio solicita traspaso presupuestario en el subtítulo 29 Adquisición de Activos No Financieros, financiamiento regular, desde el ítem 07 Programas Informaticos al ítem 02 Edificios por un monto neto de M$8.503, con la finalidad de adquirir un contenedor que será utilizado como oficina para la Región de Ñuble.</t>
  </si>
  <si>
    <t>Propuesta Confirmada. 
Se solicita traspaso presupuestario por M$27.120 destinados al Subtítulo 29, Ítem 05 (Máquinas y Equipos), para la compra de equipos de aire acondicionado y su instalación y equipos rotuladores, y de M$500 al Subtítulo 29, Ítem 04 (Mobiliario y  Otros), para dar respuesta a requerimientos de mobiliario urgentes.
Financiamiento proviene de ST. 29.06 por M$ 15.221 y ST. 29.07 por M$ 12.399.</t>
  </si>
  <si>
    <t>se autoriza reasignar M$300 desde la asignación 999 a 001 para el pago de publicaciones en el proyecto "Construcción Infraestructura Portuaria en Pto Navarino"</t>
  </si>
  <si>
    <t>Propuesta confirmada.
Solicita identificar el Poryecto "Construcción Infr. Pesquera Artesanal Caleta Talquilla"  y modifica otros 4 proyectos. Solicitud libera M$94.411</t>
  </si>
  <si>
    <t>Solicita traspaso pptario desde ST31 proyecto "Ampliacion Aeródromo Cañal Bajo, Osorno" a ST29 item 04 , 05 y 03.</t>
  </si>
  <si>
    <t>solicitud de autorización para adquirir a través de Convenio Marco, 43 computadores para Fiscalía, con financiamiento regular</t>
  </si>
  <si>
    <t>Se autoriza Reasignación interna del proyecto "Construcción Obras de Retención en Hondonada Quebrada de Macul"</t>
  </si>
  <si>
    <t>Se autoriza reasignación interna de 2 proyectos DOH FET: Red Primaria Aguas Lluvias Biobío y Control Aluvional Qdas. Sectores República y Tiro al Blanco Taltal</t>
  </si>
  <si>
    <t>Se envían las propuestas de los siguientes Servicios, separados, según corresponda a Presupuesto Regular o Fondo de Emergencia Transitorio (FET):
Subsecretaría de Obras Públicas; Administración y Ejecución de Obras Públicas (D.G.O.P. – Fiscalía – D. Contabilidad y Finanzas); Dirección de Arquitectura; Dirección de Obras Hidráulicas; Dirección de Vialidad; Dirección de Obras Portuarias; Dirección de Aeropuertos; Dirección de Planeamiento; Agua Potable Rural; Dirección General de Concesiones de Obras Públicas; Dirección General de Aguas; Instituto Nacional de Hidráulica y Superintendencia de Servicios Sanitarios</t>
  </si>
  <si>
    <t>Autorización para arriendo de inmueble en Temuco por 2 años destinado al funcionamiento de dependencias de la Dirección Regional de Vialidad,  de la Región de la Araucanía, ubicado en la calle Avenida Bernardo O´Higgins N°874, comuna de Temuco, con un canon de arriendo mensual de 89 UF.</t>
  </si>
  <si>
    <t>Solicita autorización para la contratación en calidad de excepción a asesores, los cuales cumplen funciones claves y determinantes para el correcto desarrollo de proyectos de gran relevancia para el país, entre los cuales destacan, Puente Chacao y Túnel Caracoles, entre otros.</t>
  </si>
  <si>
    <t>Se reasignan fondos en el ST 31 ítem 02, por un monto total neto de M$8.201, en los proyectos “Conservación Mayor Área de Movimiento Aeródromo de Chamonate, Plan de Recuperación” y “Conservación Refugio de Pasajeros F. Bianco, Cerro Sombrero, Primavera (Plan de Recuperación)”, que rebajan monto en Obras Civiles e incrementan las asignaciones Consultorías y Otros Gastos</t>
  </si>
  <si>
    <t>Se autoriza reasignar fondos desde la asignación 002 a la 001 para el pago de publicaciones del proyecto: “Construcción Obras Marítimas Y Terrestres Caleta Horcón, Puchuncaví”.</t>
  </si>
  <si>
    <t>Reasignación interna para 12 proyectos.</t>
  </si>
  <si>
    <t>Reasignación interna para 4 proyectos.</t>
  </si>
  <si>
    <t>Se autoriza reasignación interna para proyecto "CONSTRUCCION RAMPAS CONECTIVIDAD CANAL FITZ ROY, RIO VERDE" para el pago de publicaciones</t>
  </si>
  <si>
    <t>Solicita modificación presupuestaria para 15 proyectos de Conservación de Riberas y específicos en varias regiones</t>
  </si>
  <si>
    <t>Se reasignan fondos desde la asignación 004 a la 001 para el pago de publicaciones de los proyectos: “Conservación Global Plan de Recuperación Obras Portuarias, Región de Coquimbo”, BIP 40024046-0, por M$250 y “Conservación Caletas pesqueras Comuna de Chañaral”, BIP 40038131-0, por M$61</t>
  </si>
  <si>
    <t>Solicita incremento en ST 22 por M$ 329.000, con el fin de efectuar el Proyecto “Diagnóstico y Diseño Eléctrico Recinto Laboratorio Nacional – Subdirección de Obras – Dirección de Vialidad” dado los problemas del sistema eléctrico, en todo el recinto, que afectan su normal funcionamiento y provoca daños a los equipos emplazados en las instalaciones.</t>
  </si>
  <si>
    <t>Se solicita identificar Conservación Obras de Riego en O'Higgins, Cuenca río Petorca y Quilaco, además de modificar 15 proyectos en diferentes regiones, principalmente en La Araucanía.</t>
  </si>
  <si>
    <t>Se solicita asignar fondos por un monto de M$ 12.045.330 los que serán destinados a la identificación de 18 iniciativas de inversión y la modificación de 76 proyectos, cuyo financiamiento será destinado al financiamiento de iniciativas que han obtenido su Recomendación Favorable y contratos que están a la espera de financiamiento para continuar con los trámites de adjudicación correspondientes.
Contempla pagos por M$ 31.554.330 para el presente año.</t>
  </si>
  <si>
    <t>Solicitud presupuestaria para contratación de servicios profesionales para “Estudio investigación de muestras de suelos típicos de Chile y la aplicación vial”, Dirección de Vialidad. Solicita Incremento ST 22: M$ 65.000</t>
  </si>
  <si>
    <t>Solicita modificación de presupuesto Subtítulo 34, para pago Servicio Deuda Externa, en M$34.691</t>
  </si>
  <si>
    <t>Se solicita reasignar fondos a cartera de inversión conformada por 39 iniciativas las que requieren de financiamiento destinado a proyectos que a la fecha presentan un mayor avance al estimado anteriormente, y complementos presupuestarios asociados a aumentos de contratos. El financiamiento de la presente solicitud proviene de reasignaciones presupuestarias de la cartera.
Contempla pagos por M$ 17.985.500 para el presente año.</t>
  </si>
  <si>
    <t>Se solicita identificar M$3.001.673.- en el ST 31, para financiar 9 proyectos, de los cuales 8 corresponden a conservaciones y un nuevo proyecto que obtuvo RS.
Además se requiere modificar 23 proyectos por -M$2.683.400.-, los cuales se requiere ajustar su programación a la realidad actualizada de la inversión regional</t>
  </si>
  <si>
    <t>Suplemento FET: Solicita la identificacion de 3 proyectos por un monto total de M$2.490.082.- los cuales no generan compromisos futuros.</t>
  </si>
  <si>
    <t>solicita modificación presupuestaria para la compra de 6 vehículos</t>
  </si>
  <si>
    <t>solicitud de autorización para la renovación de 55 desktop, para la Dirección de Contabilidad y Finanzas, del Programa Administración y Ejecución de Obras Públicas</t>
  </si>
  <si>
    <t>Se autoriza reasignación interna para proyectos "Conservación Caletas pesqueras Comuna de Chañaral", BIP 40038131-0, para el pago de publicaciones</t>
  </si>
  <si>
    <t>Se solicita financiamiento  bajo programa regular DV por un monto de M$ 10.510.623 destinado a iniciativas de Conservación Globales Mixtas y ajuste Art 19. 
Considera iniciativas de inversiones de arrastre de la cartera de proyectos en ejecución, se ajusta el presupuesto de arrastre del Servicio y se insiste iniciativas no aprobadas en modificaciones anteriores.
Por otra parte, se incorporan iniciativas de inversión a lo largo del país cuyo proceso de licitación de contratos se ha reprogramado, rebajándose el arrastre para el año 2023 en M$ 130.523.000.
Se identifican 30 iniciativas y se consideran 58 proyectos en modificase.</t>
  </si>
  <si>
    <t>Se solicita ppto extra en ST29 para compra de Maquinas y Equipos como tambien Equipos Computacionales, reasignado desde la Dirección de Arquitectura.</t>
  </si>
  <si>
    <t>Reasignación interna para 4 proyectos</t>
  </si>
  <si>
    <t>Solicita modificar 33 proyectos por un monto de M$1.106.114 del fondo FET, sin compromisos futuros y modificar 3 proyectos por un monto de M$30, del fondo Regular, con un arrastre de M$612.916 para el año 2023.</t>
  </si>
  <si>
    <t>Solicita identificar 16 proyectos pro un monto de M$3.092.666 con un arrastre de M$10.199.378 para el año 2023. Además, se solicita modificar 3 proyectos por un monto de - M$2.217.959, con un arrastre de M$2.923.908 para el año 2013.</t>
  </si>
  <si>
    <t>Solicitud de traspaso de honorarios a modalidad a contrata para el año 2022</t>
  </si>
  <si>
    <t>Solicita Mejoramiento a Funcionario DAP</t>
  </si>
  <si>
    <t>Solicita Mejoramiento a Funcionario DA</t>
  </si>
  <si>
    <t>Reasignación interna de cartera normal:
Se reasignan fondos en el ST 31.02 en 34 proyectos, por monto total de M$1.655.374, destinado
principalmente al financiamiento de estados de pagos asociados a consultorías y obras civiles.</t>
  </si>
  <si>
    <t>Reasignación interna de cartera FET:
Se reasignan fondos en el ST 31.02, en 6 proyectos, que corresponden a Conservaciones de Caminos Básicos en las regiones de O´Higgins y Biobío; Conservaciones de la Red Vial en las regiones de Biobío y Aysén; y Conservación de Caminos Plan Indígena de la Región del Biobío, por un monto total de M$36.287, destinados a pagos de consultorías y de gastos administrativos</t>
  </si>
  <si>
    <t>Se identifican 3 proyectos y se modifican 9 donde se destaca "CONSTRUCCION EMBARCADERO DE CONECTIVIDAD SECTOR LAS COLORADAS ISLA DEL REY COMUNA DE CORRAL"
Genera arrastres al 2023 por M$5.373.166, para el 2024 3.419.841 y para el 2025 1.934.990.-</t>
  </si>
  <si>
    <t>Se autoriza la reasignación interna de los proyectos "Mejoramiento Integral Soistema APR Chanavayita, Iquique" y "Conservación, mantención y ampliación sistema APR Región de Coquimbo (Glosa 05)".</t>
  </si>
  <si>
    <t>Se solicita identificar recursos en el Subtítulo 31, para el proyecto “Restauración Palacio Pereira y Reposición Edificios Consejo Monumentos Nacionales y DIBAM”, por un monto total de M$154.000 para el año 2022, para pagar indemnización por mayores gastos a la empresa contratista</t>
  </si>
  <si>
    <t>Solicita autorización para adquirir a través de Licitación Pública, 2 Notebook Rugged/Semi Rugged para funciones especiales del Servicio por un monto de M$9.000.-</t>
  </si>
  <si>
    <t>Autoriza Reasignación interna de cartera FET:
Se reasignan fondos en el ST 31.02 compuesta por 3 iniciativas Cartera FET por M$ 87.740.</t>
  </si>
  <si>
    <t>Se reasignan fondos desde la asignación 004 “Obras Civiles” a la asignación 002 “Consultorías” para la ejecución de levantamientos topográficos en el proyecto “Conservación Red de Medición de Parámetros Glaciológicos Plan de Recuperación” y para el pago del saldo decontrato del proyecto “Conservación Red de Agua e Hidrogeología Plan de Recuperación”.
Se reasignan fondos desde la asignación 004 “Obras Civiles” a la asignación 006 “Equipos” para la compra de equipos en los proyectos: “Conservación estaciones fluviométricas y reparaciones mayores Plan de Recuperación” y “Conservación Red de Agua e  Hidrogeología Plan de Recuperación”.</t>
  </si>
  <si>
    <t>Se adjunta información de los 83 honorarios por Servicio que reúnen las condiciones para ser contratados bajo la modalidad a contrata, para el año 2022, según Art. 45 de la Ley N° 21.405.</t>
  </si>
  <si>
    <t>Solicita identificar un proyecto y modificar otros 8</t>
  </si>
  <si>
    <t>Solicita modificar 3 Estudios Básicos, Identificar 7 proyectos destacando "Construcción Sistema de Aguas Lluvias Quilque, Los Angeles, VIII Región"  y modificar 42 iniciativas de inversión para el año 2022.  La Solicitud tiene arrastres para el 2023 por M$20.724.400 y M$5.028.206 para el 2024</t>
  </si>
  <si>
    <t>Se adjunta nómina definitiva de funcionarios en calidada de Honorarios que se traspasarán a contrata</t>
  </si>
  <si>
    <t>Solicita Reasignación interna de cartera normal:
Se reasignan fondos en el ST 31.02, en 11 proyectos, por un monto total de M$920.570 destinado principalmente a la asignación 003 expropiaciones y a la asignación 004 Obras Civiles.</t>
  </si>
  <si>
    <t>Solicita Reasignación interna de cartera FET:
Se reasignan fondos en el ST 31.02, en 2 proyectos, correspondientes a la Conservación Global Mixta y  de la Red Vial, de la Región de Atacama, por un monto total de $400.000.</t>
  </si>
  <si>
    <t>Se solicita identificar 2 proyectos por un monto de M$51.000, modificar 5 Estudios Básicos por M$-601.631 y modificar 57 proyectos por M$-15.655.735.  La propuesta contiene estructura donde se requiere el traspaso desde el St. 31 al St. 29 por M$1.139.546.</t>
  </si>
  <si>
    <t>Se solicita financiamiento para la identificación de 67 iniciativas de inversión y la modificación  presupuestaria de 202 proyectos, correspondientes a iniciativas que han obtenido su Recomendación  Favorable recientemente, contratos que están a la espera de financiamiento para continuar con los trámites  de adjudicación correspondientes y saldos para la liquidación de contratos terminados.
Por otra parte, se solicita traspaso presupuestario por un monto de M$335.686 desde el ST 31.02 proyectos, destinado al ST 31.01 estudios básicos.</t>
  </si>
  <si>
    <t>La presente solicitud está conformada por proyectos de cartera FET con 30 proyectos en modificase.
Compromete pagos para el presente año por M$ 5.722.500 y se financia con reasignacione presupuestarias de cartera de inversión.</t>
  </si>
  <si>
    <t>Solicita renovar autorizacio-nes para asignación de equi-pos celulares y dispositivos de Banda Ancha Móvil para la Dirección de Obras Portua-rias</t>
  </si>
  <si>
    <t>El servicio solicita modificar 4 Estudios Básicos y 3 proyectos, la propuesta contiene una estructura de rebaja el St. 31.02 en M$24.988 e incrementa Estudios Básicos en el mismo monto.</t>
  </si>
  <si>
    <t>Solicitud de autorización para adquisición de zodiac, ST 29 financiamiento regular de la Dirección de Obras Portuarias. Asociado a sol 523 DOP</t>
  </si>
  <si>
    <t>Solicita autorización para Comisión de Servicio al Extranjero y Modificación glosa gasto de viáticos al exterior para la Dirección de Vialidad.
Incremento glosa 03) autorización máxima para gasto de viáticos en el exterior por M$ 3.361</t>
  </si>
  <si>
    <t>Solicitud de Modificación glosa Publicidad y Difusión para el año 2022 de la DGC, incrementando Glosa en M$ 32.211 y disminuyendo en mismo monto la glosa de SOP</t>
  </si>
  <si>
    <t>El servicio solicita identificar 4 proyectos y modificar 36 proyectos destacando "Mejoramiento y Ampliación Sist. APR San Luis Villa Alegre, Placilla", se solicita una estructura de rebaja para el St. 31 por M$1.375.022 los que se traspasan al St 29  en el mismo monto.</t>
  </si>
  <si>
    <t>El Servicio solicita identificar 6 proyectos y modificar 20 proyectos.</t>
  </si>
  <si>
    <t>Se solicita autorización para adquirirsoftware SQL Server para 16 cores en total, Licenciamiento Local (OLP),  Licencias On Premise Perpetua en servidor exclusivo SQL no virtualizado, basado en cotización más reciente por un monto referencial de M$95.588. Esta adquisición se enmarca en Proyecto de Normalización TIC, que  como primera fase persigue el objetivo de mitigar el riesgo operacional por fallas de continuidad del servicio  informático en el Ministerio de Obras Públicas, derivado de la obsolescencia tecnológica. Las fichas EvalTIC  ID 2022.12.001201.02 y 2023.12.001201.07 se encuentran autorizadas. 
Se cuenta con disponibilidad presupuestaria en el subtítulo 29.07, producto de un menor precio de  adjudicación asociado al proceso de Licitación ID 1020-33-LQ22 por la Suscripción de Software Autodesk o equivalente, efectuado durante el mes de Julio del presente año.</t>
  </si>
  <si>
    <t>Solicita autorización para contratación y mejoramiento en Fiscalía</t>
  </si>
  <si>
    <t>Vialidad solicita modificación para el presente año en el subtítulo 21, “Gasto en Personal”,  correspondiente a un aumento de la Glosa autorizada y recursos para viáticos en territorio nacional, la cual se requiere para poder dar cobertura al pago por este concepto, derivado de las labores de continuidad operacional en terreno y que permitan efectuar un adecuado apoyo a la inspección de programa de inversiones.
Dado lo anterior, se solicita aumento en el ST 21 “Gastos en Personal” y aumento adicional a la Glosa de viáticos en territorio nacional, por un total de M$ 1.700.000, para su financiamiento se proponen 2 alternativas:
Alternativa 1:
 Incremento del ST 21 “Gastos en Personal” por M$ 1.700.000
 Incremento Glosa N° 3 c) Autorización máxima para gastos en viáticos por M$ 1.700.000
Para su financiamiento, se dispone de los siguientes recursos:
 M$ 1.300.000 del ST 21 “Gastos en Personal” de la Dirección de Vialidad FET – Covid19
 M$ 1.100.000 del ST 21 “Gastos en Personal” de Agua Potable Rural
Alternativa 2:
Solicitud de autorización para ejecución de gastos en viáticos con fondos propios del Servicio, a través del ST 31 para funcionarias/os que desarrollan labores de Administración Directa</t>
  </si>
  <si>
    <t>Solicita autorización para contrataciones, según lo dispuesto en el Of. GAB. PRES 4 del 25.03.2022</t>
  </si>
  <si>
    <t>Solicita prórroga de contrato para servicio de Reproducción de documentos para el MOP.</t>
  </si>
  <si>
    <t>Solicita autorización para contratar Servicio de Telefonía Móvil y Banda Ancha Móvil para el MOP</t>
  </si>
  <si>
    <t>Solicitud de autorización para realizar contrataciones, reemplazo y mejoramiento, Of. GAB.PRES 4 del 25.03.2022.</t>
  </si>
  <si>
    <t>Solicita autorización para 30 contrataciones conforme a normas de flexibilidad.</t>
  </si>
  <si>
    <t>Solicita autorización para 60 contrataciones conforme a normas de flexibilidad.</t>
  </si>
  <si>
    <t>Vialidad programa regular se solicita identificar 2 proyectos, que obtuvieron su recomendación favorable recientemente y modificar el presupuesto de otros 43 proyectos, que requieren complemento presupuestario para la cartera de inversión de Conservación por Administración Directa a lo largo del territorio nacional y además, cubrir  saldos para la liquidación de contratos terminados.
Compromete pagos para el presente año por M$ 11.694.880.</t>
  </si>
  <si>
    <t>Vialidad bajo programa presupuestario FET solicita presupuesto destinado a 5 proyectos de conservación y 3 proyectos específicos, que a la fecha  presentan un mayor avance en su ejecución y requieren complemento presupuestario por concepto de aumento de contrato. El financiamiento de la presente solicitud proviene de reasignaciones presupuestarias del propio Servicio.</t>
  </si>
  <si>
    <t>Reitera solicitud de ST22 para pago a Comisión de Expertos para fiajción de tarifas Aguas Patagonia periodo 2021-2026.
Traspaso desde ST21 DOP y DGA para ST22 SISS.</t>
  </si>
  <si>
    <t>solicitud de autorización para la renovación de 6 vehículos para la DOP</t>
  </si>
  <si>
    <t>Se solicita autorizaciones de contratacione, reasignación de cupos de personal, glosa de viáticos y reasignaciones de presupuesto corriente: DA, DCyF, DOP, DP y DGA</t>
  </si>
  <si>
    <t>Solicita autorización para la compra de 2 camionetas y 1 camión por M$140.000</t>
  </si>
  <si>
    <t>Solicita autorización para compra de vehículos (M$672.765), equipos (M$199.113) y programas informáticos (M$266.707)</t>
  </si>
  <si>
    <t>Solicuta autorización para compra de vehículos (M$522.029), equipos (M$239.853)y programas informáticos (M$287.608)</t>
  </si>
  <si>
    <t>Solicita modificación presupuestaria por Aportes Patronales, Ley N° 20.305 y Ley N° 19.404 por un total de M$ 425.730.</t>
  </si>
  <si>
    <t>Vialidad solicita de acuerdo a lo instruido en ORD. GAB.PRES. N°004 de fecha 25 de Marzo 2022 en su apartado XVIII, establece que las nuevas contrataciones celebradas 
durante el segundo semestre del presente año, deberán ser autorizadas por la  Dirección de Presupuesto.
Dado lo antes mencionado, se adjunta listado de 206 contrataciones para la  Dirección de Vialidad, de las cuales, su financiamiento se encuentra provisto en la Ley 
de Presupuesto.</t>
  </si>
  <si>
    <t>Solicitud de reasignación de presupuesto ST 21 “Gastos en Personal” de la Dirección de Planeamiento por M$10.000 para el ST 22 “Bienes y Servicios de Consumo” de la Dirección General de Obras Públicas, para financiar participación a “Edifica 2022”, evento liderado por la Cámara Chilena de la Construcción</t>
  </si>
  <si>
    <t>Solicita gestionar incorporación de artículo en Ley de Reajuste de Remuneraciones del Sector Público año 2022 para SSRR</t>
  </si>
  <si>
    <t>Solicita Reasignación interna de cartera normal:
Se reasignan fondos en el ST 31.02, en 47 proyectos, por un monto total de M$2.717.056 destinado principalmente al financiamiento de estados de pagos de contratos de Asesoría de Inspección Fiscal.</t>
  </si>
  <si>
    <t>Programa DV-FET se reasignan fondos en el ST 31.02, en 9 proyectos, por un monto total de M$2.183.535, destinado principalmente a contratos de asesoría de inspección fiscal y a contratos de obras.El presupuesto vigente de estas iniciativas forma parte del Decreto de Hacienda N°134 del 01 de febrero del 2022, a la fecha totalmente tramitado.</t>
  </si>
  <si>
    <t>Subsecretaría de Obras Públicas actualiza nómina definitiva del personal a traspasar de Honorarios a Contrata, con su respectiva modificación de glosas presupuestarias de honorarios con cargo a una compensación equivalente en el número en la dotación de personal, de la Subsecretaría de Obras Públicas, Programa 101.
Son 7 personas las que cambian de tipo de contrato pasando de Honorarios a dotación autorizada Servicio.</t>
  </si>
  <si>
    <t>Se solicita ajuste presupuestario para el ST 22 de la DGC, con el fin de incluir el desarrollo de 2 estudios, por un total de M$ 96.564</t>
  </si>
  <si>
    <t>Solicita autorización para mejoramientos de la Dirección General de Obras Públicas, según lo dispuesto en el GAB. PRES. N° 004 de 25.03.2022</t>
  </si>
  <si>
    <t>Se autoriza reasignación interna "Conservación Obras de Regadío Sequía 2019-2021, región de Valparaíso"</t>
  </si>
  <si>
    <t>La DA traspasa recursos desde el ST 21 al ST22 por M$110.000, e incrementa dotación de personal en 1, Vialidad disminuye dotación de personal en 1.</t>
  </si>
  <si>
    <t>Se solicita financiamiento para la identificación de 66 iniciativas de inversión y la modificación  presupuestaria de 198 proyectos, correspondientes a iniciativas que han obtenido su Recomendación  Favorable recientemente, contratos que están a la espera de financiamiento para continuar con los trámites  de adjudicación correspondientes y saldos para la liquidación de contratos terminados.
Por otra parte, se solicita traspaso presupuestario por un monto de M$335.686 desde el ST 31.02 proyectos, destinado al ST 31.01 estudios básicos.</t>
  </si>
  <si>
    <t>Se solicita financiamiento para la identificación de 13 proyectos y la modificación de 64 iniciativas. El  financiamiento requerido será destinado a iniciativas que han obtenido su Recomendación Favorable recientemente, a complementar presupuesto para contratos de arrastre y al pago de saldos para la liquidación de contratos terminados.</t>
  </si>
  <si>
    <t>Se solicita reasignar fondos a cartera de inversión conformada por 14 iniciativas. Se requiere de  financiamiento destinado a proyectos que a la fecha presentan un mayor avance y complementos  presupuestarios asociados a aumentos de contratos. El financiamiento de la presente solicitud proviene  de reasignaciones presupuestarias de la cartera.</t>
  </si>
  <si>
    <t>Se autoriza reasignación interna de 2 proyectosDGA</t>
  </si>
  <si>
    <t>Solicita Modificación
Presupuestaria glosa gasto
de viáticos en el exterior
para el Instituto Nacional de
Hidráulica</t>
  </si>
  <si>
    <t>Solicitud cierre presupuestario año 2022 ST. 31-32:
Se solicita identificar 4 proyectos y ajustar el presupuesto de otras 833 iniciativas, reasignando recursos que serán destinados al financiamiento de proyectos que a la fecha presentan mayores avances en la  ejecución en relación con lo estimado inicialmente y a modificaciones de contratos, entre otros. En  materia de pagos, la propuesta permite financiar M$50.630.530 para el presente año.
Se incluye propuesta de ajuste de estructura presupuestaria que permite rebajar fondos sin decretar del subtítulo 31 y traspasar M$ 11.414.000 al ST. 32 para el financiamiento de préstamos no recuperados.</t>
  </si>
  <si>
    <t>Solicitud cierre presupuestario año 2022 ST. 31:
Se solicita ajustar el presupuesto de 160 iniciativas, reasignando fondos que serán destinados al  financiamiento de proyectos que a la fecha presentan mayores avances en la ejecución en relación con lo  estimado inicialmente y a modificaciones de contratos, entre otros. En materia de pagos, la propuesta permite financiar M$40.683.793 para el presente año.</t>
  </si>
  <si>
    <t>Solicitud decreto de Cierre:  modifica 13 estudios básicos, identifica 10 y modifica 85 proyectos</t>
  </si>
  <si>
    <t>Solicita identificar 11 iniciativas y modificar 83, liberando un total de M$13.373.534.-</t>
  </si>
  <si>
    <t>Solicita modificar 6 proyectos por un monto de M$450,217</t>
  </si>
  <si>
    <t>solicita el traspaso de M$55.000 desde ST 22 de SOP a DOP para financiar asesoría “Evaluación de diseño conceptual y términos de referencia de la nave para la conectividad en el Lago General Carrera”, región de Aysén</t>
  </si>
  <si>
    <t>Se solicita ajustes a compromisos futuros Cartera FET bajo financiamiento programa regular asociado a oficio DV N°9653.
Compromete M$ 47.082.000 para el año 2023; M$ 24.707.000 año 2024; M$ 24.601.000 año 2025 y M$ 9.827.000 para el año 2026.</t>
  </si>
  <si>
    <t>Solicita Reasignación interna de cartera normal:
Se reasignan fondos en el ST 31, en 90 iniciativas de inversión, por un monto total de M$3.107.171 destinado principalmente al financiamiento de estados de pago de contratos de Asesoría de Inspección Fiscal y Obras Civiles.</t>
  </si>
  <si>
    <t>Solicita Reasignación interna de cartera FET:
Se reasignan fondos en el ST 31.02 en 13 proyectos, por un monto total de M$565.135, destinado principalmente a contratos de asesoría de inspección fiscal y de obras civiles.</t>
  </si>
  <si>
    <t>Se solicita Recuperación de Licencias Medicas, según cuadro ajunto, y su ingreso a TGR.</t>
  </si>
  <si>
    <t>Solicita autorización para Comisión de Servicio al Extranjero para la Dirección General de Aguas</t>
  </si>
  <si>
    <t>Vialidad solicita PROGRAMA REGULAR
- Subtítulo 26. Se requiere la asignación de M$ 524.790.- según se detalla en 
nómina adjunta, a fin de regularizar pagos por el concepto de devoluciones de 
multa cobradas en excesos y compensación por daños a terceros.
Respecto a la petición original del Ord. DV N° 10131 del 24.10.2022, se excluye 
petición de aumento de la glosa autorizada para viáticos en territorio nacional por un 
monto de M$ 300.000, dadas las instrucciones recibidas desde el Ministerio de 
Hacienda, no obstante, queda a discreción de la Dirección de Presupuestos si es 
acogida.</t>
  </si>
  <si>
    <t>Solicita decretar presupuesto por aplicación de Leyes por pagos de incentivo al retiro e indemnizaciones</t>
  </si>
  <si>
    <t>Solicita traspaso pptario desde DV ST21 a DAP ST26 por M$40.856 para pago de devolución de multa aplicada a empresa Consorcio DRS ICH Limitada.</t>
  </si>
  <si>
    <t>Se solicita autorización para viaje del Subsecretario de Obras Públicas, entre los días 4 al 15 de noviembre, relacionado con visitas de inspección técnica de fábricas y maestranzas que elaboran los sistemas de apoyo
y sillas del Puente Chacao</t>
  </si>
  <si>
    <t>se solicita autorización para realizar una Comisión de Servicio al Extranjero para, Inspector Fiscal, entre los días 6 al 14 de noviembre, relacionado con visitas de inspección técnica de fábricas y maestranzas que elaboran los sistemas de apoyo y sillas del Puente Chacao</t>
  </si>
  <si>
    <t>Se reasignan dos Conservaciones.</t>
  </si>
  <si>
    <t>Solicita autorización para Co- misión de Servicio al Extran-jero para la Dirección de Vialidad</t>
  </si>
  <si>
    <t>Solicita autorización para 27 contrataciones y mejoramiento de 22 funcionarios de la Dirección General de Aguas, según lo dispuesto en el GAB. PRES. N° 004 de 25.03.2022</t>
  </si>
  <si>
    <t>Otro</t>
  </si>
  <si>
    <t>002</t>
  </si>
  <si>
    <t>001</t>
  </si>
  <si>
    <t>Se identifican 5 Estudios Básicos por M$ 1.126.957 destacando "Diagn. Auscultación Pav. Aeroportuario Red Primaria Zona Centro", además se identifican 26 proyectos entre los que destaca "Mejoramiento Área de Movimiento Aeropuerto Presidente Ibáñez R 12" por M$43.008.743.</t>
  </si>
  <si>
    <t>Se identifica 1 Estudio Básico por M$111.991 y 45 proyectos por M$52.261.862, destacando  "CONSERVACION MAYOR AREA DE MOVIMIENTO AEROPUERTO MATAVERI" y "Construcción Nuevo Aeródromo de Peldehue, Colina"</t>
  </si>
  <si>
    <t>Identifica 3 estudios y 69 proyectos por un monto total de M$ 65.263.785. Genera un arrastre 2023 de M$29.708.236, M$3.457.969 para el 2024 y M$1.157.491 para el 2025.</t>
  </si>
  <si>
    <t>Identifica 11 proyectos por un monto de M$16.200.797 y un arrastre 2023 de M$0</t>
  </si>
  <si>
    <t>Identifica para el 2022 el Diagnóstico de cuentas de la RM y Análisis de reducción de emisión de GEI en proyectos aeroportuarias y de conectividad, asociados a solicitudes de Arrastre y nuevos 2022.
La solicitud tiene un arrastre para el 2023 de M$25.801</t>
  </si>
  <si>
    <t xml:space="preserve">Se solicita identificar el estudio básico “Actualización Inventario Patrimonio Cultural Inmueble Región de
Ñuble” por M$14.251 y otros 8 proyectos por M$1.910.580. </t>
  </si>
  <si>
    <t>Identifica 2 estudios por un total de M$120.500 con un arrastre para el 2023 de M$99.800</t>
  </si>
  <si>
    <t>Se decretan 6 iniciativas de la cartera regular DGA por M$1.466.336 para el año 2022 y compromisos por M$502.000 para el 2023.-</t>
  </si>
  <si>
    <t>Se decretan 4 iniciativas de arrastre DGA FET por un monto de M$2.424.923 para el año 2022, sin compromisos de arrastre para los años futuros.</t>
  </si>
  <si>
    <t>Identifica 4 proyectos por M$4.595.473; la solicitud tiene arrastres 2023 por M0</t>
  </si>
  <si>
    <t>Se decretan 10 iniciativas de la cartera Regular DGA 2022, por un monto de M$4.700.056 para el 2022 y un arrastre de M$1.425.893 para el 2023.</t>
  </si>
  <si>
    <t>Se decretan 5 proyectos por un monto de M$4.533.136, sin compromisos futuros.</t>
  </si>
  <si>
    <t>Decreto Inicial Nuevos, se identifican 9 proyectos entre los que destaca "CONSERVACION MAYOR AREA DE MOVIMIENTO AERODROMO DE CALDERA", se genera compromisos para el año 2023 por M$1.293.726.</t>
  </si>
  <si>
    <t>Decreto Hacienda identifica 4 proyectos por un monto total de M$2.364.558.  Destacan los proyectos “Conservación Infraestructura de Apoyo Nivel Nacional 2022-2024” y “Conservación Palacio de La Moneda 2022-2024”. Decreeto Hacienda no compromete recursos futuros.</t>
  </si>
  <si>
    <t>Se otorga presupuesto solo para proyecto "Construcción Edificio Ministerio Obras Publicas Región de Ñuble"</t>
  </si>
  <si>
    <t>Se identifica la asignación de presupuesto necesario para financiar iniciativas en el año 2022, por el monto de M$ 57.840.612. Compromete recursos por M$45.080.376 para el año 2023, M$22.086.692 para el año 2024, M$ 11.496.611 para el año 2025 y M$12.649.086 para el año 2026.
Para el pago de asesorías a la inspección fiscal y estudios de arrastre.</t>
  </si>
  <si>
    <t xml:space="preserve">Se identifica la asignación de presupuesto necesario para financiar iniciativas en el año 2022, por el monto de M$277.883.951. Compromete recursos por M$111.918.955 para el año 2023, M$77.829.378 para el año 2024, M$74.974.833 para el año 2025 y M$78.988.698 para el año 2026.
Para el pago de subsidios, compensaciones, expropiaciones y sus gastos inherentes además de recursos para la defensa judicial
</t>
  </si>
  <si>
    <t>Solicita identificar 1 estudio y 19 proyectos por M$6.408.883. Tiene un arrastre de M$21.321.107. Incluye el arrastre de los proyectos FET: 4002541-0 "Construcción Infraestructura Turística Lago Ranco", 40032437-0 "Conservación Global Obras Portuarias Región de Magallanes", y 4008050-0 "Mejoramiento Borde Costero Playa Las Machas"</t>
  </si>
  <si>
    <t>Se decretan 86 iniciativas de arrastre por M$46.999.522, fondo FET, sin compromisos futuros. DIPRES no decretó el proyecto de Conservación de Recolección y Tratamiento de Aguas Servidas.</t>
  </si>
  <si>
    <t>Se identifican 111 iniciativas de arrastre por M$79.710.368, las que comprometen M$25.013.869 para el 2023.</t>
  </si>
  <si>
    <t>Se asigna presupuesto e identifican 656 iniciativas por un monto total de M$1.087.695.237 destinado al financiamiento de contratos de arrastre y de contratos en los que se espera concretar procesos de licitación durante el presente año. En total, la propuesta compromete recursos futuros para el año 2023 por M$ 858.700.870.
 Los montos de arrastre para los años siguientes son M$ 795.468.400 para el año 2024, M$ 456.090.000 para el año 2025 y M$76.104.000 para el año 2026.</t>
  </si>
  <si>
    <t xml:space="preserve">Decreto Hacienda identifica 96 iniciativas por un monto total de M$568.117.022 destinado al financiamiento de contratos de arrastre de la cartera de inversión. </t>
  </si>
  <si>
    <t xml:space="preserve">Decreto Hacienda asigna fondos destinados a 91 iniciativas por un monto total de M$24.853.592 destinado al financiamiento de cartera de contratos nuevos 2022, lo que permitirá concretar procesos de licitación durante el primer semestre del presente año. </t>
  </si>
  <si>
    <t>Se identifica 3 estudios básicos destacando "Diagnostico Plan Maestro Agua Lluvia San Felipe" , identifica 42 proyectos destacando "Construcción Embalse Chironta, Valle del Lluta" y "Construcción obras de Mejoramiento Canal de La Luz en Chillán"</t>
  </si>
  <si>
    <t>Decreto Hacienda identifica 4 iniciativas por un monto total de M$1.705.633. Corresponden a contratos de asesoría a la inspección fiscal de proyectos
concesionados. El arrastre para los años siguientes es de M$4.207.598 para el año 2023, M$4.269.617 para el año 2024, M$4.424.621 para el año 2025 y M$ 8.274.381 para el año 2026.
Además modifica 8 iniciativas por un monto de M$2.024.551 para el año 2022, con un incremento del arrastre por M$8.294.340 para el año 2023.</t>
  </si>
  <si>
    <t>Se decretan 28 iniciativas por un monto de M$21.953.662 para el 2022 y un arrastre de M$15.626.912 para el año 2023 y M$.2.785.892 para el año 2023.</t>
  </si>
  <si>
    <t>Se decretan 12 iniciativas por un monto de M$5.217.767 para el 2022 y sin compromisos para los años futuros.</t>
  </si>
  <si>
    <t>Se decreta traspaso de recursos por M$163.522 y dotación de personal (10) desde honorarios a contrata.</t>
  </si>
  <si>
    <t>Decreta financiamiento asociado a Cartera Regular correspondiente a iniciativas de inversiones de Conservación Red Vial Administración Directa cuya finalidad es recuperar las condiciones de accesibilidad, transitabilidad y seguridad de las fajas ferroviarias en desuso, evitando la pérdida en el patrimonio de la Red Vial.
Se encuentra conformada por la identificación de 03 proyectos de cartera normal y contempla un monto de inversión año 2022 por M$ 1.230.000.</t>
  </si>
  <si>
    <t>Se identifican 7 Estudios Básicos entre los que destaca "Diagnostico Plan Maestro Evac. y Drenaje A. Lluvias de Buin y Paine" que generan compromisos para el año 2023 por M$771.286, M$142.885 para el año 2024.  Además se identifican 41 proyectos destacando la "Construcción Defensas Fluviales Río Andalien y otros, Concepción", también se modifica 2 proyectos</t>
  </si>
  <si>
    <t>Se identifica 3 Estudios básicos destacando "Diagnostico Comportamiento Aluvional de las Quebradas Afluentes a la Cuenca Camarones", se identifica 23 proyectos destacando "Construcción Obras Fluviales y Control Aluvional Quebrada Paipote", también se  modifica 7 proyectos entre los que destaca "Conservación de Riberas Región de Tarapacá 2020-2023 Recup", no generan compromisos futuros</t>
  </si>
  <si>
    <t>Traspasa el presupuesto del ST 30 decada Servicio a Presupuesto FET.</t>
  </si>
  <si>
    <t>Estructura Incrementa Estudios Básico en M$25.672 y rebaja Proyectos en el mismo monto</t>
  </si>
  <si>
    <t>Se identifica el proyecto "Mejoramiento Área de Movimiento Aeropuerto Presidente Ibáñez R 12" para identificar el Art. 19 por cambio de financiamiento de FET a Regular.</t>
  </si>
  <si>
    <t>Decreto Hacienda corresponde a identificación y modificación presupuestaria, tiene por finalidad asignar recursos del ST 31 “Iniciativas de Inversión”, para identificar estudios de arrastre y modificar AIF y estudios, por el monto total de M$6.327.742, y M$1.788.855 para el año 2023.</t>
  </si>
  <si>
    <t xml:space="preserve">Decretp Hacienda asociado a modificación presupuestaria, para reasignar recursos del ST 31 “Iniciativas de Inversión”, comprende monto a pagar año 2022 por  M$25.545.442, para complementar las partidas presupuestarias asociadas a subsidios, compensaciones e ingresos mínimos garantizados (“IMG”) de los contratos de concesión. Además, se solicitan recursos para el el pago de las compensaciones del contrato de concesión “Relicitación Concesión Túnel El Melón y para el pago de la sentencia “Ruta 160 Tramo Tres Pinos acceso Norte a Coronel”.
</t>
  </si>
  <si>
    <t>Se autoriza la para compra de 3 Dispositivos TOKEN, incluido certificado. Presupuesto vigente en 2906 M$136 y 2907 M$124.</t>
  </si>
  <si>
    <t>Decreto Hacienda de identificación presupuestaria, corresponde a la asignación de presupuesto necesario para financiar 1 iniciativa inversión, por un monto de M$5.200.000.-
"MEJORAMIENTO RUTA 7, SECTOR LAS PULGAS - QUEULAT - BIF. CISNES".
En materia de compromisos futuros compromete M$ 10.000.000 para el año 2023 y M$ 4.200.000 para el año 2024.</t>
  </si>
  <si>
    <t xml:space="preserve">Solicita identificar 7 iniciativas por un monto total de M$ 3.191.000. Esta proposición se financia con el proyecto Mejoramiento Borde Costero Playa Las Machas </t>
  </si>
  <si>
    <t>Se decretan 14 Iniciativas nuevas por M$11.361.926, con un arrastre para el año 2023 de M$11.653.304.</t>
  </si>
  <si>
    <t>Se decretan 14 iniciativas de prefactibilidad por un monto de M$15.051.172 para el 2022 y M$315.000 para el 2024</t>
  </si>
  <si>
    <t>Se identifican 2 proyectos por M$2.692.022 destacando "Conservación Mantención y Ampliación Sist. APR Región de Coquimbo (Glosa 5); se modifican 8 proyectos por M$9.016.179, se destaca "Conservación Mantención y Ampliación  Sist. APR, Región de Ñuble (Glosa 5)</t>
  </si>
  <si>
    <t>Se solicita decretaron 2 estudios básicos y 11 proyectos por un monto de M$1.687.707. Adicionalmente se solicita modificar 13 proyectos por un monto de M$833.270. En total, la propuesta tiene un arrastre para el año 2023 de M$13.327.628 y para el año 2024 M$10.131.304.</t>
  </si>
  <si>
    <t>Se solicita identifican los proyectos:  el proyecto Conservación Bokrdes Costeros Comuna de Caldera" y "Conservación de Caletas PesquerasCcomuna de Chañaral" que vienen de “Conservación Global Obras Portuarias 2022 de Atacama” por un monto total de M$ 800.000; no tiene arrastre para el 2023.</t>
  </si>
  <si>
    <t>DIPRES no acoge su solicitud por cuanto, atendiendo a los propios dictámenes y a las actuales dotaciones del servicio, le es factible contratar funcionarios que los reemplacen el presente año, dos a honorarios y uno en calidad a contrata.</t>
  </si>
  <si>
    <t>Se autoriza la compra de 3 camionetas por presupuesto FET.</t>
  </si>
  <si>
    <t>Decreto Hacienda financia compromisos de arrastre cartera de inversión FET COVID año 2022. 
Compromete recursos futuros bajo financiamiento programa 0204 para el año 2023 de M$17.094.000, mientras que el arrastre para el año 2024 es de M$25.000.-</t>
  </si>
  <si>
    <t>Se identifica el proyecto "Ampliación Edificio MOP Atacama" para identificar el Art. 19 por cambio de financiamiento de FET a Regular.</t>
  </si>
  <si>
    <t xml:space="preserve">Decreto Hacienda identifica iniciativa y asigna recursos por M$ 400.500 para el año 2022, “Construcción Costanera Sur San Pedro De La Paz” debe contratar servicios de consultoría para el diseño de ingeniería que permita la conexión vial por la ribera sur del río Biobío. 
Se modifica 4 iniciativas asignando recursos por un monto total de M$5.770.000 destinado al financiamiento de cartera de contratos cuya licitación se espera concretar durante el presente año, para ser iniciados durante el primer semestre del año 2022. </t>
  </si>
  <si>
    <t xml:space="preserve">Traspaso presupuestario que asigna recursos en el ST 22 FET “Bienes y Servicios de Consumo”, por el monto de M$61.596, del ST 30  Fondo de Emergencia Transitorio” (“FET”), los cuales no  fueron considerados en el Decreto N°45 de 18 de enero 2022, del Ministerio de Hacienda y cuyo financiamiento corresponde a estudios ST. 22.11.- Estudio Ferroviario apoyo a la revisión de los estudios requeridos para ejecutar una Concesión Ferroviaria.
</t>
  </si>
  <si>
    <t>Se asignan fondos a 98 iniciativas por un monto total de M$38.315.614 destinado al financiamiento de cartera de contratos de arrastre. 
Por otra parte, se solicita traspasar fondos por M$ 120.000 desde ST. 31.02 Proyectos, a ST. 29.05 Máquinas y Equipos para financiar la adquisición de equipos para el Laboratorio Nacional de Vialidad, proceso de licitación ID Mercado Público 979-103-LP21, iniciado el año 2021.</t>
  </si>
  <si>
    <t>Decreto Hacienda modifica presupuesto año 2022 de iniciativa de inversión BIP 40027832-0 CONSERVACION RED VIAL REGION DE TARAPACA 2020 - 2022 por M$ 410.000.</t>
  </si>
  <si>
    <t>Solicita identifican 22 iniciativas por M$ 3.711.358 y se modifican 36 iniciativas por M$ 8.622.150, sumando en total M$12.333.508, sin compromisos para los años futuros.</t>
  </si>
  <si>
    <t>Mientras el Servicio no presente una programación plurianual de este gasto, la DIPRES se abstiene de dar curso a lo solicitado.</t>
  </si>
  <si>
    <t>Se identifica el proyecto "Construcción Canales Secundarios y Terciarios Sistema Regadío Comuy" por un monto de M$ 2.483.960 para el 2022 y M$ 1.902.657 para el año 2023.</t>
  </si>
  <si>
    <t>Glosa de Publicidad MOP para el año 2022 decreto Hacienda distribuye los M$ 718.582 asignados en Glosa N°15 Ley Ppto. 2022.
" Monto máximo para gastos en el ítem de publicidad $718.582 miles."</t>
  </si>
  <si>
    <t>Se ajustan recursos correspondientes a la inspección fiscal de 3 proyectos, por  M$65.653, destinado a Asesoría de Inspección Fiscal de la obra pública fiscal denominado “Hospital de La Serena”, se decretan M$ 1.133.776 para el año 2023, M$ 1.187.340 para el año 2024, M$ 1.193.002 para el año 2025 y M$ 2.196.367 para el año 2026.
Se rebaja para el año 2022 el monto de M$61.576 para el “HOSPITAL DE COQUIMBO” e incrementando el de “HOSPITALES GRUPO III: RED LOS RÍOS - LOS LAGOS” en M$27.385, en tanto que para ambos proyectos, aumentan los
montos de años futuros. 
en M$969.700 el año 2024, en M$1.031.742 el año 2025 y en M$266.171 el año 2026.</t>
  </si>
  <si>
    <t>Se identifica proyecto "Conservacion Planta Agua Potable Aeródromo  Pichoy, Plan de recuperacion" por M$243.842 y modifica 15 proyectos, por un valor neto de M$185.719. No se generan compromisos futuros.</t>
  </si>
  <si>
    <t>Dipres traspasa M$8503 desde ST 29.07 a ST 29.02 para adquisición de container</t>
  </si>
  <si>
    <t>Se autoriza la compra de 10 camionetas por presupuesto FET.</t>
  </si>
  <si>
    <t>Se traspasa M$27.120 desde el ST 29.07 y 06, al Subtítulo 29, Ítem 05 (Máquinas y Equipos), para la compra de equipos de aire acondicionado y su instalación y equipos rotuladores, y de M$500 al Subtítulo 29, Ítem 04 (Mobiliario y  Otros), para dar respuesta a requerimientos de mobiliario urgentes.
Financiamiento proviene de ST. 29.06 por M$ 15.221 y ST. 29.07 por M$ 12.399.</t>
  </si>
  <si>
    <t>Decreto Hacienda identifica 14 iniciativas en cartera normal por M$ 1.930.600. Adicionalmente se consideran 64 proyectos en modificase de la cartera normal por M$ 3.147.767.</t>
  </si>
  <si>
    <t>Se solicitan modificar 5 proyectos de la cartera FET, comprometen pagos para el presente año po rM$ 1.500.000</t>
  </si>
  <si>
    <t>Decreto identifica el Proyecto "Construcción Infr. Pesquera Artesanal Caleta Talquilla"  y modifica otros 4 proyectos. Solicitud libera M$94.411</t>
  </si>
  <si>
    <t>Estrcutura DEC 303</t>
  </si>
  <si>
    <t>Se identifica Sistema de Regadío Embalse Zapallar, Río Diguillín, Ñuble por M$1.086.193 y M$831.543 para el año 2023.</t>
  </si>
  <si>
    <t>no se acoge traspaso desde DV a Planemiento para en Subtítulo 31, para el Estudio Básico denominado “Diagnóstico Plan de Inversión Servicios Sanitarios Rurales Macrozona Norte”, por un monto M$74.735</t>
  </si>
  <si>
    <t>Ajuste presupuestario que traspasa recursos desde el Subtítulo 30, Adquisición de Activos Financieros, hacia el ST 22 FET  “Bienes y Servicios de Consumo”, por un monto de M$104.979, para el desarrollo de un estudio que permitirá mejorar el diseño de los contratos de concesión, identificando condiciones que apunten a facilitar la certificación verde/social/sostenible de futuros proyectos y para Estudio Ferroviario apoyo a la revisión de los estudios requeridos para ejecutar una Concesión Ferroviaria.</t>
  </si>
  <si>
    <t>Decreto Hacienda traspasa ppto. ST. 31 por M$ 392.600 desde el ST. 31.01 al ST. 31.02.</t>
  </si>
  <si>
    <t xml:space="preserve">Decreto Hacienda modifica presupuesto compromisos de arrastre de cartera de inversión FET.
CONSERVACION RED VIAL REGION DE LA ARAUCANIA 2020-2022 PLAN RECUPERACIÓN.
CONSERVACION CAMINOS PLAN INDÍGENA REGIÓN DE LA ARAUCANIA 2020 PLAN DE RECUPERACION.
Compromenten recursos futuros por M$ 1.161.000 año 2023.
</t>
  </si>
  <si>
    <t>Dipres Autoriza la adquisición de 43 Equipos Computacionales, de la línea Desktop, por un total de $ 31 millones, mediante la modalidad de Convenio Marco.</t>
  </si>
  <si>
    <t>Se reasigna desde la asignación  002 a la 001 para el pago de publicaciones, para el proyecto "Análisis dinámica de Sedimentos Canal de Acceso Bahía Chilota, Porvenir"</t>
  </si>
  <si>
    <t>Se reasigna desde la asignación  004 a la 001 por M$42 para el pago de publicaciones, para el proyecto Mejoramiento Borde Costero Socos - Tongoy, Coquimbo</t>
  </si>
  <si>
    <t>Se autoriza reasignación interna de 3 proyectos APR: Verdes Campiñas, Campamento y Rucalhue.</t>
  </si>
  <si>
    <t>DIPRES autoriza arriendo de inmueble en Temuco por 2 años destinado al funcionamiento de dependencias de la Dirección Regional de Vialidad,  de la Región de la Araucanía, ubicado en la calle Avenida Bernardo O´Higgins N°874, comuna de Temuco, con un canon de arriendo mensual de 89 UF.</t>
  </si>
  <si>
    <t>Dirección de Presupuestos autoriza la compra de los 11 vehículos en referencia, por un monto máximo de $ 1.035.000 miles.  El financiamiento del gasto correspondiente deberá ser provisto con los recursos consultados en el Presupuesto Vigente del Servicio, en su programa FET.</t>
  </si>
  <si>
    <t>Se autoriza arriendo de 2 estacionamientos para Provincial DGA Limarí por M$90 mensual en total.</t>
  </si>
  <si>
    <t>Decreto Hacienda correspondiente a programa regular asigna presupuesto a 3 iniciativas de inversión  que cuentan con RATE IN. 
Financimiento año 2022 por un monto de M$ 1.391.000 destinado a 20166923-1, REPOSICIÓN PAVIMENTO RUTA M - 50 SECTOR: CAUQUENES - CHANCO; 30091314-0, MEJORAMIENTO RUTA K - 635/573, SECTOR DUAO - SAN DIEGO - CRUCE RUTA 115 - CH y 30062890-0 CONSTRUCCIÓN PUENTE CAU CAU Y ACCESOS, VALDIVIA.
Comprometen recursos futuros por M$ 63.000 año 2023, M$ 47.000 año 2024 y M$ 87.000 año 2025.</t>
  </si>
  <si>
    <t>Se identifica 4 proyectos y modifican 10 por un monto total M$ 2.736.385 para el 2022 y un arrastre de M$ 1.657.505 para el 2023.</t>
  </si>
  <si>
    <t>Se identifica un estudio por M$44.192.- y  3 proyectos por M$ 250.010.-.
Además se modifica 14 proyectos por M$1.227.989.-, ajustando su programación a la realidad actualizada de la inversión regional.</t>
  </si>
  <si>
    <t>Se Decreta la identificación y modificación presupuestaria por M$ 737.060, con el fin de la identificacar recursos de 3 proyectos incluidos en la Nómina de respaldo 2022 y 3 incrementos de recursos, correspondiente a la conservación de apoyo nivel nacional, Eduificio MOP Valparaíso y otro.</t>
  </si>
  <si>
    <t>Vialidad  programa regular decreto asigna presupuesto a 8 iniciativa identificadas  y 33 proyectos en modificase.
Identifica proyectos por M$ 244.185, sin compromisos futuros.
Modifica proyectos por M$ 15.352.474, arrastres por M$ 13.414.000 para el año 2023, M$ 6.395.000 para el año 2024 y M$ 1.645.000 para el año 2025.</t>
  </si>
  <si>
    <t>Arquitectura solicita identificar recursos del proyecto Centro interdisciplinario Neurociencia para ejecutar este año por M$ 22.000 que se encuentra con RATE IN, financiamiento proviene de los recursos reasignados de la Ley de presupuesto vigente 2022.
Arrastres por M$ 1.425.298 para el año 2023 y M$ 2.211.839 para el año 2024.</t>
  </si>
  <si>
    <t>Se identifica el proyecto “Construcción Playa Sector Centro Taltal” por un monto total de M$ 1.250.190 para el pago de expropiaciones. Adicionalmente se modifica 5 proyectos en los que se deben realizar ajustes en montos y trabajos a realizar</t>
  </si>
  <si>
    <t>Se decreta traspaso de ST31.01 FSD a ST31.02 para financiar el proyecto "Conservación de la Red de Agua e Hidrogeología", por un monto de M$303.529</t>
  </si>
  <si>
    <t>Se identifican 14 proyectos de Conservación de Riberas y específicos en varias regiones</t>
  </si>
  <si>
    <t>Se Decreta en el ST 31, por el monto de M$724.467, para cubrir pagos de compromisos contractuales de vencimiento entre los meses de abril a julio, dada la variación experimentada en el último mes del IPC, esta propuesta se financia con reasignaciones de esta Dirección  y no varía los años futuros.</t>
  </si>
  <si>
    <t>Se Decreta del ST 31, por el monto de M$494.000, para cubrir pagos de sentencia judicial y de lotes, de los contratos de Concesión Ruta 160 Tramo Coronel Tres Pinos, Autopista Concepción Cabrero, Nogales Puchuncaví y Vespucio Norponiente, se financia con Fondos sin Decretar M$182.741 , y el resto con recursos liberados de esta Dirección.</t>
  </si>
  <si>
    <t>Se identifica 2 proyectos por un monto de M$30.500 y modifica 3 proyectos por M$105.800. Este decreto genera arrastres por M$1.390.973 para el 2023, M$2.093.400 para el 2024 y 1.000.000 para el 2025.</t>
  </si>
  <si>
    <t>Se identifica el proyecto "Conservación de Recolección y Tratamiento de Aguas Servidas 2021-2022" pro un monto de M$ 3.343.275, sin compromisos futuros.</t>
  </si>
  <si>
    <t>Arquitectura decreta modificación presupuestaria por M$ 1.000, aumento de los arrastres en el proyecto CONSERVACION PISO 6 DE LA ARAUCANIA, el financiamiento proviene de los fondos sin decretar del Servicio.</t>
  </si>
  <si>
    <t>Se identifica proyecto "Construcción Sistema de Aguas Lluvias Quilque, Los Angeles, VIII Reg."</t>
  </si>
  <si>
    <t>Incremento en ST 22 por M$ 329.000, con el fin de efectuar el Proyecto “Diagnóstico y Diseño Eléctrico Recinto Laboratorio Nacional – Subdirección de Obras – Dirección de Vialidad” dado los problemas del sistema eléctrico, en todo el recinto, que afectan su normal funcionamiento y provoca daños a los equipos emplazados en las instalaciones.</t>
  </si>
  <si>
    <t>Se identifica Conservación Obras de Riego en O'Higgins, Cuenca río Petorca y Quilaco, además de modifican 12 proyectos en diferentes regiones, principalmente en La Araucanía.</t>
  </si>
  <si>
    <t>Se identifica el proyecto "Construcción Regadío Cuncumén, comuna de San Antonio"</t>
  </si>
  <si>
    <t>Estructura Dec 613 - Traspaso a ST29</t>
  </si>
  <si>
    <t>Se decreta M$1.380.000.- en el ST 31, para financiar 4 conservaciones, 3 de la Región de Los Rios y 1 de Magallanes y Antártida Chilena. Además se modifica 2 proyectos por -M$870.647.-, los cuales se requiere ajustar su programación a la realidad actualizada de la inversión regional</t>
  </si>
  <si>
    <t>Se identifica 2 EB por M$52.518 con arrastre de M$457.932 año 2023 y M$59.169 para año 2024. Así mismo, se solicita identificar 7 proyectos y modifica 27 generando compromisos futuros por M$34.994.899 año 2023, M$10.221.064 año 2024 , M$9.828.281 año 2025 y M$199.994 año 2026.</t>
  </si>
  <si>
    <t>Solicita identifica 9 Estudios Básicos por M$795.118, se destaca "Análisis Limitación  del Cauce del Río San José, Región de Arica y Parinacota", compromete recursos para el año 2023 por M$2.950.995, M$1.233.583 para el año 2024 y M$674.869 para el año 2025.</t>
  </si>
  <si>
    <t>Dirección de Presupuestos no autoriza el mejoramiento solicitado al considerar insuficientes los fundamentos señalados</t>
  </si>
  <si>
    <t>Decreto asigna fondos por un monto de M$ 15.047.250 los que serán destinados a la identificación de 18 iniciativas de inversión y la modificación de 69 proyectos, cuyo financiamiento será destinado al financiamiento de iniciativas que han obtenido su Recomendación Favorable y contratos que están a la espera de financiamiento para continuar con los trámites de adjudicación correspondientes.
Contempla pagos por M$ 34.556.270 para el presente año.</t>
  </si>
  <si>
    <t>DIPRES, se encuentra disponible para efectuar la modificacion pptaria señalada con una propuesta de financimianeto.</t>
  </si>
  <si>
    <t>Autoriza reemplazo y provisión de cargo vacante por retiro de funcionaria</t>
  </si>
  <si>
    <t>Se decreta modificación de estructura en presupuesto SOP Subtítulo 34, para pago Servicio Deuda Externa, en M$34.691</t>
  </si>
  <si>
    <t>Estructura decreto 638 - Modificación N°1</t>
  </si>
  <si>
    <t>Autoriza para desarrollo de softares a través del ST 29.07 para 3 proyectos que poseen ficha EVALTIC</t>
  </si>
  <si>
    <t>Se asignan fondos para traspasar desde ST. 31.02 Proyectos, a ST. 29.05 Máquinas y Equipos por M$ 120.000, para financiar la adquisición de equipos para el Laboratorio Nacional de Vialidad, proceso de licitación ID Mercado Público 979-103-LP21, iniciado el año 2021.</t>
  </si>
  <si>
    <t>Vialidad programa regular decreta traspaso de fondos por M$ 1.477.00. desde el ST. 31.02 destinados al ST. 29.
De los cuáles M$ 135.000 serán destinados a contenedores; M$ 32.000 a mobiliario y M$ 1.310.000 se destinaran a Maquinas y equipos .</t>
  </si>
  <si>
    <t>Decreto Hacienda reasigna fondos a cartera de inversión conformada por 39 iniciativas las que requieren de financiamiento destinado a proyectos que a la fecha presentan un mayor avance al estimado anteriormente, y complementos presupuestarios asociados a aumentos de contratos. El financiamiento de la presente solicitud proviene de reasignaciones presupuestarias de la cartera.
Contempla pagos por M$ 17.985.500 para el presente año.</t>
  </si>
  <si>
    <t>Identifica el proyecto "Construcción Sistema de Riego Embalse Empedrado" con RATE IN por M$4.572.314 y M$3.071.690 para el año 2023.</t>
  </si>
  <si>
    <t>Decreto Hacienda financia  Cartera Regular iniciativas de inversión que han obtenido su Recomendación Favorable recientemente y que están a la espera de financiamiento para continuar con los trámites de adjudicación correspondientes, así como también saldos y modificaciones de contratos.
Se identifican 3 iniciativas y se modifican 8 proyectos.</t>
  </si>
  <si>
    <t>Se decreta estructura de traspaso ST31.01 a ST31.02 para financiar el proyecto "Conservación de la Red de Agua e Hidrogeología", por un monto de M$303.529</t>
  </si>
  <si>
    <t>Se rebaja St. 30 de Arquitectura por M$9,833,845; se rebaja Arquitectura FET ST. 31 por M$3,784,036; se rebaja DOH FET St. 31 por M$5,280,932;  se rebaja DGC St. 30 por M$9,735,305.</t>
  </si>
  <si>
    <t>Se decreta modificación de 6 proyectos dentro de los que destaca “Mejoramiento Borde Costero de Curaco de Vélez” que debió incorporar pilotes y vigas de soporte en pasarelas dados los hallazgos arqueológicos detectados para no intervenir dichos hallazgos. Esta propuesta es de suma cero.</t>
  </si>
  <si>
    <t>Se decreta estructura de traspaso desde ST31 proyectos "Normalizacipon Aeródromo La Florida" y "Conservación Mayor Area de Movimiento Aeródromo De Caldera", a ST29 para compra de Maquinas y Equipos, Equipos Infomraticos y Programas Informaticos por M$224.961.-</t>
  </si>
  <si>
    <t>Se decreta sustituir en el inciso primero el guarismo referido a estudios de prefactibilidad, factibilidad y diseño de $11.721.696 miles por $27.291.786 miles</t>
  </si>
  <si>
    <t>Se decreta M$3.001.673.- en el ST 31, para financiar 9 proyectos, de los cuales 8 corresponden a conservaciones y un nuevo proyecto que obtuvo RS.</t>
  </si>
  <si>
    <t>Se decreta reasignación desde ST31 DV por M$104.000.- para la adquisicion de Mobiliarios ST2904 M$93.000 y Maquinas ST2905 por M$11.000</t>
  </si>
  <si>
    <t>Se decreta modificación presupuestaria para 6 proyectos por un monto de M$3.748.900, sin compromisos futuros.</t>
  </si>
  <si>
    <t>Autoriza la compra de 2 camionetas 4x4 por un monto máximo de M$20.514 IVA incluido.</t>
  </si>
  <si>
    <t>Decreta recursos para implementación de modificaciones al Código de Aguas y para 6 proyectos. Se financia con rebaja de DOH FET por M$4.922.104</t>
  </si>
  <si>
    <t>Se autriza reasignación interna para 3 proyectos por un monto de M$85.519. Proyectos de sequía en regiones de O'Higgins, RM y estanques de Aysén.</t>
  </si>
  <si>
    <t>Se identifican 11 iniciativas de sequía regionales por un monto de M$20.304.193, sin compromisos futuros.</t>
  </si>
  <si>
    <t>Dipres señala que no existe financiamiento por lo tanto no se autoriza la adquisición.</t>
  </si>
  <si>
    <t>Se solicita identificar proyecto Conservación de Ribera Interregional</t>
  </si>
  <si>
    <t>ESTRUCTURA: Se traspasa de ST31.02 a ST31.01 para financiar Estudios Básicos</t>
  </si>
  <si>
    <t>Decreto Hacienda Vialidad programa FET identifica 77 iniciativas que cambian fuente de financiamiento para el presente año por un monto de M$ 118.820.008, por otra parte modifica 45 iniciativas de inversión que forman parte de cartera FET, reasignando recursos por M$ 118.830.008</t>
  </si>
  <si>
    <t>Se decretan recursos por un monto de M$ 1.042.414, para el proyecto Conservación de apoyo nivel nacional, ajuste gastos administrativos ascensores monjas Villaseca y conservación de ascensores, se solicita además recursos adicionales por el mayor gasto programado en la obra restauración iglesia San Francisco Barón de la región de Valparaíso.</t>
  </si>
  <si>
    <t>Se decretan recursos para implementación Plan de Infraestructura para Territorios Indígenas de Arauco, Malleco y Cautín, Dirección General de Obras Públicas FET Covid</t>
  </si>
  <si>
    <t>Dipres no autoriza el traspaso de presupuesto FET, por lo tanto no autoriza la compra.</t>
  </si>
  <si>
    <t>Se Decreta identificación y reasignación de recursos en el Subtítulo 31 “Iniciativas de Inversión” por un monto total
de M$2.642.515, para cubrir modificaciones de contratos de asesorías de inspección fiscal vigentes,
principalmente del proyecto “Concesión Ruta 5 – Santiago - Los Vilos”, llamados a licitación de “Concesión
Sistema Américo Vespucio Oriente Tramo Príncipe de Gales - Los Presidentes” y “Concesión Ruta G-21
Acceso Centros de Esquí”, entre otras. Asimismo, complementar recursos para el pago de sentencias por
discrepancias en los proyectos “Ruta 5 Tramo Talca – Chillán” y “Concesión Sistema Américo Vespucio
Oriente Tramo El Salto - Príncipe de Gales”</t>
  </si>
  <si>
    <t>Financiamiento destinado a ncremento en ST 22 por M$ 329.000, con el fin de efectuar el Proyecto “Diagnóstico y Diseño Eléctrico Recinto Laboratorio Nacional – Subdirección de Obras – Dirección de Vialidad” dado los problemas del sistema eléctrico, en todo el recinto, que afectan su normal funcionamiento y provoca daños a los equipos emplazados en las instalaciones.</t>
  </si>
  <si>
    <t>Se solicita financiamiento  bajo programa regular DV destinado a iniciativas de Conservación Globales Mixtas y ajuste Art 19. 
Considera iniciativas de inversiones de arrastre de la cartera de proyectos en ejecución, se ajusta el presupuesto de arrastre del Servicio y se insiste iniciativas no aprobadas en modificaciones anteriores.
Por otra parte, se incorporan iniciativas de inversión a lo largo del país cuyo proceso de licitación de contratos se ha reprogramado, rebajándose el arrastre para el año 2023 en M$ 130.523.000.
Se identifican 30 iniciativas y se consideran 58 proyectos en modificase.</t>
  </si>
  <si>
    <t xml:space="preserve">se decreta traspaso desde ST 31 DA para SISS para compra de Maquinas y Equipos como tambien Equipos Computacionales. </t>
  </si>
  <si>
    <t>se otorga financiamiento para plan Triful Rupu y para Implementación de las modificaciones del código de Aguas, rebajando el resto del presupuesto de los Servicios desestimando el resto de las solicitudes</t>
  </si>
  <si>
    <t>Se identifica proyecto de prefactibilidad por Glosa 04 en la Región de Atacama, por un monto de M$301.000 para el 2022 y M$400.000 para el 2023.</t>
  </si>
  <si>
    <t>Se modifican 3 Estudios Básicos  y modifican 33 proyectos en distintas regiones.</t>
  </si>
  <si>
    <t>Se decreta el arraste FET en ppto FETCovid por 33 proyectos con monto de M$1.133.419,  asociados a la solicitud 419, asociado al Decreto ppto FET 1169</t>
  </si>
  <si>
    <t>Se identifica 16 proyectos por un monto de M$3.092.666 con un arrastre de M$10.199.378 para el año 2023. Además, se solicita modificar 3 proyectos por un monto de - M$2.217.959, con un arrastre de M$2.923.908 para el año 2013.</t>
  </si>
  <si>
    <t>Se autoriza a la Dirección de Vialidad para cursar contratos por reemplazo de 7 funcionarios de la Dirección de Vialidad, por un período de 6 meses</t>
  </si>
  <si>
    <t>Modifica 7 Proyecots Dop_fetcovid 19</t>
  </si>
  <si>
    <t>Decreta el proyecto "CONSERVACION PROTECCION COSTERA LIPIMAVIDA" dentro del presupuesto FET y modificar otro</t>
  </si>
  <si>
    <t>Se identifican 11 iniciativas de sequía regionales por un monto de M$110 y M$29.125.266 para el año 2023.</t>
  </si>
  <si>
    <t>Dipres no acoge solicitud de identificación de iniciativa de inversión de Vialidad ya que la obra no corresponde a la reparación del Puente Chichintawe ubicado en la comuna de Alto Biobío, Provincia del Biobío, si no que a un proyecto nuevo</t>
  </si>
  <si>
    <t>Se traspasan M$32.143 desde el ST 31-02 de Vialidad al ST 31-01 de la Dirección de Planeamiento, para el Estudio Básico denominado “Diagnóstico Plan de Inversión Servicios Sanitarios Rurales Macrozona Norte”.</t>
  </si>
  <si>
    <t>Estructura Decreto 974</t>
  </si>
  <si>
    <t xml:space="preserve">Decreto Hacienda traspaso ST. 31 destinado a la DGC por un monto de M$ 156.294.776.
De los cuales M$ 125.337.008 provienen ST.31 de ppto. regular de Vialidad; M$ 224.961 de ST. 31 Aeropuertos y M$ 30.732.807 aporte fiscal ST. 27. </t>
  </si>
  <si>
    <t>Decreto Hacienda financiamiento proveniente de ajustes a iniciativas de inversión destinado a traspaso ST. 31 DGC.
Vialidad: Ajusta presupuesto de 129 iniciativas de inversión las que disponibilizan FSD por M$ 118.819.478.
Aeropuertos: ajusta ST31 proyectos "Normalización Aeródromo La Florida" y "Conservación Mayor Area de Movimiento Aeródromo De Caldera", lo que disponibilizan FSD por M$224.961.
DGC: Identificación presupuestaria Inicial de los proyectos financiados en el respaldo de Ley de Presupuesto 2022 con el Fondo de Emergencia Transitorio COVID 19 (“FET”) para el año presupuestario 2022, contempla los recursos para compensaciones, expropiaciones y contratos de asesorías a la inspección fiscal para el año 2022 por el monto de M$156.294.776.</t>
  </si>
  <si>
    <t>Se autoriza reasignación interna del proyecto CONSERVACION GLOBAL PLAN DE RECUPERACION OBRAS PORTUARIAS REGION DE COQUIMBO para el pago de publicaciones por M$58.-</t>
  </si>
  <si>
    <t>Se autoriza la compra de 11 vehículos 4x4 por un monto máximo de $25 millones cada uno</t>
  </si>
  <si>
    <t>Se autoriza adquirir a través de Licitación Pública, 2 Notebook Rugged/Semi Rugged para funciones especiales del Servicio por un monto de M$8.883.-</t>
  </si>
  <si>
    <t>Reasignación interna de cartera normal:
Se reasignan fondos en el ST 31.02 compuesta por 26 iniciativas Cartera Regular por M$ 1.227.610.</t>
  </si>
  <si>
    <t>Se autoriza un total de 92 cupos a autorizar por el Ministerio de Obras Públicas, cuya información deberá ser remitida a más tardar el 22 de Julio.</t>
  </si>
  <si>
    <t>Decreta el proyecto "CONSERVACION PROTECCION COSTERA LIPIMAVIDA" dentro del presupuesto FET y modificar otros 8</t>
  </si>
  <si>
    <t>Decreta financiamiento  bajo programa regular DV por un monto de M$ 320.800 dentro de las que destacan Código BIP : 40031004-0 “CONSTRUCCION 
CONEXION VIAL SECTOR PAN DE AZUCAR-AGUAS CALIENTES-CR. RUTA 5  CMT”, y BIP: 40031194-0 “MEJORAMIENTO CBI VARIOS CAMINOS LA  ARAUCANIA ETAPA 1”, los cuales obtuvieron su rate favorable, recientemente y se  encuentran en la cartera de prioridades del Servicio y en la Ley de Presupuestos año 2022  de la Dirección de Vialidad.</t>
  </si>
  <si>
    <t>Se autoriza  la adquisición de equipamiento tecnológico por un monto de M$ 136.122 (80 Laptop, monitores, Escaner de álto Rendimiento, discos duros SSD 1 TB y cámaras de video conferencias Polycom)</t>
  </si>
  <si>
    <t>Se decreta el arraste FET en ppto regular de los 03 proyectos asociados a la solicitud 419, asociado al Decreto ppto FET 1171</t>
  </si>
  <si>
    <t>Se identifica 9 proyectos  destacando "Conservación Estanques 2022 - 2023 Región del Bío Bío", además de modificar 10 iniciativas</t>
  </si>
  <si>
    <t>Decreta  traspaso presupuestario provenientes de FSD ST. 31.02 por $M$9.998.646, los que seran destinados al ST. 29 adquisición de activos no financieros para dar cumplimiento a las condiciones necesarias que se requieren a nivel nacional, regional y provincial de la Dirección de Vialidad, dotando a los Laboratorios y Maestranzas de Vialidad de equipamiento suficiente para enfrentar adecuadamente el control de calidad de las obras viales que se ejecutan en todo el país. Así mismo permitir mejores condiciones de trabajo en los espacios laborales y mayor capacidad de procesamiento de información.
Cabe mencionar que solo se plantean renovaciones de parque vehicular y de maquinarias obsoletos.</t>
  </si>
  <si>
    <t>Identifica 3 proyectos y modifica 2 Estudio básico y 8 proyectos. Solicitud de suma cero. Con arrastre de M$12.367.741 para el 2023, M$ 13.634.720 para el 2024 y M$5.500.000 para el 2025</t>
  </si>
  <si>
    <t>Se traspasa desde ST 24 al ST 22 de la DGC por M$30.000 y modificación de Glosa 09 a M$30.224</t>
  </si>
  <si>
    <t>Se decreta rebaja de proyectos "Normalizacipon Aeródromo La Florida" y "Conservación Mayor Area de Movimiento Aeródromo De Caldera",  por M$224.961.-</t>
  </si>
  <si>
    <t>Se Traspasan M$93.702 desde la DOH a DCyF destinados a: ST 29.04: M$21.995; ST 29.05: M$13.013 y ST 29.06: M$58.694</t>
  </si>
  <si>
    <t>Se autoriza la compra de PC por M$55.000</t>
  </si>
  <si>
    <t>Se autoriza la prórroga del contrato hasta el 31 de diciembre de 2022</t>
  </si>
  <si>
    <t>Se decreta reasignación desde el ST 29.03 por M$733.817 al ST 29.04 por M$ 30.300; 29.05 por M$ 379.786, 29.06 por M$ 69.103 y 29.07 por M$ 254.628 ya que los contratos de las construcciones de las barcazas del Lago Ranco y Lago O´Higgins se encuentran detenidos operacionalmente debido a problemas contractuales con la empresa contratada</t>
  </si>
  <si>
    <t>6ta. Reasignación interna de cartera normal:
Se reasignan fondos en el ST 31.02, en 11 proyectos, por un monto total de M$920.570 destinado principalmente a la asignación 003 expropiaciones y a la asignación 004 Obras Civiles.</t>
  </si>
  <si>
    <t>6ta. Reasignación interna de cartera FET:
Se reasignan fondos en el ST 31.02, en 2 proyectos, correspondientes a la Conservación Global Mixta y  de la Red Vial, de la Región de Atacama, por un monto total de $400.000.</t>
  </si>
  <si>
    <t>Se rebaja St. 31 Proyectos por M$883.526, se incrementa St. 29 03 en M$672.765, 29 04 por M$31.577, 29 05 por M$99.695, 29 06 por M$78.305 y 29 07 por M$1.184.</t>
  </si>
  <si>
    <t xml:space="preserve">Se traspasa a ST 29 de Planeamiento por M$41.720. ST 29.04: M$4.248 para 19 muebles; ST 29.05: M$2.216 para máquinas dispensadoras de agua desmineralizada, extractores de aire, Smart TV y perforadora; ST 29.06: M$35.256 para 38 equipos tales como plotter, desktop gama 3 y monitores. El financiamiento de la propuesta proviene del  ST 31.01 del Servicio por M$6.483 y en el ST 31-02 de la Dirección de Obras Hidráulicas por M$35.237.
</t>
  </si>
  <si>
    <t>Decreta financiamiento para la identificación de 67 iniciativas de inversión y la modificación  presupuestaria de 202 proyectos, correspondientes a iniciativas que compromenten pagos para el presente año por M$ 56.473.701.</t>
  </si>
  <si>
    <t>Decreto Hacienda conformado por proyectos de cartera FET con 31 proyectos en modificase.
Compromete pagos para el presente año por M$ 5.722.500 y se financia con reasignaciones presupuestarias de cartera de inversión.</t>
  </si>
  <si>
    <t>Se autoriza la renovación del contrato de arriendo hasta el 31 de diciembre del año 2023, por un canon de arriendo mensual de 123,78 UF</t>
  </si>
  <si>
    <t>Se autoriza excepcionalmente en el marco de la normativa vigente, la entrega de 11 teléfonos celulares y 2 dispositivos de banda ancha para directores regionales de la Dirección de Obras Portuarias, considerando la necesidad que exige el desarrollo de las funciones asignadas.</t>
  </si>
  <si>
    <t>Estructura asociada a Decreto 1211 rebaja 87199 en ST 31.01 y aumenta en mismo monto ST 31.02</t>
  </si>
  <si>
    <t>Estructura incrementa Estudios Básicos en M$24.988 y rebaja Proyectos en mismo monto.</t>
  </si>
  <si>
    <t>Decreto Hacienda incrementa Glosa 03 Viáticos exterior Vialidad programa regular por M$ 3.361</t>
  </si>
  <si>
    <t>Decreta Modificación glosa Publicidad y Difusión para el año 2022 de la DGC, incrementando Glosa en M$ 32.211 y disminuyendo en mismo monto la glosa de SOP</t>
  </si>
  <si>
    <t xml:space="preserve">Se identifican fondos para habilitación de pozos existentes "Agua para Chile" en 5 proyectos por M$281.518 los que generan compromisos por M$1.898.666 para el 2023.  </t>
  </si>
  <si>
    <t>Se identifica 4 proyectos y modifica 36 proyectos destacando "Mejoramiento y Ampliación Sist. APR San Luis Villa Alegre, Placilla".</t>
  </si>
  <si>
    <t>Se identifican 6 proyectos y modifican 20 proyectos.</t>
  </si>
  <si>
    <t>Traspaso de Fondos desde DOH ST3102 a DGOP (0201) ST2903 M$20.571; 2904  M$1.700 ; 2950 M$2.179 ; 2906 M$15.544 y 2907 M$21.612.</t>
  </si>
  <si>
    <t>Traspaso de Fondos desde DOH ST3102 a DGOP( 0201) ST2903 M$20.571; 2904  M$1.700 ; 2950 M$2.179 ; 2906 M$15.544 y 2907 M$21.612.</t>
  </si>
  <si>
    <t>Se autoriza la compra por un monto máximo de M$95.588 en los términos señalados.</t>
  </si>
  <si>
    <t>Dipres no acoge solicitud de identificación de iniciativa de inversión, ya que se reemplazaría por un puente mecano, lo que corresponde a un proyecto específico con recomendación de MDS</t>
  </si>
  <si>
    <t xml:space="preserve">Se decreta modificación pptaria desde ST31 DOH DGA distribuido de la siguiente manera: para ST2902 M$20.000; ST2903 M$304.999 y ST2905 M$558.025 </t>
  </si>
  <si>
    <t>Se autoriza contratación y mejoramiento en Fiscalía</t>
  </si>
  <si>
    <t xml:space="preserve">Se autoriza para ST 29.06 por M$35.257 para 38 equipos tales como plotter, desktop gama 3 y monitores. </t>
  </si>
  <si>
    <t>Vialidad programa regular incrementa ST 21 por M$ 1.200.000 cuyo financimiento proviene de APR programa regular ST. 21.
Comprende un aumento de la Glosa autorizada y recursos para viáticos en territorio nacional, la cual se requiere para poder dar cobertura al pago por este concepto, derivado de las labores de continuidad operacional en terreno y que permitan efectuar un adecuado apoyo a la inspección de programa de inversiones.</t>
  </si>
  <si>
    <t>Se autoriza contratación y mejoramiento, dado que los recursos se encuentran contemplados en el presupuesto vigente del Servicio</t>
  </si>
  <si>
    <t>Se autoriza a contratar un servicio de arriendo de impresoras sin concurrir a un proceso de compras coordinadas, y efectuarlo através de licitación pública.</t>
  </si>
  <si>
    <t>Se autoriza contratar las 3 líneas telefónicas requeridas, con sus respectivos equipos celulares, las que deberán ser incorporadas al contrato en proceso de firma</t>
  </si>
  <si>
    <t>Autoriza a realizar contrataciones y mejoramientos, pero no reemplazo por falta de fundamentos</t>
  </si>
  <si>
    <t>Autoriza la compra de 2 notbook para el trabajo en terreno de los funcionarios DCPRH por M$8.883 para el proyecto 30130267-0; además la adquisición de equipamiento tecnológico por un monto de M$ 136.122 (80 Laptop, monitores, Escaner de álto Rendimiento, discos duros SSD 1 TB y cámaras de video conferencias Polycom)</t>
  </si>
  <si>
    <t>Se autoriza compra de 12 camionetas 4x4 por M$300.000.-</t>
  </si>
  <si>
    <t>Se Decreta para el año 2022 correspondiente al ST 29 Activos no financieros y ST 31 Iniciativas de inversión, de la cartera regular de la Dirección de Arquitectura, solicitando el traspaso de fondos al ST.29 por un monto total de M$276.365</t>
  </si>
  <si>
    <t>Se reasignan recursos en el Subtítulo 31 “Iniciativas de Inversión” por el monto de M$46.253.613, para el pago de expropiaciones en los contratos de concesión Camino de La Fruta y Ruta de Nahuelbuta, sentencias por discrepancias en los contratos de concesión Ruta 43 de la Región de Coquimbo, Ruta 5 Tramo La Serena Vallenar. El financiamiento de la propuesta proviene de reasignación de recursos del Servicio.</t>
  </si>
  <si>
    <t>Se decreta modificación de 08 proyectos, decreto de suma cero, ajusta la programación a la realidad actualizada de la inversión regional; dentro de los proyectos a modificar se encuentra "CONSERVACION OBRAS PORTUARIAS MENORES REGION DE LOS RÍOS PLAN DE RECUPERACION"</t>
  </si>
  <si>
    <t>Se autoriza 20 contrataciones conforme a normas de flexibilidad y a prioridades del Servicio.</t>
  </si>
  <si>
    <t>Dacuerdo con lo establecido en el Oficio GAB.PRES N°004, de 25.03.2022, del Ministerio de Hacienda, sobre buen uso de los recursos fiscales, Dipres autoriza lo solicitado</t>
  </si>
  <si>
    <t>La Dirección General de Concesiones rebaja la AIF para el Estudio y Construcción del Proyecto y Obras de Mejoramiento del Contrato de Concesión "Ruta 5, Tramo Puerto Montt –Pargua", esto porque no se utilizarán recursos por el Monto de M$11.550.235.</t>
  </si>
  <si>
    <t>Didres N°2324 autoriza la adquisición de 3 vehículos hasta por un monto equivalente a 350 U.T.M. cada uno y de 76 equipos computacionales Notebook gama 3 por un monto total de $58.748 miles.</t>
  </si>
  <si>
    <t xml:space="preserve"> Se ajusta presupuesto para incrementar el Subtítulo 22 “Bienes y Servicios de Consumo” de la Dirección de Planeamiento, por el monto de M$25.000, a través de una reasignación del ST 21, para desarrollar el estudio inherente denominado “Diseño Plan Director de Infraestructura para el 2055”.</t>
  </si>
  <si>
    <t>Vialidad programa regular identifica 2 proyectos, que obtuvieron su recomendación favorable recientemente y modificar el presupuesto de otros 43 proyectos, que requieren complemento presupuestario para la cartera de inversión de Conservación por Administración Directa a lo largo del territorio nacional y además, cubrir  saldos para la liquidación de contratos terminados.
Compromete pagos para el presente año por M$ 16.214.860.</t>
  </si>
  <si>
    <t>Vialidad bajo programa presupuestario FET ajusta presupuesto destinado a 5 proyectos de conservación y 3 proyectos específicos, que a la fecha  presentan un mayor avance en su ejecución y requieren complemento presupuestario por concepto de aumento de contrato. El financiamiento de la presente solicitud proviene de reasignaciones presupuestarias del propio Servicio.</t>
  </si>
  <si>
    <t xml:space="preserve">Vialidad decreto ajusta presupuesto del Subtítulo 24 “Transferencias Corrientes” de la Dirección de  Vialidad, con el fin cursar pagos a empresas concesionarias por concepto de devolución por sobrepeso.
Incremento del ST 2401001 “Compensación Tránsito con Sobrepeso” por M$ 541.789.
</t>
  </si>
  <si>
    <t>Decreto Hacienda Subsecretaría aumenta presupuesto en el ST. 29.04 por M$ 87.942 , los que serán destinados a adquisición de Mobiliario obsoleto. El financiamiento proviene por una parte de de  traspaso presupuestario ST. 29 Ppto. regular SOP por un monto de M$ 7.778, corresponde a saldo presupuestario proyectado en el ST. 29.05 Máquinas y Equipos y  saldo por M$ 80.164 proviene de traspaso de fondos desde ST. 31 DOH programa regular.
Decreto Hacienda DGOP - destinado a Dirección de Contabilidad y Finanzas, aument presupuesto en M$93.702, los que serán destinados a: ST 29.04: M$21.995; ST 29.05: M$13.013 y ST 29.06: M$58.694. 
El financiamiento proviene del ST 31 DOH.</t>
  </si>
  <si>
    <t>Estructura Propuesta Modif. Pptaria Julio DP511 DAP 401</t>
  </si>
  <si>
    <t>autorizado por Dipres, considerando que los recursos se encuentran contemplados en el presupuesto vigente del Servicio.</t>
  </si>
  <si>
    <t>Se Decretan reasignación de recursos en el Subtítulo 31 “Iniciativas de Inversión” por el monto de M$39.750, principalmente para el gasto de publicaciones de decretos expropiatorios, además modificar el arrastre para el año 2023, de las asignaciones relacionadas con el Estudio de Ruidos.</t>
  </si>
  <si>
    <t>Decreto de estructura asociado a Decreto 1347, traspasa M$11.989 desde ST 31.01 a ST 31.02</t>
  </si>
  <si>
    <t>Autoriza adquisición de Equipos Computacionales</t>
  </si>
  <si>
    <t>Se modifica presupuesto para el proyecto "CONSTRUCCION CENTRO GABRIELA MISTRAL ETAPA 2", BIP: 30310626-0 por M$ 10 para el año 2022, con arrastre de M$648000 para el año 2023 y M$100.000 para el año 2024.</t>
  </si>
  <si>
    <t>se autoriza la compra de los 36 vehículos por M$3.285</t>
  </si>
  <si>
    <t>Traspasa Glosa de dotación de personal desde vialidad (7) a DGOP (2) y Planeamineto (5), además aumenta glosa de viáticos nacionales en DGA por M$67860 reduciendo en la misma cantidad convenio de personas anturales</t>
  </si>
  <si>
    <t>Autoriza compra de 4 Camionetes 4x4 por M$75.000 y un Camión por M$50.000</t>
  </si>
  <si>
    <t>Autoriza compra de 33 Camionetes 4x4 por M$672.765.-</t>
  </si>
  <si>
    <t>Autoriza renocación de vehículos y compra de equipamiento informático.</t>
  </si>
  <si>
    <t>Identifica el EB "Diagnóstico obras Mejoramiento calidad agua río Azufre" por M$30.100; identifica 14 proyectos por M$2.468.644; modifica 8 EB por M$-807.581 y modifica 79 proyectos por M$-12.346.954.</t>
  </si>
  <si>
    <t>Incrementa el ST 21 de: SOP, DGOP, DA, DOH, DV, DOP, DAP, DP, APR y DGA en M$425.730 por concepto de aportes patronales</t>
  </si>
  <si>
    <t>Decreto de reasignación de presupuesto ST 21 “Gastos en Personal” de la Dirección de Planeamiento por M$10.000 para el ST 22 “Bienes y Servicios de Consumo” de la Dirección General de Obras Públicas, para financiar participación a “Edifica 2022”, evento liderado por la Cámara Chilena de la Construcción</t>
  </si>
  <si>
    <t>Se modifican los proyectos Construcción Centro Gabriela Mistral Etapa 2 BIP: 30310626-0 y Ampliación Edificio MOP Valdivia BIP: 30309972-0</t>
  </si>
  <si>
    <t>Se identifican 11 proyectos por M$1.112.588 que generan arrastre para el 2023 por M$14.940.945 y M$4.447.684 para el 2024; además se modifican 20 proyectos en diversas regiones.</t>
  </si>
  <si>
    <t>Se modifica 4 proyectos en las regiones de Valparaíso, Maule y La Araucanía.</t>
  </si>
  <si>
    <t>Se incrementan los recursos en el Subtítulo 31 “Iniciativas de Inversión” por el monto de M$20.638.398. Para poder pre pagar la cuenta de compensación del Convenio Ad Referéndum N°1 del contrato de concesión Autopista Concepción Cabrero y Convenio Ad Referéndum N°2 del contrato de concesión Sistema Norte Sur, por el monto total de M$27.262.000. Se financia con fondos sin Decretar del Servicio por M$6.623.602, fondos disponibles en el ST 31.02 de la Dirección de Obras Hidráulicas por M$14.126.398 y de Agua Potable Rural por M$6.512.000.</t>
  </si>
  <si>
    <t>Decreto Hacienda Subsecretaría de Obras Públicas modifica presupuesto del Subtítulo 21 correspondiente a la Glosa de Viáticos al Extranjero de la Subsecretaría de Obras Públicas, esto debido a viajes programados de nuestras Autoridades Ministeriales por medio de reasignación presupuestaria desde el Subtítulo 22 de Bienes y Servicios de Consumo, lo que corresponde a pasajes será financiado por la Subsecretaria sin solicitar presupuesto extraordinario.
Involucra traspaso desde ST. 22 al ST. 21 por M$ 18.540; aumento Glosa Autorización máxima para gastos en viáticos en el Exterior por M$ 15.426; aumento Glosa Convenio con personas naturales por M$ 3.114.</t>
  </si>
  <si>
    <t>Vialidad Reasignación interna de cartera normal:
Se reasignan fondos en el ST 31.02, en 47 proyectos, por un monto total de M$2.717.056 destinado principalmente al financiamiento de estados de pagos de contratos de Asesoría de Inspección Fiscal.</t>
  </si>
  <si>
    <t xml:space="preserve">Estructura decreto 1459 </t>
  </si>
  <si>
    <t>Se identifica el proyecto "Conservación de Canal de Estudio de Socavación en Pilas de Puentes" por M$25.612 en Obras Civiles; no se generan compromisos futuros.</t>
  </si>
  <si>
    <t>Se aumenta la glosa de Viáticos en Territorio Nacional por M$ 40.000, monto que se encuentra financiado dentro del presupuesto vigente de la DGC, por saldo en glosa 05 que se produjo por una renuncia y dos términos anticipados de contrato de funcionarios que percibían esta asignación especial.</t>
  </si>
  <si>
    <t>Decreto Hacienda incopora financiamiento destinado a inicativas priorizadas DP N°582 BIP:  30076653-0, MEJORAMIENTO RUTA COSTERA VILLA UKIKA - AEROPUERTO, PUERTO
WILLIAMS y 30122219-0, MEJORAMIENTO RUTA Y-290, CAMINO CUEVA DEL MILODON, XII REGION.
Adicionalmente incorpora financiamiento destinado a CCI Alto Bio-Bio requeridos en DP N°583 bajo BIP: 40031617-0, CONSERVACION CAMINOS PLAN INDIGENA REGION DEL BIOBIO 2021 (PLAN DE RECUPERACIÓN).</t>
  </si>
  <si>
    <t xml:space="preserve">Vialidad programa regular reduce fondos disponibles ST. 31 por M$ 541.789 los que son destinados  Subtítulo 24 Transferencias Corrientes Compensación Tránsito con Sobrepeso .
</t>
  </si>
  <si>
    <t>Se identifican 2 Estudios Básicos por M$25.500, también se modifican 15 proyectos.</t>
  </si>
  <si>
    <t>Se modifica 4 Estudios Básicos y 3 proyectos.</t>
  </si>
  <si>
    <t>Corresponde a diferencia de reajuste y otros conceptos</t>
  </si>
  <si>
    <t>Se Decreta modificación presupuestaria en Subtítulo 31 por aumento de M$40.748 en el arrastre 2023 del Estudio Básico denominado “Análisis Plan de Inversión en Soluciones de Reúso para 12 Localidades Rurales”</t>
  </si>
  <si>
    <t>Se reduce 2 en glosa de dotación máxima de personal en Dirección de Vialidad para aumentar el mismo número en DOP</t>
  </si>
  <si>
    <t>Se autoriza la contratación de 2 personas en DOP a partir del 01 de octubre hasta el 31 de diciembre 2022</t>
  </si>
  <si>
    <t>Se rebaja ST. 31.02 en M$523.691 y se incrementa el St. 29 en Vehículos por M$61.710, Mobiliario por M$20.258, Máquinas por M$280.205 y Equipos Computacionales por M$161.518.</t>
  </si>
  <si>
    <t>Decreto Hacienda destinado a financiamiento de compromisos futuros de cartera FET que ajusta situación presupuestaria año 2022 por medio de decreto Hacienda N°1718.
Compromete recursos futuros por M$ 29.514.000 para el año 2023 y M$ 7.495.000 para el año 2024.</t>
  </si>
  <si>
    <t>Decreto Hacienda destinado a  traspaso presupuestario por un monto de M$335.686 desde el ST 31.02 proyectos, destinado al ST 31.01 estudios básicos.</t>
  </si>
  <si>
    <t>Se sustituye M$21.907.204 por M$22.188.722 en la Glosa N°4.</t>
  </si>
  <si>
    <t>Estructura Decreto 1725</t>
  </si>
  <si>
    <t>Incrementa presupuesto MOP ST 21 por Asignación Institucional Servicios MOP</t>
  </si>
  <si>
    <t>Se autoriza rebaja de M$75.773 en el presupuesto del ST 31 de la DGOP</t>
  </si>
  <si>
    <t>se solicita modificar 21 iniciativas liberando
un total de M$2.510.420 del presupuesto vigente</t>
  </si>
  <si>
    <t>decreta modificar 6 proyectos por un monto de M$-328.103 y rebajar fondos sin decretar por M$-2770</t>
  </si>
  <si>
    <t>Solicita modificar 6 proyectos por un monto de M$450.763</t>
  </si>
  <si>
    <t>Se reasignan recursos del Subtítulo 31 “Iniciativas de Inversión” por el monto de M$24.982.532, para financiar la diferencia , del Director Nacional de Planeamiento, los que tienen relación con la solicitud de recursos necesarios para prepagar la cuenta de compensación del Convenio Ad Referéndum N°1 del contrato de concesión de la obra pública fiscal denominada “Autopista Concepción Cabrero” y Convenio Ad Referéndum N°2 del contrato de concesión de la obra pública fiscal denominada “Sistema Norte Sur”, derivados de modificaciones que se realizaron a los contratos de concesión respectivo.</t>
  </si>
  <si>
    <t>Reasignación interna de cartera FET:
Se reasignan fondos en el ST 31.02 en 13 proyectos, por un monto total de M$565.135, destinado principalmente a contratos de asesoría de inspección fiscal y de obras civiles.</t>
  </si>
  <si>
    <t>Se rebaja del ST 31-02 el monto de M$800.000.</t>
  </si>
  <si>
    <t>Decreto Hacienda asigna compromisos futuros en programa regular a cartera FET ajustada por medio de decreto HAcienda N°1875.</t>
  </si>
  <si>
    <t>Reduce ST. 31 Vialidad destinando financiamientio a Aportes Patronales, Ley N° 20.305 y Ley N° 19.404 por un total de M$ 425.730.</t>
  </si>
  <si>
    <t>Se rebaja M$203.243 desde ST 21 DV para traspasar fondos al ST26 DOP para el pago de una  restitución del cobro a contratista ordenada por la CGR</t>
  </si>
  <si>
    <t xml:space="preserve">Rebaja del presupuesto de la DGA 330.873 </t>
  </si>
  <si>
    <t>Se traspasan recursos disponibles FET a IND, proyecto “REPOSICIÓN ESTADIO COMUNAL DE SAN ANTONIO” por M$1.920.000.</t>
  </si>
  <si>
    <t>fecha_documento</t>
  </si>
  <si>
    <t>fechaVV</t>
  </si>
  <si>
    <t>Se solicita identificar 2 EB por M$52.518 con arrastre de M$457.932 año 2023 y M$59.169 para año 2024. Así mismo, se solicita identificar 7 proyectos y modifica 27 generando compromisos futuros por M$42.498.980 año 2023, M$10.221.664 año 2024 , M$9.833.661 años 2025 y M$199.994 año 2026.
Estructura incrementa Estudios Básicos en M$52.518 y rebaja Proyectos en el mismo monto.</t>
  </si>
  <si>
    <t xml:space="preserve">Solicita traspaso pptario desde ST31 para ST 29 por M$41.720. ST 29.04: M$4.248 para 19 muebles; ST 29.05: M$2.216 para máquinas dispensadoras de agua desmineralizada, extractores de aire, Smart TV y perforadora; ST 29.06: M$35.256 para 38 equipos tales como plotter, desktop gama 3 y monitores. El financiamiento de la propuesta proviene del  ST 31.01 del Servicio por M$6.483 y en el ST 31-02 de la Dirección de Obras Hidráulicas por M$35.237.
Solicita autorización para ST 29.06 por M$35.256 para 38 equipos tales como plotter, desktop gama 3 y monitores. </t>
  </si>
  <si>
    <t xml:space="preserve">Se solicita identificar los estudios básicos “Actualización Inventario Patrimonio Cultural Inmueble Región de Atacama” y “Actualización Inventario Patrimonio Cultural Inmueble Región de Valparaíso” por el monto de M$74.856, e incrementar el estudio “Actualización Inventario Patrimonio Cultural Inmueble Región de Ñuble” por M$ 10.271, no considera arrastres para los años siguientes y se presenta un ajuste a la estructura presupuestaria del Servicio desde el ST 31-02 al ST 31-01.
Además se solicita identificar el proyecto “Ampliación Segunda Etapa Edificio MOP Valdivia” por un monto de M$1.481.335, considera arrastre para el año 2023 por M$4.096.959 e incrementar el proyecto  “Conservación Integral Ascensores Concepción, Cordillera, Espíritu Santo Región de Valparaíso” por el monto de M$38.596. 
Se solicita un ajuste a la estructura presupuestaria del Servicio desde el ST 31-02 al ST 31-01 por M$ 85.127.
</t>
  </si>
  <si>
    <t>Se solicita identificar recursos para el estudio “Diagnostico Estado de los Inmuebles MOP Región de Los Lagos”, por un monto de M$10.200 para el año 2022, compromete recursos por M$106.510 para el año 2023 y M$173.780 para el año 2024; e identificar el proyecto “Conservación Edificio Fiscal Seremi MOP Valparaíso” por M$10.500 para el año 2022, compromete recursos por M$257.000 para el año 2023.Además, se requieren recursos adicionales para la adjudicación del proyecto “Conservación Piso 6 (Seremi OOPP) Edificio MOP Región de la Araucanía” y la reprogramación por licitaciones fallidas de los proyectos “Conservación Residencia Presidencial Viña del Mar Trienal 2022-2024” y “Conservación Infraestructura de Apoyo Nivel Nacional 2022-2024”, por un monto total de M$1 para el año 2022, generando un arrastre de M$448.545 para el año 2023.
Se solicita traspaso desde ST 31-02  a 31-01 para el estudio “Diagnostico Estado de los Inmuebles MOP Región de Los Lagos”, por un monto de M$10.200 para el año 2022.</t>
  </si>
  <si>
    <t xml:space="preserve">Se identifican recursos para el estudio “Diagnostico Estado de los Inmuebles MOP Región de Los Lagos”, por un monto de M$10.200 para el año 2022, compromete recursos por M$106.510 para el año 2023 y M$173.780 para el año 2024; e identifica el proyecto “Conservación Edificio Fiscal Seremi MOP Valparaíso” por M$10.500 para el año 2022, compromete recursos por M$257.000 para el año 2023.Además, se Decretan recursos adicionales para la adjudicación del proyecto “Conservación Piso 6 (Seremi OOPP) Edificio MOP Región de la Araucanía” y la reprogramación por licitaciones fallidas de los proyectos “Conservación Residencia Presidencial Viña del Mar Trienal 2022-2024” y “Conservación Infraestructura de Apoyo Nivel Nacional 2022-2024”, por un monto total de M$1 para el año 2022, generando un arrastre de M$448.545 para el año 2023.
Se traspasa desde ST 31-02  a 31-01 para el estudio “Diagnostico Estado de los Inmuebles MOP Región de Los Lagos”, por un monto de M$10.200 para el año 2022.
</t>
  </si>
  <si>
    <t>Solicita identificar 9 Estudios Básicos por M$795.118, se destaca "Análisis Limitación  del Cauce del Río San José, Región de Arica y Parinacota", compromete recursos para el año 2023 por M$2.950.995, M$1.233.583 para el año 2024 y M$674.869 para el año 2025.
ESTRUCTURA: Se solicita traspaso de ST31.02 FSD a ST31.01 para financiar Estudios Básicos</t>
  </si>
  <si>
    <t>Se solicita identificar 4 estudios y 5 proyectos que requieren comenzar su licitación, por un monto total de M$5.200 en el año 2022, con arrastre por M$755.000 para el año 2023 y M$684.899 para el año 2024. 
Los proyectos por un monto total de M$6.900 en el año 2022, generan un arrastre para el año 2023 por M$1.845.964 y M$521.733 para el año 2024.
Adicionalmente, se solicita modificación presupuestaria para 6 proyectos para el pago de reajuste y reprogramaciones de obra.
Se solicita decreto de identificación y modificación de cierre de proyectos M$ 10.500 , para el año 2022 elaborado por la Dirección de Arquitectura</t>
  </si>
  <si>
    <t xml:space="preserve">Vialidad solicita ajuste presupuestario para el Subtítulo 24 “Transferencias Corrientes” de la Dirección de  Vialidad, con el fin cursar pagos a empresas concesionarias por concepto de devolución por sobrepeso.
Incremento del ST 2401001 “Compensación Tránsito con Sobrepeso” por M$ 541.789.
En mayo del año 2021, para el proyecto de presupuesto del 2022, se estimó un monto de  M$ 930.958, que corresponde al gasto proyectado más ajustes, sin embargo, el monto  efectivo por concepto de devolución por sobrepeso es de M$ 1.472.746, lo cual da una  diferencia de M$ 541.789 respecto a los montos autorizados en la Ley de Presupuestos 
vigente. 
Se hace presente, que se encuentra disponible para su evaluación el financiamiento  declarado en el Ord. DCyF N° 548 del 17.08.2022. 
Vialidad solicita ajuste presupuestario para el Subtítulo 24 “Transferencias Corrientes” de la Dirección de  Vialidad, con el fin cursar pagos a empresas concesionarias por concepto de devolución por sobrepeso.
Incremento del ST 2401001 “Compensación Tránsito con Sobrepeso” por M$ 541.789.
En mayo del año 2021, para el proyecto de presupuesto del 2022, se estimó un monto de  M$ 930.958, que corresponde al gasto proyectado más ajustes, sin embargo, el monto  efectivo por concepto de devolución por sobrepeso es de M$ 1.472.746, lo cual da una  diferencia de M$ 541.789 respecto a los montos autorizados en la Ley de Presupuestos 
vigente. 
Se hace presente, que se encuentra disponible para su evaluación el financiamiento  declarado en el Ord. DCyF N° 548 del 17.08.2022. </t>
  </si>
  <si>
    <t>24-31</t>
  </si>
  <si>
    <t>24-24</t>
  </si>
  <si>
    <t>La presente solicitud está conformada por proyectos de cartera FET con 30 proyectos en modificase
La presente solicitud está conformada por proyectos de cartera regular con 67 proyectos en  identificase y 202 en modificase</t>
  </si>
  <si>
    <t>El Servicio solicita liberar recursos en el ST 31 Iniciativas de Inversión, del Fondo de Emergencia Transitorio Covid 19 (FET), por un monto de M$4.752.826, para el año 2022.
14-10 Se solicita traspasar recursos disponibles FET a IND, proyecto “REPOSICIÓN ESTADIO COMUNAL DE SAN ANTONIO” por M$1.920.000.
El Servicio solicita traspasar recursos disponibles FET a IND, proyecto “REPOSICIÓN ESTADIO COMUNAL DE SAN ANTONIO” por M$1.920.000.</t>
  </si>
  <si>
    <t>Se solicita traspaso de ST31.01 FSD a ST31.02 para financiar el proyecto "Conservación de la Red de Agua e Hidrogeología", pro un monto de M$303.529 en  Asignación Obras Civiles
ESTRUCTURA: Se solicita traspaso de ST31.01 FSD a ST31.02 para financiar el proyecto "Conservación de la Red de Agua e Hidrogeología", pro un monto de M$303.529 en  Asignación Obras Civiles</t>
  </si>
  <si>
    <t>Solicita modificar 15 Iniciativas de Glosa N°4 por M$15.752.216, generando un arrastre para año 2023 de M$315.000
Solicita sustituir en el inciso primero el guarismo referido a estudios de prefactibilidad, factibilidad y diseño de $11.721.696 miles por $27.291.786 miles</t>
  </si>
  <si>
    <t>El Servicio solicita financiamiento asociado a Cartera Regular y cartera FET. Además se reasigna presupuesto desde el ST.31 Iniciativas de Inversiones al ST.29 Activos No Financieros, para el financiamiento de adquisición de equipos, los cuales fueron licitados dentro del año 2021.
 Se identifican 33 iniciativas en cartera normal y 01 iniciativas en cartera recuperación. Adicionalmente se consideran 97 proyectos en modificase de la cartera normal y 03 de la cartera de recuperación.
Se solicita reasignar presupuesto desde el ST.31 Iniciativas de Inversiones al ST.29 Activos No Financieros, para el financiamiento de adquisición de equipos, los cuales fueron licitados dentro del año 2021.</t>
  </si>
  <si>
    <t>21-31</t>
  </si>
  <si>
    <t>DECRETO INICIAL 2022.
Asociado con Decreto de Estructura N°55</t>
  </si>
  <si>
    <t>DECRETO INICIAL 2022</t>
  </si>
  <si>
    <t>DECRETO INICIAL 2022 FET</t>
  </si>
  <si>
    <t>DECRETO INICIAL 2022 REGULAR</t>
  </si>
  <si>
    <t>DECRETO INICIAL 2022 REGULAR y FET.
Con fecha 21-12-2021 Servicio solicita ajustes en solicitud programa regular.</t>
  </si>
  <si>
    <t>Inicial arrastre regular 2022</t>
  </si>
  <si>
    <t>Inicial arrastres FET 2022</t>
  </si>
  <si>
    <t>Decreto Inicial 2022</t>
  </si>
  <si>
    <t>DECRETO INICIAL NUEVOS 2022 REGULAR</t>
  </si>
  <si>
    <t>Decreto Inicial Nuevos  DOP FET</t>
  </si>
  <si>
    <t>Inicial Nuevos Regular 2022</t>
  </si>
  <si>
    <t>No decretaron 3 proyectos</t>
  </si>
  <si>
    <t>Decreto Inicial Nuevos DAP 2022</t>
  </si>
  <si>
    <t>DECRETO INICIAL 2022 REGULAR NUEVOS.
DIPRES no asigna recursos a : 
40011575-0, NORMALIZACIÓN ACCESO EDIFICIO MOP REGION DEL BIOBIO CONCEPCIÓN.
40030440-0, CONSERVACIÓN ACCESIBILIDAD UNIVERSAL MOP REGIÓN DE VALPARAÍSO.
40031087-0, CONSERVACIÓN DS 50 MINVU ACCESIBILIDAD UNIVERSAL EDIFICIOS MOP MAULE.
40033267-0, CONSERVACIÓN ANTENAS DE COMUNICACIONES DE EMERGENCIA - ETAPA 2.</t>
  </si>
  <si>
    <t>DECRETO INICIAL 2022 FET NUEVOS</t>
  </si>
  <si>
    <t>Decreto inicial 2022 Arrastres Cartera Regular</t>
  </si>
  <si>
    <t>Decreto inicial 2022 Arrastres Cartera FET Covid 19.</t>
  </si>
  <si>
    <t>DECRETO INICIAL NUEVOS 2022</t>
  </si>
  <si>
    <t>Decreto inicial nuevos ppto Regular DOP</t>
  </si>
  <si>
    <t>Inicial arrastres APR FET</t>
  </si>
  <si>
    <t>Inicial arrastres APR Regular</t>
  </si>
  <si>
    <t>Decreto inicial 2022, junta solicitudes 805 y 824.</t>
  </si>
  <si>
    <t>Decreto inicial ppto. 2022.
Identifica cartera de contratos de arrastre y rezagados. 
DIPRES no identifica BIP: 40035526-0  CONSERVACION GLOBAL MIXTA CAMINOS BASICOS RED VIAL REGION DE VALPARAISO 2021-2026 y no asigna recursos futuros a iniciativas CAD</t>
  </si>
  <si>
    <t>Decreto inicial ppto. 2022.
Identifica cartera de contratos de arrastres.
DIPRES no incorpora a Decreto montos de arrastre, los que serán incorporados en Ppto. Regular</t>
  </si>
  <si>
    <t>Decreto inicial ppto. 2022.
Modifica cartera de contratos rezagados.</t>
  </si>
  <si>
    <t>Decreto inicial ppto. 2022.
Cartera de contratos nuevos.
DIPRES no identifica BIP: 40035430-0, CONSERVACION Y MEJORAMIENTO DE SEGURIDAD VIAL EN RUTAS DE LA RED PERIODO 2021  2023.
No incorpora a decreto Hacienda Modifica BIP: 30108960-0, "AMPLIACION RUTA H-27 CARRETERA EL COBRE, RANCAGUA-MACHALI”.</t>
  </si>
  <si>
    <t>Decreto inicial ppto. 2022.
Cartera de contratos nuevos, iniciativa priorizada</t>
  </si>
  <si>
    <t>Decreto inicial  ppto Regular</t>
  </si>
  <si>
    <t>Decreto inicial 2022 Cartera Regular Nuevos.
DIPRES no decreta iniciativa "CONCESIÓN PROYECTO ORBITAL SUR SANTIAGO (INSPECCIÓN FISCAL)".</t>
  </si>
  <si>
    <t>Decreto inicial 2022, DGC FET.
Con fecha 10.03.2022 DGC actualiza monto de traspaso totaliza M$ 161.965.117, con un arrastre para el año 2023 de M$65.981.400.
Pendiente Financiamiento Vialidad</t>
  </si>
  <si>
    <t>Decreto inicial Nuevos 2022 cartera regular.</t>
  </si>
  <si>
    <t>Decreto inicial Nuevos 2022 cartera FET</t>
  </si>
  <si>
    <t>Antecedentes pendientes asociados a iniciativas de Conservación.
Con fecha 08.02.2022 Servicio solicita incorporar ajuste a solicitud,</t>
  </si>
  <si>
    <t>Solicita modificación de Glosa honorarios, para traspasar honorarios a contrata.</t>
  </si>
  <si>
    <t>Solicita recursos Glosa N°11-fajas ferroviarias en desuso</t>
  </si>
  <si>
    <t>Decreto Inicial Nuevos.
El Decreto no incorporó 7 Estudios Básicos y 19 proyectos relacionados con Riberas y Cauces Naturales en varias regiones.</t>
  </si>
  <si>
    <t>Decreto Inicial Nuevos.
Se ha decretado todo lo solicitado.</t>
  </si>
  <si>
    <t xml:space="preserve">Traspaso a SISS
</t>
  </si>
  <si>
    <t>DECRETO INICIAL 2022 Asociado con Decreto de Proyectos N°54</t>
  </si>
  <si>
    <t>DECRETO INICIAL 2022 Asociado con Decreto de Proyectos N°54 y Decreto de Estructura N°55</t>
  </si>
  <si>
    <t>Identificación y Modificación Presupuestaria 2022 Cartera Regular</t>
  </si>
  <si>
    <t>Modificación Presupuestaria 2022 Cartera Regular.
Corresponde a decreto Hacienda suma cero, financiado excluisvamente por medio de reasignaciones presupuestarias.</t>
  </si>
  <si>
    <t>Mediante ORD. N°586 DIPRES autoriza lo solicitado.</t>
  </si>
  <si>
    <t>Solicitud reasigna presupuesto destinado a financiamiento de la solicitud</t>
  </si>
  <si>
    <t>Ingreso en MPRE</t>
  </si>
  <si>
    <t>Decreto Proyectos</t>
  </si>
  <si>
    <t>“Propuesta confirmada”. Glosa 04 Conservación</t>
  </si>
  <si>
    <t>Se reinsiste en solicitud, a oficio inicial  DCyF N°71 del 28-01-2022 (DGC N°137).</t>
  </si>
  <si>
    <t>“Propuesta confirmada”. 3 camionetas</t>
  </si>
  <si>
    <t>Decreto inicial ppto. 2022.
Finanancia compromisos futuros cartera de proyectos FET 2022, asociado a Decreto Hacienda N°134 programa 0254.</t>
  </si>
  <si>
    <t>Decreto inicial ppto. 2022.
DIPRES reune 2 solicitudes DP N°872 y 881 en Decreto Hacienda.
No identifica fondos destinados a iniciativa BIP: 40011013-0   CONSERVACION GLOBAL MIXTA CAMINOS RED VIAL REGION DE ATACAMA 2020</t>
  </si>
  <si>
    <t>Propuesta confirmada.
Ajusta estructura presupuestaria  reduce monto Ley ST. 31 por traspaso interno del Servicio destinado al ST. 29</t>
  </si>
  <si>
    <t xml:space="preserve">Ajusta estructura presupuestaria  reduce monto Ley ST. 31 por traspaso DV regular a SISS ST. 31 ppto. regular
</t>
  </si>
  <si>
    <t>“Propuesta confirmada”. Identifica 22 y modifica 35 iniciativas, entre ellas 4 de sequía y 2 renovación de estanques regionales</t>
  </si>
  <si>
    <t>“Propuesta confirmada”. Conservación de Aguas Servidas</t>
  </si>
  <si>
    <t>Propuesta confirmada</t>
  </si>
  <si>
    <t xml:space="preserve">Solicitud reemplazada por of DCyF 205.
Subtítulo 21 “Gastos en Personal” de la Fiscalía de Obras Públicas
Se reitera a través de oficio DCyF 205 del 05-04-2022 </t>
  </si>
  <si>
    <t>Glosa de Publicidad MOP para el año 2022</t>
  </si>
  <si>
    <t>No requiere autorización, monto de adquisición de los vehículos es menor a 350 UTM</t>
  </si>
  <si>
    <t>Con fecha 28.03.2022 se ha enviado Ord DP N°159 a DIPRES, confirmando propuesta decreto.</t>
  </si>
  <si>
    <t xml:space="preserve">Desde la Dirección de Presupuestos nos indican que se dejará sin efecto el Ord DP N°175 de 06/04/2022, que  considera dos proyectos con RATE OT (tramos de la Ruta 7).
Lo anterior, porque se requiere ratificación de continuidad de la prioridad presidencial, por lo que se solicita se presente una propuesta de decreto (por cada iniciativa, separadamente) en cuanto se cuente con el respaldo respectivo.
desde la Dirección de Presupuestos nos indican que se dejará sin efecto el Ord DP N°175 de 06/04/2022, que  considera dos proyectos con RATE OT (tramos de la Ruta 7).
Lo anterior, porque se requiere ratificación de continuidad de la prioridad presidencial, por lo que se solicita se presente una propuesta de decreto (por cada iniciativa, separadamente) en cuanto se cuente con el respaldo respectivo.
</t>
  </si>
  <si>
    <t xml:space="preserve">Traspaso ST. 29 
</t>
  </si>
  <si>
    <t>“Propuesta confirmada”. 10 Camionetas</t>
  </si>
  <si>
    <t xml:space="preserve">Decreto Hacienda no incorpora financiamiento a iniciativas nuevas 2022 </t>
  </si>
  <si>
    <t>Propuesta Confirmada</t>
  </si>
  <si>
    <t>Ver fecha.// Envío con minuta.</t>
  </si>
  <si>
    <t xml:space="preserve">Propuesta confirmada
DECRETO Ident. Y Modif. 2022 REGULAR
</t>
  </si>
  <si>
    <t xml:space="preserve">Propuesta confirmada
DECRETO Modif. 2022 FET
</t>
  </si>
  <si>
    <t>Estructura DEC303</t>
  </si>
  <si>
    <t>Financiamiento para traspaso a Planeamiento</t>
  </si>
  <si>
    <t>Financiamiento traspaso desde Vialidad</t>
  </si>
  <si>
    <t xml:space="preserve">Proyecto con RATE IN
</t>
  </si>
  <si>
    <t>ORD. DIPRES N°1018, No se acoge lo solicitado.</t>
  </si>
  <si>
    <t>Ajuste presupuestario, se traspasan recursos desde el ST 30 hacia el ST 22 FET.</t>
  </si>
  <si>
    <t>Financiamiento bajo ppto. regular de compromisos futuros cartera FET</t>
  </si>
  <si>
    <t>Se reemplaza por OF 167</t>
  </si>
  <si>
    <t>Desestimado, no se puede arrendar charter po r31.99</t>
  </si>
  <si>
    <t>1era. Reasig. Interna Ppto. 2022 programa regular y FET</t>
  </si>
  <si>
    <t>Desetimado por el servicio, Correo del 30-03-22.</t>
  </si>
  <si>
    <t>DIPRES autoriza arriendo por medio de Ord DIPRES N°0801 del 29-03-2022.</t>
  </si>
  <si>
    <t>Por medio de oficio DIPRES N°689 del 10.05.2022 se autoriza renovación de membresía</t>
  </si>
  <si>
    <t>Desestimado por el Servicio.</t>
  </si>
  <si>
    <t>Por medio de oficio DIPRES N°1264 del 24-04-2022 DIPRES autoriza adquisición de vehículos con financiamiento FET</t>
  </si>
  <si>
    <t>“Propuesta confirmada”. Enviada a DIPRES directamente por el Servicio</t>
  </si>
  <si>
    <t xml:space="preserve">Reasignación interna programa presupuestario 0204.
</t>
  </si>
  <si>
    <t>2da. Reasig. Interna Ppto. 2022 programa Regular</t>
  </si>
  <si>
    <t>Iniciativas IN.
Pendiente obtener RATE IN iniciativas 30091314-0,  MEJORAMIENTO RUTA K - 635/573, SECTOR DUAO - SAN DIEGO - CRUCE RUTA 115 - CH y 30062890-0, CONSTRUCCIÓN PUENTE CAU CAU Y ACCESOS, VALDIVIA.
Por medio de oficio DIPRES N°1103 se informa conformidad respecto a 3 proyectos de la Dirección de Vialidad, con Rate IN en años Anteriores. 
Por medio de oficio DIPRES N°1102 se informa respecto de situación particular observada en CGR asociada a iniciativa DUAO - SAN DIEGO.</t>
  </si>
  <si>
    <t>Autorizado por correo electrónico de Jefe DIPRES</t>
  </si>
  <si>
    <t>2da. Reasig. Interna Ppto. 2022 programa FET</t>
  </si>
  <si>
    <t>DIPRES no incorpora a decreto iniciativas identificadas con compromisos futuros</t>
  </si>
  <si>
    <t>Reasignación interna programa presupuestario 0203</t>
  </si>
  <si>
    <t>Reasignación interna programa presupuestario 0253</t>
  </si>
  <si>
    <t>reasignación interna n° 7</t>
  </si>
  <si>
    <t>Este proyecto fue solicitado en ORD DP 79 y rechazado por DIPRES en OF 939</t>
  </si>
  <si>
    <t>Asociado a decreto Hacienda N°800</t>
  </si>
  <si>
    <t>Se solicitó a DIPRES el retiro del Decreto 766 del 25.05.2022, a la espera del RATE "IN" (06.06.22)</t>
  </si>
  <si>
    <t>Con fecha 23-08 DIPRES informa que no cursará traspaso solicitado.</t>
  </si>
  <si>
    <t xml:space="preserve">
Con fecha 07-07 Vialidad incorpora ajustes para financiamiento de solicitud producto de situación actual de FSD.
Con fecha 22.06 Servicio solicita incorporar ajustes a solicitud.
Con fecha 16.06 Servicio solicita incorporar ajustes a solicitud.
Con fecha 10.06 se reitera listado de antecedentes pendientes:
Fichas IDI observadas, circulares y certificados CGR.</t>
  </si>
  <si>
    <t>Acuerdo tras reunión DGA-DIPRES del 16-05-2022. Se presenta en Oficio 223 del 18-05-22 reclasifica 3 proyectos que no fueron decretados en el ST 31, solicitados en el ORD DP 858 por
un monto de M$817.228. Los presenta en ST 22 y 29. Se envía en Ord DP 366.</t>
  </si>
  <si>
    <t>Por medio de oficio DIPRES N°1160 del 17.05.2022 se rechaza lo solicitado en los términos planteados quedando la posibilidad de reenviar propuesta financiada por medio de reasignaciones</t>
  </si>
  <si>
    <t>Ultima cuota deuda externa</t>
  </si>
  <si>
    <t>Enviada directamente desde DGA a DIPRES</t>
  </si>
  <si>
    <t xml:space="preserve">Reasignación interna programa presupuestario 0254.
</t>
  </si>
  <si>
    <t>DIPRES incorpora a Decreto Hacienda 2 solicitudes de traspaso DV programa 0204 ST. 31 al ST. 29, DP N°83 y 111</t>
  </si>
  <si>
    <t xml:space="preserve">Con fecha 20.05 se recibe solicitud reformulada en revisión.
</t>
  </si>
  <si>
    <t>Con fecha 22.06 Servicio solicita incorporar ajustes a solicitud.
Con fecha 16.06 Servicio solicita incorporar ajustes a solicitud.
Con fecha 10.06 se reitera listado de antecedentes pendientes:
Fichas IDI observadas, circulares y certificados CGR.</t>
  </si>
  <si>
    <t>Desestimado por correo de DIPRES de fecha 11-05-2022</t>
  </si>
  <si>
    <t>Decreto Estructura</t>
  </si>
  <si>
    <t xml:space="preserve">Decreto de estructura asociado a decreto N°1029 </t>
  </si>
  <si>
    <t>Decreto Estructura Glosa 04</t>
  </si>
  <si>
    <t>Por medio de oficio DV N°4707 Vialidad acepta transferir M$ 104.000 desde P Fondos disponibles en ppto. Regular ST. 31</t>
  </si>
  <si>
    <t xml:space="preserve">Correo del 08-06-22 entre Servicio y DIPRES, se desestima la solicitud de autorización, se comprara vehiculo con dotación disponible. </t>
  </si>
  <si>
    <t>Estructura en DEC913. Forma parte de solicitud ORD DP 366 FET MOP</t>
  </si>
  <si>
    <t>Estructura de DEC914</t>
  </si>
  <si>
    <t>Asociado a Decreto 981 Regular. Proyectos regionales de sequía.</t>
  </si>
  <si>
    <t>desestimado por Dipres</t>
  </si>
  <si>
    <t>desestimada por Dipres</t>
  </si>
  <si>
    <t>Desestimado por el servicio, al consultar si podia ser por Financiamiento FET.</t>
  </si>
  <si>
    <t>Desestimado por Dipres</t>
  </si>
  <si>
    <t>Con fecha 20.05 se recibe solicitud reformulada</t>
  </si>
  <si>
    <t>Con fecha 20.05 desde Vialidad se recibe solicitud reformulada</t>
  </si>
  <si>
    <t>Extraordinario FET</t>
  </si>
  <si>
    <t>Asociado a decreto Hacienda N°801</t>
  </si>
  <si>
    <t>DIPRES incorpora ajustes principalemente asociados a rebajas presupuestarias que no fueron incorporadas en Decreto traspaso DV-DGC. (Decreto Hacienda N°1029)</t>
  </si>
  <si>
    <t>Estructura en DEC914. Es parte del ORD DP MOP 366 FET.</t>
  </si>
  <si>
    <t>reemplaza solcitud 205 DGOP y agrega solicitud de otros Servicios</t>
  </si>
  <si>
    <t>Según correo DCyF, solicitud queda desestimada.</t>
  </si>
  <si>
    <t>se dejó sin efecto</t>
  </si>
  <si>
    <t xml:space="preserve">Reasignación interna programa presupuestario 0204.
En proceso de firmas y V°B°.
Con fecha 14-06 Servicio envia solicitud por MPRE SAFI.
</t>
  </si>
  <si>
    <t>Reasignación interna programa presupuestario 0254.
En proceso de firmas y V°B°.
Con fecha 14-06 Servicio envia solicitud por MPRE SAFI.</t>
  </si>
  <si>
    <t>Contiene los Arrastres del Decreto 982 FET. Proyectos regionales de sequía.</t>
  </si>
  <si>
    <t xml:space="preserve">Oficio DP se encuentra cerrado su análisis en DIPRES:
- Una de las 2 iniciativas que se solicitaba identificar BIP 30080931-0, CONSTRUCCIÓN CONEXIÓN VIAL RUTA COSTERA SECTOR: MEHUÍN – NIEBLA, desde DIPRES informan que el proyecto será considerado, en próximo decreto de Vialidad, ya que corresponde a un saldo de contrato. A la fecha no se ha recibido Decreto Hacienda donde se incorporé el financiamiento asociado a esta iniciativa.
 - Por otra parte, con fecha 18-07 DIPRES por medio de Oficio N°1786  informa que no identificará iniciativa “Conservación Caminos Indígenas, Comuna de Alto Biobío”, ya que se considera el reemplazo del Puente Chichintawe ubicado en la comuna de Alto Biobío, Provincia del Biobío, lo que no corresponde a la reparación de infraestructura existente, sino a la construcción de obras nuevas.
</t>
  </si>
  <si>
    <t>Asociado a Decreto Hacienda N°1129 del 29.06</t>
  </si>
  <si>
    <t>Asociado a Decreto Hacienda N°1127 del 29.06</t>
  </si>
  <si>
    <t>Se unen las solicitudes OF 1472 y 1543</t>
  </si>
  <si>
    <t>Reasignación interna programa presupuestario 0204.
Con fecha 20.07 se envian fichas IDI observadas y solicitud para complementar justificaciones.</t>
  </si>
  <si>
    <t>Reasignación interna programa presupuestario 0254.
Con fecha 20.07 se envia ficha IDI observada.</t>
  </si>
  <si>
    <t>Se reenvia via oficio DAP N°</t>
  </si>
  <si>
    <t>(02.08.22) Se despacha propuesta a DIPRES
En firmas DIRPLAN (29.07.22)
Se recibe respuesta a observaciones (28.07.22)
Se envía al Servicio observaciones (27.07.22).
Servicio envía propuesta corregida y antecedentes complementarios (25.07.22)</t>
  </si>
  <si>
    <t xml:space="preserve">(03.08.22) Se despacha propuesta a DIPRES
(02.08.22) En firmas DIRPLAN
(01.08.22) Servicio envía corrección a 1 proyecto 
(29.07.22) Servicio envía respuesta a Observaciones 
(28.07.22) DIRPLAN  envía al Servicio observaciones 
(25.07.22) Servicio envía propuesta y antecedentes complementarios </t>
  </si>
  <si>
    <t>Con fecha 23-08 DIPRES informa que ha cursado decreto sin ajustes en relación a lo solicitado por medio de Decreto 674VV del 17/08/2022.</t>
  </si>
  <si>
    <t>El Servicio envía cambios a la propuesta con fecha 28-07-2022</t>
  </si>
  <si>
    <t>con fecha 03-08-2022 el Servicio adjuntó nueva proposición y antecedentes. Decreto de proyectos asociado a Decreto 1346 de estructura</t>
  </si>
  <si>
    <t>oficio 451 es complementado con oficio 452 del 22-07-2022</t>
  </si>
  <si>
    <t>Informado a DCyF por e-mail el 04/08.
En Consulta en CGR, si arquitectura siendo mandatado técnico, no financiero, podía pagar o no.</t>
  </si>
  <si>
    <t xml:space="preserve">Reemplaza oficio SOP N°249 del 27-07-2022.
</t>
  </si>
  <si>
    <t>Decreto de proyecto asociado a decreto de estructura N° 1027</t>
  </si>
  <si>
    <t xml:space="preserve">(05.08.22) Se despacha propuesta a DIPRES
(04.08.22) En firmas DIRPLAN </t>
  </si>
  <si>
    <t>Por medio de oficio DIPRES N°2222 del 06.09 se autoriza lo solicitado</t>
  </si>
  <si>
    <t>Reasignación interna programa presupuestario 0204.
Pendiente resolución DV con apertura presupuestaria por asignación.</t>
  </si>
  <si>
    <t xml:space="preserve">Reasignación interna programa presupuestario 0254.
Pendiente resolución DV con apertura presupuestaria por asignación.
</t>
  </si>
  <si>
    <t>(18.08.22) Se despacha a DIPRES
(16.08.22) En V°B° y firmas DIRPLAN
(11.08.22) Servicio ingresa en MPRE propuesta, a la espera de antecedentes que faltan
(09.08.22) Se envian observaciones al Servicio</t>
  </si>
  <si>
    <t>Con fecha 22.08 se recibe respuesta de Servicio en materia de fichas IDI observadas.
Con fecha 18.08 se recibe set de antecedentes  (circulares) de respaldo de oficio.
Con fecha 17.08 se envia correo con antecedentes pendientes de envio (Minuta; certficicados CGR (4); circulares (68)).
Con fecha 12.08 se recibe primer set de antecedentes de respaldo de oficio.
Con fecha 10.08 se solicita envio de antecedentes de respaldo por parte del Servicio. (Excel con solicitud; justificaciones; Circulares actualizadas, Certificados CGR)
Y observaciones preliminares.</t>
  </si>
  <si>
    <t>Con fecha 22.08 se recibe respuesta de Servicio en materia de fichas IDI observadas.
Con fecha 18.08 se recibe set de antecedentes  (circulares) de respaldo de oficio, en revisión.
Con fecha 17.08 se envia correo con antecedentes pendientes de envio (Minuta; certficicados CGR (4); circulares (68)).
Con fecha 12.08 se recibe primer set de antecedentes de respaldo de oficio los que se encuentran en revisión.
Con fecha 10.08 se solicita envio de antecedentes de respaldo por parte del Servicio. (Excel con solicitud; justificaciones; Circulares actualizadas, Certificados CGR)
Y observaciones preliminares.</t>
  </si>
  <si>
    <t>Por medio de oficio DIPRES N°2224 del 06.09 se autoriza lo solicitado</t>
  </si>
  <si>
    <t>(10.08.22) Se envía propuesta a firmas y V°B° DIRPLAN
(09.08.22) Propuesta no se encuentra ingresada en Sistemas</t>
  </si>
  <si>
    <t>Decreto relacionado con decreto de proyectos N°1553</t>
  </si>
  <si>
    <t>según correo de analista de dipres Zodiac no requieren autorización</t>
  </si>
  <si>
    <t>Por medio de oficio DIPRES N°2215 del 06.09 se autoriza lo solicitado</t>
  </si>
  <si>
    <t>Con fecha 11-10-2022: DIPRES informa que decreto Hacienda (emitido en forma manual) se encuentra en firma de Directora de Presupuestos.
Con fecha 21-09-2022: DIPRES informa que respuesta a solicitud se encuentra En trámite en Dipres - DAP.</t>
  </si>
  <si>
    <t>(30.08.22) Se reenvía propuesta a DIPRES mediante Ord. DP N°594 con ajuste en Minuta
(18.08.22) Se despacha a DIPRES
(16.08.22) En firmas y V°B° DIRPLAN 
Dipres señala que decreto 557 asociado a esta iniciativa quedó nulo</t>
  </si>
  <si>
    <t>(26.08.22) Se despacha propuesta a DIPRES
(17.08.22) Se envían observaciones al Servicio</t>
  </si>
  <si>
    <t>(22.08.22) En V°B° y firmas DIRPLAN
(18.08.22) Se envían observaciones al Servicio</t>
  </si>
  <si>
    <t>(11.08.22) En firmas y V°B° DIRPLAN</t>
  </si>
  <si>
    <t>Decreto junta solicitudes DP  537 y 544</t>
  </si>
  <si>
    <t>DIPRES autoriza lo solicitado por medio de Oficio N°2511 del 26.90.2022.
Con fecha 18-08 SOP envia minuta con disponibilidad presupuestaria ST. 29.07.
Con fecha 17-08 se envia correo en el que se reitera a a SOP-SDIT requerimiento de envio de minuta que de cuenta de la disponibilidad presupuestaria ST. 29.07 y monto referencial en pesos de solicitud de autorización enviada.</t>
  </si>
  <si>
    <t xml:space="preserve">DIPRES no acoge reinsistencia por medio de oficio N°2427 del 20.09.
Con fecha 26.08, Vialidad envía Certificado CGR actualizado.
Con fecha 24.08, se solicita envío de Certificado CGR actualizado.
Con fecha 23.08 Servicio confirma ajustes sugeridos a Minuta de respaldo.
Con fecha 16.08 Vialidad solicita incorporar ajuste a solicitud.
Con fecha 12.08 se solicita envio de antecedentes de respaldo por parte del Servicio, ya que esta solicitud fue desestimada por DIPRES por medio de oficio N°1786 por cuanto el proyecto solicitado, que corresponde al reemplazo del Puente Chichintawe ubicado en la comuna de Alto Biobío, Provincia del Biobío, no corresponde a la reparación de infraestructura existente, sino a la construcción de obras nuevas.
Por lo que corresponde a un proyecto específico, que requiere realizar la correspondiente evaluación, y posterior recomendación, por parte del Ministerio de Desarrollo Social.” </t>
  </si>
  <si>
    <t>(12.08.22) En firmas DIRPLAN</t>
  </si>
  <si>
    <t>DIPRES dispone financiamiento proveniente ST. 21 APR programa regular
Con fecha 21-09-2022: DIPRES informa que respuesta a solicitud se encuentra en firmas y V°B° en Hacienda.</t>
  </si>
  <si>
    <t>Deja sin efecto, con oficio DCyF 623.</t>
  </si>
  <si>
    <t>Por medio de oficio DIPRES N°2044 del 19.08 se autoriza lo solicitado</t>
  </si>
  <si>
    <t>Por medio de oficio DIPRES N°2419 del 20.09 se autoriza lo solicitado</t>
  </si>
  <si>
    <t>asociada a Solicitud N° 567 del 22-08-2022</t>
  </si>
  <si>
    <t xml:space="preserve">Con Fecha 24-08 el Servicio confirma tramitar la propuesta 791 sin los recursos adicionales requeridos para la cuota del subsidio. Los recursos para ello quedaran pendientes hasta que existan recursos disponibles, en principio de la Dirección de Vialidad.
</t>
  </si>
  <si>
    <t>Dipres señal que respondió el 12-09</t>
  </si>
  <si>
    <t>De acuerdo a lo indicado por DIPRES se envia oficio 1014 de Subsecretaria de las  Culturas y las Artes, a la espera de indicaciones de DIPRES.</t>
  </si>
  <si>
    <t>Con fecha 09.09 Vialidad envia antecedentes de respaldo (Circulares).
Con fecha 07.09 Vialidad incorpora ajustes en materia de comprmosos futuros y envia antecedentes pendientes (Circulares); observaciones de Fichas IDI, en revisión.
Con fecha 05.09 se reiteran antecedentes pendientes (Circulares); observaciones de Fichas IDI y compromisos futuros.
Con fecha 31.08 Servicio envia 1er. Set de antecedentes de respaldo. (certificado CGR, circulates)
Con fecha 26.08  Vialidad envia Excel con solicitud y  justificaciones; envío de solicitud por MPRE.
Pendiente envío de antecedentes asociados a Circulares actualizadas, Certificados CGR.</t>
  </si>
  <si>
    <t xml:space="preserve">Con fecha 21-09-2022: DIPRES informa que respuesta a solicitud se encuentra en firmas y V°B° en Hacienda.
Se hace presente, que se encuentra disponible para evaluación el financiamiento  declarado en el Ord. DCyF N° 548 del 17.08.2022. </t>
  </si>
  <si>
    <t xml:space="preserve">En consulta con DCyF </t>
  </si>
  <si>
    <t xml:space="preserve">Decreto de estructura asociado a decreto N°1347 </t>
  </si>
  <si>
    <t>DIPRES autoriza por medio de oficio N°2423 del 20.09.2022.
Autorización ST. 29.06 asociado a Decreto Hacienda N°1313 TT 01.09.2022_ 674VV del 17/08/2022.</t>
  </si>
  <si>
    <t>DIPRES autoriza por medio de oficio N°2421 del 20.09.2022.
Autorización ST. 29.06 asociado a Decreto Hacienda N°1313 TT 01.09.2022_ 674VV del 17/08/2022.</t>
  </si>
  <si>
    <t>Através de ordinario 2313 se autoriza la contratación de 2 funcionarios a partir del 1 -10- 2022 hasta el 31 -12- 2022 para la DOP. Queda pendiente el resto de los Servicios.
Através de Decreto N°1647, la DA traspasa recursos desde el ST 21 al ST22 por M$110.000, e incrementa dotación de personal en 1, Vialidad disminuye dotación de personal en 1.</t>
  </si>
  <si>
    <t>Dipres señala que respondió en reunión que no requiere respuesta formal</t>
  </si>
  <si>
    <t xml:space="preserve">Con fecha 23.09 desde Vialidad envian solicitud por MPRE-SAFI. 
Con fecha 21.09 desde Vialidad envian antecedentes. (excel con solicitudes) </t>
  </si>
  <si>
    <t>Estructura 1459</t>
  </si>
  <si>
    <t xml:space="preserve"> </t>
  </si>
  <si>
    <t xml:space="preserve">Decreto Hacienda aporta financiamiento a iniciativas priorizadas DP N°582 y CCI Alto Bio-Bio DP N°583 </t>
  </si>
  <si>
    <t>Asociado a Decreto Hacienda N°1527 ST. 24</t>
  </si>
  <si>
    <t>Decreto relacionado con decreto de estructura N°1551</t>
  </si>
  <si>
    <t>Con fecha 03.10 SOP envia minuta presupuestaria requerida.
Con fecha 29-09 se solicita actualización de minuta presupuestaria que actualice saldos proyectados de cierre ST. 29.06.</t>
  </si>
  <si>
    <t>Con fecha 11-10 se recibe oficio DIPRES N°2708 con autorización para comisión de servicio al extranjero.
Pendiente decreto Hacienda con traspaso ppto. ST.21-22 y ajuste de Glosas.</t>
  </si>
  <si>
    <t>a la espera de decreto de proyectos, traspaso a ST 26 se realizó por decreto 1877 del 03-11-2022 desde ST 21 DV</t>
  </si>
  <si>
    <t>Esta solicitud está dirigida a DCyF.</t>
  </si>
  <si>
    <t>Asociado a decreto Hacienda N°1718 cartera FET.
Decreto Hacienda reconoce los compromisos futuros correspondiente a cartera FET.</t>
  </si>
  <si>
    <t>Decreto Hacienda asociado a Decreto N°1733</t>
  </si>
  <si>
    <t xml:space="preserve">Con fecha 19.10 Servicio envia solicitudes por MPRE-SAFI.
Se encuentra pendiente el envío de antecedentes en iniciativas de Conservaciones (circulares y certificados CGR)
Con fecha 14.10 Servicio envia antecedentes (circulares); excel con justificaciones (en revisión) e incorpora ajustes a lo solicitado.
Con fecha 13.10 se solicita envio de antecedentes de respaldo por parte del Servicio. (Excel con justificaciones; Circulares actualizadas, Certificados CGR)
</t>
  </si>
  <si>
    <t xml:space="preserve">Con fecha 19.10 Servicio envia solicitudes por MPRE-SAFI.
Con fecha 14.10 Servicio envia excel con justificaciones. 
Con fecha 13.10 se solicita envio de antecedentes de respaldo por parte del Servicio. (Excel con justificaciones; Circulares actualizadas, Certificados CGR)
</t>
  </si>
  <si>
    <t>Estructura decreto 1725</t>
  </si>
  <si>
    <t xml:space="preserve">Pendiente por parte del Servicio envio por MPRE - SAFI; justificaciones; antecedentes; fichas IDI.
Con fecha 27-10 Servicio informa que incorporará ajustes a solicitud.
Solicitud de cierre presupuesto 2022 - ST. 31 - programa regular.
</t>
  </si>
  <si>
    <t xml:space="preserve">Pendiente por parte del Servicio envio por MPRE - SAFI; justificaciones; antecedentes; fichas IDI.
Con fecha 27-10 Servicio informa que incorporará ajustes a solicitud.
Solicitud de cierre presupuesto 2022 - ST. 31 - programa FET.
</t>
  </si>
  <si>
    <t>Solicitud Decreto de Cierre</t>
  </si>
  <si>
    <t>solicitud desestimada por Dipres, ya que no cursará más solicitudes de traspaso entre subtítulos</t>
  </si>
  <si>
    <t>Con fecha 02 de Noviembre Servicio envía antecedentes correspondientes. (excel con solicitud y justificaciones)</t>
  </si>
  <si>
    <t>Cartera Adelantados 2023 iniciativas especificas.
Con fecha 08-11-2022 se reitera al Servicio enviar antecedentes pendientes. (Excel propuesta de decreto; envio por MPRE-SAFI; circular iniciativa de Conservación</t>
  </si>
  <si>
    <t>Decreto Hacienda ajusta compromisos futuros cartera FET.
Asociado a Decreto Hacienda N°1875 y N°1761</t>
  </si>
  <si>
    <t xml:space="preserve">Asociada a decreto Hacienda N°1878 </t>
  </si>
  <si>
    <t>decreto de estructura</t>
  </si>
  <si>
    <t>Espera ingreso MPRE. Antecedentes fichas 2022 faltantes.</t>
  </si>
  <si>
    <t>a la espera de decreto de estructura</t>
  </si>
  <si>
    <t>estructura</t>
  </si>
  <si>
    <t>materias</t>
  </si>
  <si>
    <t>servicios</t>
  </si>
  <si>
    <t>num_decreto</t>
  </si>
  <si>
    <t>servicio</t>
  </si>
  <si>
    <t>correo</t>
  </si>
  <si>
    <t>b</t>
  </si>
  <si>
    <t>_02,correo</t>
  </si>
  <si>
    <t>memo278</t>
  </si>
  <si>
    <t>sufijo_correo_memo</t>
  </si>
  <si>
    <t>monto_ley</t>
  </si>
  <si>
    <t>subtitulo</t>
  </si>
  <si>
    <t>item</t>
  </si>
  <si>
    <t>año</t>
  </si>
  <si>
    <t>fecha_desestimacion</t>
  </si>
  <si>
    <t>fecha_rechazo</t>
  </si>
  <si>
    <t>Oficio_Rechazo</t>
  </si>
  <si>
    <t>En conjunto con DCyF, se rechaza solicitud al tratarse de traspaso desde G.Corriente a ST29.</t>
  </si>
  <si>
    <t>rechazado por Dipres</t>
  </si>
  <si>
    <t>rechazado por instrucciones DIPRES.</t>
  </si>
  <si>
    <t>Traspaso entre STs</t>
  </si>
  <si>
    <t>Traspaso fuera de MOP</t>
  </si>
  <si>
    <t>Reasignacion Interna</t>
  </si>
  <si>
    <t>Estructura-Autorizacion</t>
  </si>
  <si>
    <t>Glosa-Autorizacion</t>
  </si>
  <si>
    <t>Traspaso entre Servicios-Autorizacion</t>
  </si>
  <si>
    <t>Servicio solicita Inicial</t>
  </si>
  <si>
    <t>Se decreta el Inicial de los siguientes Servicios, separados, según corresponda a Presupuesto Regular o Fondo de Emergencia Transitorio (FET):
Subsecretaría de Obras Públicas; Administración y Ejecución de Obras Públicas (D.G.O.P. – Fiscalía – D. Contabilidad y Finanzas); Dirección de Arquitectura; Dirección de Obras Hidráulicas; Dirección de Vialidad; Dirección de Obras Portuarias; Dirección de Aeropuertos; Dirección de Planeamiento; Agua Potable Rural y Dirección General de Aguas</t>
  </si>
  <si>
    <t>Se decreta el Inicial de los siguientes Servicios en ppto regular:
Subsecretaría de Obras Públicas; Administración y Ejecución de Obras Públicas (D.G.O.P. – Fiscalía – D. Contabilidad y Finanzas); Dirección de Arquitectura; Dirección de Obras Hidráulicas; Dirección de Vialidad; Dirección de Obras Portuarias; Dirección de Aeropuertos; Dirección de Planeamiento; Agua Potable Rural; Dirección General de Concesiones de Obras Públicas; Dirección General de Aguas; Instituto Nacional de Hidráulica y Superintendencia de Servicios Sanitarios</t>
  </si>
  <si>
    <t>Informa Inicial de DOH, DOH_FET, APR y APR_FET</t>
  </si>
  <si>
    <t>Solicita ajuste para Inicial por compromisos devengados al cierre del ejercicio presupuestario año 2021</t>
  </si>
  <si>
    <t>Estructura-Traspaso entre STs</t>
  </si>
  <si>
    <t>cierre</t>
  </si>
  <si>
    <t>glosa</t>
  </si>
  <si>
    <t>autorizacion</t>
  </si>
  <si>
    <t>reasignacion_interna</t>
  </si>
  <si>
    <t>Oficio_Autorizacion</t>
  </si>
  <si>
    <t>suma_positivos</t>
  </si>
  <si>
    <t>suma_negativos</t>
  </si>
  <si>
    <t>traspaso_inter_STs</t>
  </si>
  <si>
    <t>traspaso_inter_servicios</t>
  </si>
  <si>
    <t>traspaso_extra_MOP</t>
  </si>
  <si>
    <t>iniciativas</t>
  </si>
  <si>
    <t>Respuesta_Reasignacion_Interna</t>
  </si>
  <si>
    <t>Respuesta_Autorizacion</t>
  </si>
  <si>
    <t>tipo_movimiento</t>
  </si>
  <si>
    <t>otro</t>
  </si>
  <si>
    <t>asignacion</t>
  </si>
  <si>
    <t>subasignacion</t>
  </si>
  <si>
    <t>Desde SAFI</t>
  </si>
  <si>
    <t>(id_solicitud-tipo_documento)</t>
  </si>
  <si>
    <t>url_documentos</t>
  </si>
  <si>
    <t>http://dirplancolabora.mop.gov.cl/presu/Decretos/2022/</t>
  </si>
  <si>
    <t>proposicion1</t>
  </si>
  <si>
    <t>proposicion2</t>
  </si>
  <si>
    <t>proposicion3</t>
  </si>
  <si>
    <t>decreto1</t>
  </si>
  <si>
    <t>decreto2</t>
  </si>
  <si>
    <t>decreto3</t>
  </si>
  <si>
    <t>oficio_solicitud1</t>
  </si>
  <si>
    <t>oficio_solicitud2</t>
  </si>
  <si>
    <t>oficio_solicitud3</t>
  </si>
  <si>
    <t>link</t>
  </si>
  <si>
    <t># proposiciones</t>
  </si>
  <si>
    <t># oficios_solicitud</t>
  </si>
  <si>
    <t># decretos</t>
  </si>
  <si>
    <t>codigoVV</t>
  </si>
  <si>
    <t># iniciativas</t>
  </si>
  <si>
    <t>_01+correo</t>
  </si>
  <si>
    <t>DAP_FETCovid19-FISC_FETCovid19-DGA</t>
  </si>
  <si>
    <t>fecha_minima</t>
  </si>
  <si>
    <t>fecha_maxima</t>
  </si>
  <si>
    <t>(n_aparicion)</t>
  </si>
  <si>
    <t>(id_solicitud-tipo_documento-n_aparicion)</t>
  </si>
  <si>
    <t>servicios_documento</t>
  </si>
  <si>
    <t>servicio_movimiento</t>
  </si>
  <si>
    <t>solicitud de prueba creada por Caro</t>
  </si>
  <si>
    <t>asdasd</t>
  </si>
  <si>
    <t>01</t>
  </si>
  <si>
    <t>02</t>
  </si>
  <si>
    <t>03</t>
  </si>
  <si>
    <t>04</t>
  </si>
  <si>
    <t>05</t>
  </si>
  <si>
    <t>06</t>
  </si>
  <si>
    <t>07</t>
  </si>
  <si>
    <t>08</t>
  </si>
  <si>
    <t>09</t>
  </si>
  <si>
    <t>010</t>
  </si>
  <si>
    <t>011</t>
  </si>
  <si>
    <t>012</t>
  </si>
  <si>
    <t>013</t>
  </si>
  <si>
    <t>014</t>
  </si>
  <si>
    <t>015</t>
  </si>
  <si>
    <t>016</t>
  </si>
  <si>
    <t>017</t>
  </si>
  <si>
    <t>018</t>
  </si>
  <si>
    <t>019</t>
  </si>
  <si>
    <t>020</t>
  </si>
  <si>
    <t>021</t>
  </si>
  <si>
    <t>022</t>
  </si>
  <si>
    <t>023</t>
  </si>
  <si>
    <t>024</t>
  </si>
  <si>
    <t>025</t>
  </si>
  <si>
    <t>026</t>
  </si>
  <si>
    <t>027</t>
  </si>
  <si>
    <t>028</t>
  </si>
  <si>
    <t>10</t>
  </si>
  <si>
    <t>11</t>
  </si>
  <si>
    <t>12</t>
  </si>
  <si>
    <t>13</t>
  </si>
  <si>
    <t>14</t>
  </si>
  <si>
    <t>15</t>
  </si>
  <si>
    <t>16</t>
  </si>
  <si>
    <t>17</t>
  </si>
  <si>
    <t>18</t>
  </si>
  <si>
    <t>19</t>
  </si>
  <si>
    <t>20</t>
  </si>
  <si>
    <t>23</t>
  </si>
  <si>
    <t>25</t>
  </si>
  <si>
    <t>27</t>
  </si>
  <si>
    <t>28</t>
  </si>
  <si>
    <t>32</t>
  </si>
  <si>
    <t>33</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</si>
  <si>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</si>
  <si>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</si>
  <si>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</si>
  <si>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</si>
  <si>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</si>
  <si>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</si>
  <si>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</si>
  <si>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</si>
  <si>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</si>
  <si>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</si>
  <si>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</si>
  <si>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</si>
  <si>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</si>
  <si>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</si>
  <si>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</si>
  <si>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</si>
  <si>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</si>
  <si>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</si>
  <si>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</si>
  <si>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</si>
  <si>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</si>
  <si>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</si>
  <si>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</si>
  <si>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</si>
  <si>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</si>
  <si>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</si>
  <si>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</si>
  <si>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</si>
  <si>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</si>
  <si>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</si>
  <si>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</si>
  <si>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</si>
  <si>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</si>
  <si>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</si>
  <si>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</si>
  <si>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</si>
  <si>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</si>
  <si>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</si>
  <si>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</si>
  <si>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</si>
  <si>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</si>
  <si>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</si>
  <si>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</si>
  <si>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</si>
  <si>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</si>
  <si>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</si>
  <si>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</si>
  <si>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</si>
  <si>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</si>
  <si>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</si>
  <si>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</si>
  <si>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</si>
  <si>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</si>
  <si>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</si>
  <si>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</si>
  <si>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</si>
  <si>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</si>
  <si>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</si>
  <si>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</si>
  <si>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</si>
  <si>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</si>
  <si>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</si>
  <si>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</si>
  <si>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</si>
  <si>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</si>
  <si>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</si>
  <si>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</si>
  <si>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</si>
  <si>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</si>
  <si>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</si>
  <si>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</si>
  <si>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</si>
  <si>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</si>
  <si>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</si>
  <si>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</si>
  <si>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</si>
  <si>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</si>
  <si>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</si>
  <si>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</si>
  <si>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</si>
  <si>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</si>
  <si>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</si>
  <si>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</si>
  <si>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</si>
  <si>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</si>
  <si>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</si>
  <si>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</si>
  <si>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</si>
  <si>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</si>
  <si>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</si>
  <si>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</si>
  <si>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</si>
  <si>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</si>
  <si>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</si>
  <si>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</si>
  <si>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</si>
  <si>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</si>
  <si>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</si>
  <si>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</si>
  <si>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</si>
  <si>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</si>
  <si>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</si>
  <si>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</si>
  <si>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</si>
  <si>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</si>
  <si>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</si>
  <si>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</si>
  <si>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</si>
  <si>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</si>
  <si>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</si>
  <si>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</si>
  <si>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</si>
  <si>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</si>
  <si>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</si>
  <si>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</si>
  <si>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</si>
  <si>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</si>
  <si>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</si>
  <si>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</si>
  <si>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</si>
  <si>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</si>
  <si>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</si>
  <si>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003</t>
  </si>
  <si>
    <t>004</t>
  </si>
  <si>
    <t>005</t>
  </si>
  <si>
    <t>006</t>
  </si>
  <si>
    <t>007</t>
  </si>
  <si>
    <t>008</t>
  </si>
  <si>
    <t>009</t>
  </si>
  <si>
    <t>220</t>
  </si>
  <si>
    <t>221</t>
  </si>
  <si>
    <t>222</t>
  </si>
  <si>
    <t>223</t>
  </si>
  <si>
    <t>224</t>
  </si>
  <si>
    <t>225</t>
  </si>
  <si>
    <t>226</t>
  </si>
  <si>
    <t>227</t>
  </si>
  <si>
    <t>228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</si>
  <si>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</si>
  <si>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</si>
  <si>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</si>
  <si>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</si>
  <si>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</si>
  <si>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</si>
  <si>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</si>
  <si>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</si>
  <si>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</si>
  <si>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</si>
  <si>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</si>
  <si>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</si>
  <si>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</si>
  <si>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</si>
  <si>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</si>
  <si>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</si>
  <si>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</si>
  <si>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</si>
  <si>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</si>
  <si>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</si>
  <si>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</si>
  <si>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</si>
  <si>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</si>
  <si>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</si>
  <si>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</si>
  <si>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</si>
  <si>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</si>
  <si>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</si>
  <si>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</si>
  <si>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</si>
  <si>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</si>
  <si>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</si>
  <si>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</si>
  <si>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</si>
  <si>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</si>
  <si>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</si>
  <si>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</si>
  <si>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</si>
  <si>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</si>
  <si>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</si>
  <si>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</si>
  <si>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</si>
  <si>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</si>
  <si>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</si>
  <si>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</si>
  <si>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</si>
  <si>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</si>
  <si>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</si>
  <si>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</si>
  <si>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</si>
  <si>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</si>
  <si>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</si>
  <si>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</si>
  <si>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</si>
  <si>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</si>
  <si>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</si>
  <si>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</si>
  <si>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</si>
  <si>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</si>
  <si>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</si>
  <si>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</si>
  <si>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</si>
  <si>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</si>
  <si>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</si>
  <si>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</si>
  <si>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</si>
  <si>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</si>
  <si>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</si>
  <si>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</si>
  <si>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</si>
  <si>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</si>
  <si>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</si>
  <si>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</si>
  <si>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</si>
  <si>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</si>
  <si>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</si>
  <si>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</si>
  <si>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</si>
  <si>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</si>
  <si>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</si>
  <si>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</si>
  <si>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</si>
  <si>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</si>
  <si>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</si>
  <si>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</si>
  <si>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</si>
  <si>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</si>
  <si>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</si>
  <si>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</si>
  <si>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</si>
  <si>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</si>
  <si>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</si>
  <si>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</si>
  <si>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</si>
  <si>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</si>
  <si>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</si>
  <si>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</si>
  <si>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</si>
  <si>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</si>
  <si>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</si>
  <si>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</si>
  <si>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</si>
  <si>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</si>
  <si>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</si>
  <si>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</si>
  <si>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</si>
  <si>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</si>
  <si>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</si>
  <si>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</si>
  <si>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</si>
  <si>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</si>
  <si>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</si>
  <si>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</si>
  <si>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</si>
  <si>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</si>
  <si>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</si>
  <si>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</si>
  <si>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</si>
  <si>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</si>
  <si>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</si>
  <si>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</si>
  <si>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</si>
  <si>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</si>
  <si>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</si>
  <si>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</si>
  <si>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</si>
  <si>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</si>
  <si>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</si>
  <si>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</si>
  <si>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</si>
  <si>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</si>
  <si>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</si>
  <si>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</si>
  <si>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</si>
  <si>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</si>
  <si>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</si>
  <si>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</si>
  <si>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</si>
  <si>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</si>
  <si>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</si>
  <si>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</si>
  <si>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</si>
  <si>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</si>
  <si>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</si>
  <si>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</si>
  <si>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</si>
  <si>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</si>
  <si>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</si>
  <si>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</si>
  <si>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</si>
  <si>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</si>
  <si>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</si>
  <si>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</si>
  <si>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</si>
  <si>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</si>
  <si>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</si>
  <si>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</si>
  <si>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</si>
  <si>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</si>
  <si>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</si>
  <si>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</si>
  <si>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</si>
  <si>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</si>
  <si>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</si>
  <si>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</si>
  <si>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</si>
  <si>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</si>
  <si>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</si>
  <si>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</si>
  <si>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</si>
  <si>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</si>
  <si>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</si>
  <si>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</si>
  <si>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</si>
  <si>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</si>
  <si>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</si>
  <si>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</si>
  <si>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</si>
  <si>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</si>
  <si>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</si>
  <si>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</si>
  <si>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</si>
  <si>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</si>
  <si>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</si>
  <si>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</si>
  <si>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</si>
  <si>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</si>
  <si>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</si>
  <si>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</si>
  <si>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</si>
  <si>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</si>
  <si>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</si>
  <si>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</si>
  <si>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</si>
  <si>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</si>
  <si>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</si>
  <si>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</si>
  <si>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</si>
  <si>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</si>
  <si>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</si>
  <si>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</si>
  <si>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</si>
  <si>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</si>
  <si>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</si>
  <si>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</si>
  <si>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</si>
  <si>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</si>
  <si>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</si>
  <si>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</si>
  <si>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</si>
  <si>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</si>
  <si>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</si>
  <si>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</si>
  <si>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</si>
  <si>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</si>
  <si>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</si>
  <si>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</si>
  <si>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</si>
  <si>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</si>
  <si>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</si>
  <si>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</si>
  <si>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</si>
  <si>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</si>
  <si>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</si>
  <si>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</si>
  <si>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</si>
  <si>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</si>
  <si>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</si>
  <si>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</si>
  <si>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</si>
  <si>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</si>
  <si>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</si>
  <si>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</si>
  <si>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</si>
  <si>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</si>
  <si>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</si>
  <si>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</si>
  <si>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</si>
  <si>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</si>
  <si>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</si>
  <si>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</si>
  <si>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</si>
  <si>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</si>
  <si>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</si>
  <si>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</si>
  <si>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</si>
  <si>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</si>
  <si>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</si>
  <si>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</si>
  <si>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</si>
  <si>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</si>
  <si>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</si>
  <si>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</si>
  <si>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</si>
  <si>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</si>
  <si>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</si>
  <si>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</si>
  <si>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</si>
  <si>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</si>
  <si>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</si>
  <si>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</si>
  <si>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</si>
  <si>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</si>
  <si>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</si>
  <si>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</si>
  <si>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</si>
  <si>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</si>
  <si>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</si>
  <si>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</si>
  <si>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</si>
  <si>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</si>
  <si>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</si>
  <si>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</si>
  <si>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</si>
  <si>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</si>
  <si>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</si>
  <si>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</si>
  <si>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</si>
  <si>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</si>
  <si>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</si>
  <si>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</si>
  <si>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</si>
  <si>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</si>
  <si>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</si>
  <si>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</si>
  <si>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</si>
  <si>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</si>
  <si>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</si>
  <si>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</si>
  <si>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</si>
  <si>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</si>
  <si>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</si>
  <si>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</si>
  <si>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</si>
  <si>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</si>
  <si>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</si>
  <si>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</si>
  <si>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</si>
  <si>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</si>
  <si>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</si>
  <si>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</si>
  <si>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</si>
  <si>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</si>
  <si>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</si>
  <si>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</si>
  <si>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</si>
  <si>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</si>
  <si>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</si>
  <si>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</si>
  <si>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</si>
  <si>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</si>
  <si>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</si>
  <si>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</si>
  <si>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</si>
  <si>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</si>
  <si>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</si>
  <si>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</si>
  <si>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</si>
  <si>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</si>
  <si>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</si>
  <si>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</si>
  <si>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</si>
  <si>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</si>
  <si>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</si>
  <si>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</si>
  <si>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</si>
  <si>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</si>
  <si>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</si>
  <si>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</si>
  <si>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</si>
  <si>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</si>
  <si>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</si>
  <si>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</si>
  <si>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</si>
  <si>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</si>
  <si>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</si>
  <si>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</si>
  <si>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</si>
  <si>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</si>
  <si>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</si>
  <si>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</si>
  <si>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</si>
  <si>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</si>
  <si>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</si>
  <si>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</si>
  <si>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</si>
  <si>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</si>
  <si>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</si>
  <si>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</si>
  <si>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</si>
  <si>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</si>
  <si>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</si>
  <si>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</si>
  <si>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</si>
  <si>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</si>
  <si>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</si>
  <si>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</si>
  <si>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</si>
  <si>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</si>
  <si>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</si>
  <si>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</si>
  <si>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</si>
  <si>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</si>
  <si>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</si>
  <si>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</si>
  <si>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</si>
  <si>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</si>
  <si>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</si>
  <si>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</si>
  <si>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</si>
  <si>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</si>
  <si>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</si>
  <si>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</si>
  <si>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</si>
  <si>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</si>
  <si>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</si>
  <si>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</si>
  <si>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</si>
  <si>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</si>
  <si>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</si>
  <si>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</si>
  <si>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</si>
  <si>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</si>
  <si>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</si>
  <si>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</si>
  <si>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</si>
  <si>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</si>
  <si>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</si>
  <si>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</si>
  <si>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</si>
  <si>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</si>
  <si>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</si>
  <si>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</si>
  <si>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</si>
  <si>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</si>
  <si>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</si>
  <si>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</si>
  <si>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</si>
  <si>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</si>
  <si>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</si>
  <si>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</si>
  <si>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</si>
  <si>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</si>
  <si>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</si>
  <si>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</si>
  <si>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</si>
  <si>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</si>
  <si>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</si>
  <si>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</si>
  <si>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</si>
  <si>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</si>
  <si>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</si>
  <si>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</si>
  <si>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</si>
  <si>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</si>
  <si>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</si>
  <si>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</si>
  <si>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</si>
  <si>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</si>
  <si>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</si>
  <si>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</si>
  <si>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</si>
  <si>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</si>
  <si>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</si>
  <si>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</si>
  <si>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</si>
  <si>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</si>
  <si>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</si>
  <si>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</si>
  <si>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</si>
  <si>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</si>
  <si>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</si>
  <si>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</si>
  <si>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</si>
  <si>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</si>
  <si>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</si>
  <si>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</si>
  <si>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</si>
  <si>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</si>
  <si>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</si>
  <si>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</si>
  <si>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</si>
  <si>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</si>
  <si>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</si>
  <si>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</si>
  <si>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</si>
  <si>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</si>
  <si>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</si>
  <si>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</si>
  <si>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</si>
  <si>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</si>
  <si>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</si>
  <si>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</si>
  <si>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</si>
  <si>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</si>
  <si>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</si>
  <si>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</si>
  <si>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</si>
  <si>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</si>
  <si>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</si>
  <si>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</si>
  <si>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</si>
  <si>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</si>
  <si>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</si>
  <si>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</si>
  <si>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</si>
  <si>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</si>
  <si>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</si>
  <si>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</si>
  <si>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</si>
  <si>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</si>
  <si>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</si>
  <si>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</si>
  <si>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</si>
  <si>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</si>
  <si>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</si>
  <si>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</si>
  <si>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</si>
  <si>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</si>
  <si>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</si>
  <si>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</si>
  <si>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</si>
  <si>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</si>
  <si>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</si>
  <si>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</si>
  <si>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</si>
  <si>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</si>
  <si>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</si>
  <si>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</si>
  <si>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</si>
  <si>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</si>
  <si>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</si>
  <si>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</si>
  <si>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</si>
  <si>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</si>
  <si>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</si>
  <si>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</si>
  <si>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</si>
  <si>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</si>
  <si>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</si>
  <si>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</si>
  <si>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</si>
  <si>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</si>
  <si>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</si>
  <si>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</si>
  <si>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</si>
  <si>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</si>
  <si>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</si>
  <si>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</si>
  <si>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</si>
  <si>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</si>
  <si>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</si>
  <si>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</si>
  <si>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</si>
  <si>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</si>
  <si>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</si>
  <si>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</si>
  <si>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</si>
  <si>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</si>
  <si>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</si>
  <si>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</si>
  <si>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</si>
  <si>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</si>
  <si>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</si>
  <si>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</si>
  <si>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</si>
  <si>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</si>
  <si>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</si>
  <si>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</si>
  <si>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</si>
  <si>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</si>
  <si>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</si>
  <si>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</si>
  <si>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</si>
  <si>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</si>
  <si>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</si>
  <si>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</si>
  <si>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</si>
  <si>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</si>
  <si>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</si>
  <si>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</si>
  <si>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</si>
  <si>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</si>
  <si>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</si>
  <si>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</si>
  <si>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</si>
  <si>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</si>
  <si>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</si>
  <si>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</si>
  <si>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</si>
  <si>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</si>
  <si>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</si>
  <si>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</si>
  <si>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</si>
  <si>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</si>
  <si>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</si>
  <si>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</si>
  <si>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</si>
  <si>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</si>
  <si>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</si>
  <si>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</si>
  <si>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</si>
  <si>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</si>
  <si>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</si>
  <si>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</si>
  <si>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</si>
  <si>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</si>
  <si>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</si>
  <si>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</si>
  <si>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</si>
  <si>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</si>
  <si>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</si>
  <si>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</si>
  <si>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</si>
  <si>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</si>
  <si>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</si>
  <si>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</si>
  <si>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</si>
  <si>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</si>
  <si>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</si>
  <si>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</si>
  <si>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</si>
  <si>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</si>
  <si>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</si>
  <si>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</si>
  <si>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</si>
  <si>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</si>
  <si>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</si>
  <si>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</si>
  <si>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</si>
  <si>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</si>
  <si>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</si>
  <si>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</si>
  <si>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</si>
  <si>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</si>
  <si>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</si>
  <si>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</si>
  <si>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</si>
  <si>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</si>
  <si>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</si>
  <si>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</si>
  <si>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</si>
  <si>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</si>
  <si>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</si>
  <si>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</si>
  <si>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</si>
  <si>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</si>
  <si>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</si>
  <si>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</si>
  <si>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</si>
  <si>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</si>
  <si>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</si>
  <si>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</si>
  <si>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</si>
  <si>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</si>
  <si>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</si>
  <si>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</si>
  <si>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</si>
  <si>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</si>
  <si>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</si>
  <si>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</si>
  <si>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</si>
  <si>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</si>
  <si>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</si>
  <si>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</si>
  <si>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</si>
  <si>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</si>
  <si>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</si>
  <si>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</si>
  <si>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</si>
  <si>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</si>
  <si>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</si>
  <si>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</si>
  <si>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</si>
  <si>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</si>
  <si>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</si>
  <si>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</si>
  <si>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</si>
  <si>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</si>
  <si>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</si>
  <si>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</si>
  <si>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</si>
  <si>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</si>
  <si>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</si>
  <si>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</si>
  <si>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</si>
  <si>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</si>
  <si>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</si>
  <si>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</si>
  <si>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</si>
  <si>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</si>
  <si>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</si>
  <si>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</si>
  <si>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</si>
  <si>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</si>
  <si>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</si>
  <si>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</si>
  <si>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</si>
  <si>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</si>
  <si>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</si>
  <si>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</si>
  <si>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</si>
  <si>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</si>
  <si>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</si>
  <si>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</si>
  <si>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</si>
  <si>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</si>
  <si>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</si>
  <si>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</si>
  <si>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</si>
  <si>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</si>
  <si>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</si>
  <si>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</si>
  <si>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</si>
  <si>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</si>
  <si>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</si>
  <si>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</si>
  <si>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</si>
  <si>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</si>
  <si>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</si>
  <si>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</si>
  <si>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</si>
  <si>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</si>
  <si>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</si>
  <si>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</si>
  <si>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</si>
  <si>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</si>
  <si>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</si>
  <si>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</si>
  <si>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</si>
  <si>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</si>
  <si>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</si>
  <si>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</si>
  <si>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</si>
  <si>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</si>
  <si>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</si>
  <si>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</si>
  <si>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</si>
  <si>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</si>
  <si>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</si>
  <si>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</si>
  <si>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</si>
  <si>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</si>
  <si>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</si>
  <si>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</si>
  <si>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</si>
  <si>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</si>
  <si>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</si>
  <si>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</si>
  <si>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</si>
  <si>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</si>
  <si>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</si>
  <si>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</si>
  <si>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</si>
  <si>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</si>
  <si>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</si>
  <si>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</si>
  <si>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</si>
  <si>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</si>
  <si>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</si>
  <si>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</si>
  <si>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</si>
  <si>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</si>
  <si>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</si>
  <si>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</si>
  <si>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</si>
  <si>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</si>
  <si>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</si>
  <si>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</si>
  <si>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</si>
  <si>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</si>
  <si>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</si>
  <si>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</si>
  <si>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</si>
  <si>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</si>
  <si>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</si>
  <si>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</si>
  <si>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</si>
  <si>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</si>
  <si>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</si>
  <si>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</si>
  <si>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</si>
  <si>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</si>
  <si>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</si>
  <si>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</si>
  <si>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</si>
  <si>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</si>
  <si>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</si>
  <si>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</si>
  <si>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</si>
  <si>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</si>
  <si>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</si>
  <si>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</si>
  <si>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</si>
  <si>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</si>
  <si>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</si>
  <si>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</si>
  <si>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</si>
  <si>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</si>
  <si>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</si>
  <si>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</si>
  <si>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</si>
  <si>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</si>
  <si>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</si>
  <si>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</si>
  <si>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</si>
  <si>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</si>
  <si>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</si>
  <si>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</si>
  <si>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</si>
  <si>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</si>
  <si>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</si>
  <si>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</si>
  <si>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</si>
  <si>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</si>
  <si>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</si>
  <si>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</si>
  <si>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</si>
  <si>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</si>
  <si>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</si>
  <si>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</si>
  <si>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</si>
  <si>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</si>
  <si>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</si>
  <si>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</si>
  <si>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</si>
  <si>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</si>
  <si>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</si>
  <si>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</si>
  <si>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</si>
  <si>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</si>
  <si>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</si>
  <si>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</si>
  <si>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</si>
  <si>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</si>
  <si>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</si>
  <si>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</si>
  <si>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</si>
  <si>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</si>
  <si>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</si>
  <si>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</si>
  <si>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</si>
  <si>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</si>
  <si>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</si>
  <si>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</si>
  <si>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</si>
  <si>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</si>
  <si>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</si>
  <si>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</si>
  <si>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</si>
  <si>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</si>
  <si>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</si>
  <si>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</si>
  <si>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</si>
  <si>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</si>
  <si>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</si>
  <si>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</si>
  <si>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</si>
  <si>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</si>
  <si>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</si>
  <si>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</si>
  <si>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</si>
  <si>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</si>
  <si>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</si>
  <si>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</si>
  <si>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</si>
  <si>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</si>
  <si>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</si>
  <si>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</si>
  <si>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</si>
  <si>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</si>
  <si>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</si>
  <si>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</si>
  <si>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</si>
  <si>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</si>
  <si>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</si>
  <si>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</si>
  <si>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</si>
  <si>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</si>
  <si>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</si>
  <si>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</si>
  <si>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</si>
  <si>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</si>
  <si>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</si>
  <si>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</si>
  <si>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</si>
  <si>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</si>
  <si>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</si>
  <si>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</si>
  <si>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</si>
  <si>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</si>
  <si>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</si>
  <si>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</si>
  <si>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</si>
  <si>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</si>
  <si>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</si>
  <si>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</si>
  <si>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</si>
  <si>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</si>
  <si>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</si>
  <si>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</si>
  <si>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</si>
  <si>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</si>
  <si>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</si>
  <si>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</si>
  <si>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</si>
  <si>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</si>
  <si>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</si>
  <si>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</si>
  <si>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</si>
  <si>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</si>
  <si>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</si>
  <si>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</si>
  <si>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</si>
  <si>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</si>
  <si>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</si>
  <si>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</si>
  <si>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</si>
  <si>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</si>
  <si>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</si>
  <si>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</si>
  <si>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</si>
  <si>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</si>
  <si>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</si>
  <si>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</si>
  <si>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</si>
  <si>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</si>
  <si>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</si>
  <si>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</si>
  <si>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</si>
  <si>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</si>
  <si>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</si>
  <si>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</si>
  <si>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</si>
  <si>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</si>
  <si>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</si>
  <si>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</si>
  <si>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</si>
  <si>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</si>
  <si>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</si>
  <si>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</si>
  <si>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</si>
  <si>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</si>
  <si>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</si>
  <si>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</si>
  <si>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Glosa-traspaso_inter_STs-inicial</t>
  </si>
  <si>
    <t>otra solicitud de prueba</t>
  </si>
  <si>
    <t>hola</t>
  </si>
  <si>
    <t>iniciativas-glosa</t>
  </si>
  <si>
    <t>+correo</t>
  </si>
  <si>
    <t>04-08</t>
  </si>
  <si>
    <t>proposicion4</t>
  </si>
  <si>
    <t>oficio_solicitud4</t>
  </si>
  <si>
    <t>oficio_solicitud5</t>
  </si>
  <si>
    <t>oficio_solicitud6</t>
  </si>
  <si>
    <t>proposicion5</t>
  </si>
  <si>
    <t>proposicion6</t>
  </si>
  <si>
    <t>decreto4</t>
  </si>
  <si>
    <t>decreto5</t>
  </si>
  <si>
    <t>decreto6</t>
  </si>
  <si>
    <t>0212</t>
  </si>
  <si>
    <t>0202</t>
  </si>
  <si>
    <t>0207</t>
  </si>
  <si>
    <t>0213</t>
  </si>
  <si>
    <t>0401</t>
  </si>
  <si>
    <t>0301</t>
  </si>
  <si>
    <t>0209</t>
  </si>
  <si>
    <t>0203</t>
  </si>
  <si>
    <t>0206</t>
  </si>
  <si>
    <t>0211</t>
  </si>
  <si>
    <t>0204</t>
  </si>
  <si>
    <t>0210</t>
  </si>
  <si>
    <t>0501</t>
  </si>
  <si>
    <t>0999</t>
  </si>
  <si>
    <t>0701</t>
  </si>
  <si>
    <t>0201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</si>
</sst>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M&quot;&quot;$&quot;\ #,##0"/>
  </numFmts>
  <fonts count="19" x14ac:knownFonts="1">
    <font>
      <sz val="11"/>
      <color theme="1"/>
      <name val="Calibri"/>
      <family val="2"/>
      <scheme val="minor"/>
    </font>
    <font>
      <sz val="10"/>
      <name val="Arial"/>
      <family val="2"/>
    </font>
    <font>
      <sz val="8"/>
      <name val="Calibri"/>
      <family val="2"/>
      <scheme val="minor"/>
    </font>
    <font>
      <sz val="8"/>
      <color theme="1"/>
      <name val="Calibri"/>
      <family val="2"/>
      <scheme val="minor"/>
    </font>
    <font>
      <b/>
      <sz val="8"/>
      <color theme="1"/>
      <name val="Calibri"/>
      <family val="2"/>
      <scheme val="minor"/>
    </font>
    <font>
      <sz val="8"/>
      <color theme="1"/>
      <name val="Calibri"/>
      <family val="2"/>
      <scheme val="minor"/>
    </font>
    <font>
      <b/>
      <sz val="8"/>
      <color theme="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sz val="11"/>
      <color rgb="FF0000FF"/>
      <name val="Calibri"/>
      <family val="2"/>
      <scheme val="minor"/>
    </font>
    <font>
      <sz val="11"/>
      <color theme="10"/>
      <name val="Calibri"/>
      <family val="2"/>
      <scheme val="minor"/>
    </font>
    <font>
      <u/>
      <sz val="8"/>
      <color rgb="FF0000FF"/>
      <name val="Calibri"/>
      <family val="2"/>
      <scheme val="minor"/>
    </font>
    <font>
      <b/>
      <u/>
      <sz val="8"/>
      <color rgb="FF0000FF"/>
      <name val="Calibri"/>
      <family val="2"/>
      <scheme val="minor"/>
    </font>
    <font>
      <sz val="7"/>
      <color theme="1"/>
      <name val="Calibri"/>
      <family val="2"/>
      <scheme val="minor"/>
    </font>
    <font>
      <sz val="8"/>
      <color theme="0"/>
      <name val="Calibri"/>
      <family val="2"/>
      <scheme val="minor"/>
    </font>
    <font>
      <b/>
      <sz val="14"/>
      <color rgb="FF000000"/>
      <name val="Calibri"/>
      <family val="2"/>
    </font>
    <font>
      <b/>
      <sz val="8"/>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39997558519241921"/>
        <bgColor theme="4"/>
      </patternFill>
    </fill>
  </fills>
  <borders count="10">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style="double">
        <color auto="1"/>
      </right>
      <top style="thin">
        <color auto="1"/>
      </top>
      <bottom style="thin">
        <color auto="1"/>
      </bottom>
      <diagonal/>
    </border>
    <border>
      <left/>
      <right/>
      <top style="thin">
        <color theme="4" tint="0.39997558519241921"/>
      </top>
      <bottom style="thin">
        <color theme="4" tint="0.39997558519241921"/>
      </bottom>
      <diagonal/>
    </border>
    <border>
      <left/>
      <right style="thin">
        <color theme="4"/>
      </right>
      <top/>
      <bottom/>
      <diagonal/>
    </border>
    <border>
      <left/>
      <right style="thin">
        <color auto="1"/>
      </right>
      <top style="thin">
        <color auto="1"/>
      </top>
      <bottom style="thin">
        <color auto="1"/>
      </bottom>
      <diagonal/>
    </border>
    <border>
      <left style="thin">
        <color indexed="64"/>
      </left>
      <right/>
      <top style="thin">
        <color indexed="64"/>
      </top>
      <bottom/>
      <diagonal/>
    </border>
    <border>
      <left/>
      <right style="thin">
        <color auto="1"/>
      </right>
      <top style="thin">
        <color auto="1"/>
      </top>
      <bottom/>
      <diagonal/>
    </border>
    <border>
      <left style="thin">
        <color auto="1"/>
      </left>
      <right style="thin">
        <color auto="1"/>
      </right>
      <top style="thin">
        <color auto="1"/>
      </top>
      <bottom/>
      <diagonal/>
    </border>
  </borders>
  <cellStyleXfs count="4">
    <xf numFmtId="0" fontId="0" fillId="0" borderId="0"/>
    <xf numFmtId="0" fontId="1" fillId="0" borderId="0"/>
    <xf numFmtId="0" fontId="1" fillId="0" borderId="0"/>
    <xf numFmtId="0" fontId="10" fillId="0" borderId="0" applyNumberFormat="0" applyFill="0" applyBorder="0" applyAlignment="0" applyProtection="0"/>
  </cellStyleXfs>
  <cellXfs count="129">
    <xf numFmtId="0" fontId="0" fillId="0" borderId="0" xfId="0"/>
    <xf numFmtId="0" fontId="0" fillId="2" borderId="0" xfId="0" applyFill="1" applyBorder="1"/>
    <xf numFmtId="0" fontId="0" fillId="3" borderId="0" xfId="0" applyFill="1" applyBorder="1"/>
    <xf numFmtId="0" fontId="0" fillId="0" borderId="0" xfId="0" applyBorder="1" applyAlignment="1">
      <alignment vertical="center" wrapText="1"/>
    </xf>
    <xf numFmtId="0" fontId="0" fillId="0" borderId="0" xfId="0" applyBorder="1"/>
    <xf numFmtId="0" fontId="0" fillId="0" borderId="0" xfId="0" applyFill="1" applyBorder="1" applyAlignment="1">
      <alignment vertical="center" wrapText="1"/>
    </xf>
    <xf numFmtId="14" fontId="0" fillId="0" borderId="0" xfId="0" applyNumberFormat="1"/>
    <xf numFmtId="0" fontId="2" fillId="0" borderId="1" xfId="1" applyFont="1" applyFill="1" applyBorder="1" applyAlignment="1">
      <alignment vertical="center" wrapText="1"/>
    </xf>
    <xf numFmtId="0" fontId="1" fillId="0" borderId="0" xfId="2"/>
    <xf numFmtId="0" fontId="1" fillId="0" borderId="0" xfId="2" applyAlignment="1">
      <alignment wrapText="1"/>
    </xf>
    <xf numFmtId="0" fontId="2" fillId="0" borderId="0" xfId="1" applyFont="1" applyFill="1" applyBorder="1" applyAlignment="1">
      <alignment vertical="center" wrapText="1"/>
    </xf>
    <xf numFmtId="0" fontId="0" fillId="0" borderId="0" xfId="0" applyAlignment="1">
      <alignment vertical="center" wrapText="1"/>
    </xf>
    <xf numFmtId="14" fontId="2" fillId="0" borderId="0" xfId="1" applyNumberFormat="1" applyFont="1" applyBorder="1" applyAlignment="1">
      <alignment horizontal="left" vertical="top" wrapText="1"/>
    </xf>
    <xf numFmtId="14" fontId="2" fillId="0" borderId="0" xfId="1" applyNumberFormat="1" applyFont="1" applyFill="1" applyBorder="1" applyAlignment="1">
      <alignment horizontal="left" vertical="top" wrapText="1"/>
    </xf>
    <xf numFmtId="14" fontId="2" fillId="4" borderId="0" xfId="1" applyNumberFormat="1" applyFont="1" applyFill="1" applyBorder="1" applyAlignment="1">
      <alignment horizontal="left" vertical="top" wrapText="1"/>
    </xf>
    <xf numFmtId="0" fontId="6" fillId="5" borderId="4" xfId="0" applyFont="1" applyFill="1" applyBorder="1" applyAlignment="1">
      <alignment horizontal="center" vertical="center"/>
    </xf>
    <xf numFmtId="164" fontId="2" fillId="6" borderId="1" xfId="1" applyNumberFormat="1" applyFont="1" applyFill="1" applyBorder="1" applyAlignment="1">
      <alignment horizontal="right" vertical="center" wrapText="1"/>
    </xf>
    <xf numFmtId="14" fontId="2" fillId="0" borderId="0" xfId="1" applyNumberFormat="1" applyFont="1" applyFill="1" applyAlignment="1">
      <alignment horizontal="left" vertical="top" wrapText="1"/>
    </xf>
    <xf numFmtId="14" fontId="9" fillId="0" borderId="0" xfId="1" applyNumberFormat="1" applyFont="1" applyFill="1" applyAlignment="1">
      <alignment horizontal="left" vertical="top" wrapText="1"/>
    </xf>
    <xf numFmtId="1" fontId="0" fillId="0" borderId="0" xfId="0" applyNumberFormat="1"/>
    <xf numFmtId="14" fontId="2" fillId="0" borderId="0" xfId="1" applyNumberFormat="1" applyFont="1" applyFill="1" applyBorder="1" applyAlignment="1">
      <alignment horizontal="center" vertical="top" wrapText="1"/>
    </xf>
    <xf numFmtId="14" fontId="3" fillId="0" borderId="0" xfId="1" applyNumberFormat="1" applyFont="1" applyFill="1" applyBorder="1" applyAlignment="1" applyProtection="1">
      <alignment horizontal="center" vertical="top"/>
      <protection locked="0"/>
    </xf>
    <xf numFmtId="0" fontId="3" fillId="0" borderId="0" xfId="1" applyFont="1" applyFill="1" applyBorder="1" applyAlignment="1" applyProtection="1">
      <alignment horizontal="center" vertical="top"/>
      <protection locked="0"/>
    </xf>
    <xf numFmtId="0" fontId="2" fillId="0" borderId="0" xfId="0" applyFont="1" applyFill="1" applyBorder="1" applyAlignment="1">
      <alignment vertical="top" wrapText="1"/>
    </xf>
    <xf numFmtId="0" fontId="2" fillId="0" borderId="0" xfId="1" applyFont="1" applyFill="1" applyBorder="1" applyAlignment="1">
      <alignment horizontal="center" vertical="top" wrapText="1"/>
    </xf>
    <xf numFmtId="14" fontId="2" fillId="0" borderId="0" xfId="1" applyNumberFormat="1" applyFont="1" applyFill="1" applyBorder="1" applyAlignment="1">
      <alignment horizontal="right" vertical="top" wrapText="1"/>
    </xf>
    <xf numFmtId="16" fontId="2" fillId="0" borderId="0" xfId="1" applyNumberFormat="1" applyFont="1" applyFill="1" applyBorder="1" applyAlignment="1">
      <alignment horizontal="center" vertical="top" wrapText="1"/>
    </xf>
    <xf numFmtId="0" fontId="3" fillId="0" borderId="0" xfId="0" applyFont="1" applyFill="1" applyAlignment="1" applyProtection="1">
      <alignment horizontal="center" vertical="top"/>
      <protection locked="0"/>
    </xf>
    <xf numFmtId="0" fontId="0" fillId="0" borderId="0" xfId="0" applyFont="1"/>
    <xf numFmtId="0" fontId="4" fillId="0" borderId="0" xfId="1" applyFont="1" applyFill="1" applyAlignment="1" applyProtection="1">
      <alignment horizontal="left" vertical="top" wrapText="1"/>
      <protection locked="0"/>
    </xf>
    <xf numFmtId="1" fontId="18" fillId="0" borderId="0" xfId="1" applyNumberFormat="1" applyFont="1" applyFill="1" applyAlignment="1" applyProtection="1">
      <alignment horizontal="center" vertical="top"/>
      <protection locked="0"/>
    </xf>
    <xf numFmtId="14" fontId="2" fillId="0" borderId="0" xfId="1" applyNumberFormat="1" applyFont="1" applyFill="1" applyAlignment="1" applyProtection="1">
      <alignment horizontal="center" vertical="top"/>
      <protection locked="0"/>
    </xf>
    <xf numFmtId="0" fontId="3" fillId="0" borderId="0" xfId="0" applyFont="1" applyFill="1" applyAlignment="1" applyProtection="1">
      <alignment horizontal="center" vertical="center"/>
      <protection locked="0"/>
    </xf>
    <xf numFmtId="49" fontId="2" fillId="0" borderId="1" xfId="1" applyNumberFormat="1" applyFont="1" applyFill="1" applyBorder="1" applyAlignment="1">
      <alignment horizontal="center" vertical="center" wrapText="1"/>
    </xf>
    <xf numFmtId="0" fontId="0" fillId="0" borderId="1" xfId="0" applyFill="1" applyBorder="1"/>
    <xf numFmtId="0" fontId="0" fillId="0" borderId="0" xfId="0" applyFill="1" applyBorder="1"/>
    <xf numFmtId="0" fontId="3" fillId="0" borderId="0" xfId="0" applyFont="1" applyFill="1" applyBorder="1" applyAlignment="1">
      <alignment horizontal="center" vertical="center"/>
    </xf>
    <xf numFmtId="0" fontId="3" fillId="0" borderId="4" xfId="0" applyFont="1" applyFill="1" applyBorder="1" applyAlignment="1" applyProtection="1">
      <alignment horizontal="center" vertical="center"/>
      <protection locked="0"/>
    </xf>
    <xf numFmtId="49" fontId="2" fillId="0" borderId="0" xfId="1" applyNumberFormat="1" applyFont="1" applyFill="1" applyBorder="1" applyAlignment="1">
      <alignment horizontal="center" vertical="center" wrapText="1"/>
    </xf>
    <xf numFmtId="164" fontId="2" fillId="0" borderId="3" xfId="1" applyNumberFormat="1" applyFont="1" applyFill="1" applyBorder="1" applyAlignment="1">
      <alignment horizontal="right" vertical="center" wrapText="1"/>
    </xf>
    <xf numFmtId="164" fontId="2" fillId="0" borderId="0" xfId="1" applyNumberFormat="1" applyFont="1" applyFill="1" applyBorder="1" applyAlignment="1">
      <alignment horizontal="right" vertical="center" wrapText="1"/>
    </xf>
    <xf numFmtId="164" fontId="2" fillId="0" borderId="1" xfId="1" applyNumberFormat="1" applyFont="1" applyFill="1" applyBorder="1" applyAlignment="1">
      <alignment horizontal="right" vertical="center" wrapText="1"/>
    </xf>
    <xf numFmtId="0" fontId="3" fillId="0" borderId="0" xfId="0" applyFont="1" applyFill="1" applyBorder="1" applyAlignment="1" applyProtection="1">
      <alignment horizontal="center" vertical="center"/>
      <protection locked="0"/>
    </xf>
    <xf numFmtId="0" fontId="5" fillId="0" borderId="0" xfId="0" applyFont="1" applyFill="1" applyAlignment="1" applyProtection="1">
      <alignment horizontal="center" vertical="center"/>
      <protection locked="0"/>
    </xf>
    <xf numFmtId="0" fontId="2" fillId="0" borderId="1" xfId="1" applyNumberFormat="1" applyFont="1" applyFill="1" applyBorder="1" applyAlignment="1">
      <alignment vertical="center" wrapText="1"/>
    </xf>
    <xf numFmtId="0" fontId="3" fillId="0" borderId="0" xfId="0" applyFont="1" applyFill="1" applyBorder="1" applyAlignment="1" applyProtection="1">
      <alignment horizontal="center" vertical="top"/>
      <protection locked="0"/>
    </xf>
    <xf numFmtId="0" fontId="3" fillId="0" borderId="0" xfId="0" applyFont="1" applyFill="1" applyBorder="1" applyAlignment="1" applyProtection="1">
      <alignment horizontal="center" vertical="top" wrapText="1"/>
    </xf>
    <xf numFmtId="0" fontId="3" fillId="0" borderId="0" xfId="0" applyFont="1" applyFill="1" applyBorder="1" applyAlignment="1" applyProtection="1">
      <alignment horizontal="center" vertical="top" wrapText="1"/>
      <protection locked="0"/>
    </xf>
    <xf numFmtId="14" fontId="3" fillId="0" borderId="0" xfId="0" applyNumberFormat="1" applyFont="1" applyFill="1" applyBorder="1" applyAlignment="1" applyProtection="1">
      <alignment horizontal="center" vertical="top"/>
      <protection locked="0"/>
    </xf>
    <xf numFmtId="49" fontId="15" fillId="0" borderId="0" xfId="0" applyNumberFormat="1" applyFont="1" applyFill="1" applyBorder="1" applyAlignment="1" applyProtection="1">
      <alignment vertical="top" wrapText="1"/>
      <protection locked="0"/>
    </xf>
    <xf numFmtId="0" fontId="4" fillId="0" borderId="0" xfId="0" applyFont="1" applyFill="1" applyBorder="1" applyAlignment="1" applyProtection="1">
      <alignment horizontal="left" vertical="top" wrapText="1"/>
      <protection locked="0"/>
    </xf>
    <xf numFmtId="0" fontId="4" fillId="0" borderId="0" xfId="0" applyFont="1" applyFill="1" applyBorder="1" applyAlignment="1" applyProtection="1">
      <alignment horizontal="center" vertical="top"/>
      <protection locked="0"/>
    </xf>
    <xf numFmtId="164" fontId="3" fillId="0" borderId="0" xfId="0" applyNumberFormat="1" applyFont="1" applyFill="1" applyBorder="1" applyAlignment="1" applyProtection="1">
      <alignment horizontal="center" vertical="top"/>
      <protection locked="0"/>
    </xf>
    <xf numFmtId="14" fontId="3" fillId="0" borderId="0" xfId="1" applyNumberFormat="1" applyFont="1" applyFill="1" applyBorder="1" applyAlignment="1">
      <alignment vertical="top"/>
    </xf>
    <xf numFmtId="0" fontId="5" fillId="0" borderId="0" xfId="0" applyFont="1" applyFill="1" applyBorder="1" applyAlignment="1" applyProtection="1">
      <alignment horizontal="center" vertical="top"/>
      <protection locked="0"/>
    </xf>
    <xf numFmtId="14" fontId="5" fillId="0" borderId="0" xfId="0" applyNumberFormat="1" applyFont="1" applyFill="1" applyBorder="1" applyAlignment="1" applyProtection="1">
      <alignment horizontal="center" vertical="top"/>
      <protection locked="0"/>
    </xf>
    <xf numFmtId="164" fontId="5" fillId="0" borderId="0" xfId="0" applyNumberFormat="1" applyFont="1" applyFill="1" applyBorder="1" applyAlignment="1" applyProtection="1">
      <alignment horizontal="center" vertical="top"/>
      <protection locked="0"/>
    </xf>
    <xf numFmtId="0" fontId="0" fillId="0" borderId="0" xfId="0" applyFont="1" applyFill="1" applyBorder="1" applyAlignment="1" applyProtection="1">
      <alignment horizontal="center" vertical="top"/>
      <protection locked="0"/>
    </xf>
    <xf numFmtId="0" fontId="3" fillId="0" borderId="0" xfId="0" applyNumberFormat="1" applyFont="1" applyFill="1" applyAlignment="1" applyProtection="1">
      <alignment horizontal="center" vertical="top"/>
      <protection locked="0"/>
    </xf>
    <xf numFmtId="14" fontId="3" fillId="0" borderId="0" xfId="0" applyNumberFormat="1" applyFont="1" applyFill="1" applyAlignment="1" applyProtection="1">
      <alignment horizontal="center" vertical="top"/>
      <protection locked="0"/>
    </xf>
    <xf numFmtId="49" fontId="15" fillId="0" borderId="0" xfId="0" applyNumberFormat="1" applyFont="1" applyFill="1" applyAlignment="1" applyProtection="1">
      <alignment vertical="top" wrapText="1"/>
      <protection locked="0"/>
    </xf>
    <xf numFmtId="0" fontId="0" fillId="0" borderId="0" xfId="0" applyFill="1" applyAlignment="1">
      <alignment vertical="top"/>
    </xf>
    <xf numFmtId="0" fontId="3" fillId="0" borderId="0" xfId="0" applyFont="1" applyFill="1" applyAlignment="1" applyProtection="1">
      <alignment horizontal="center" vertical="top" wrapText="1"/>
    </xf>
    <xf numFmtId="0" fontId="3" fillId="0" borderId="0" xfId="0" applyFont="1" applyFill="1" applyAlignment="1" applyProtection="1">
      <alignment horizontal="center" vertical="top" wrapText="1"/>
      <protection locked="0"/>
    </xf>
    <xf numFmtId="14" fontId="0" fillId="7" borderId="1" xfId="0" applyNumberFormat="1" applyFill="1" applyBorder="1"/>
    <xf numFmtId="1" fontId="0" fillId="7" borderId="1" xfId="0" applyNumberFormat="1" applyFill="1" applyBorder="1"/>
    <xf numFmtId="0" fontId="10" fillId="7" borderId="1" xfId="3" applyFill="1" applyBorder="1"/>
    <xf numFmtId="1" fontId="0" fillId="7" borderId="1" xfId="3" applyNumberFormat="1" applyFont="1" applyFill="1" applyBorder="1"/>
    <xf numFmtId="0" fontId="11" fillId="7" borderId="1" xfId="0" applyFont="1" applyFill="1" applyBorder="1"/>
    <xf numFmtId="0" fontId="12" fillId="7" borderId="1" xfId="3" applyFont="1" applyFill="1" applyBorder="1"/>
    <xf numFmtId="0" fontId="10" fillId="7" borderId="1" xfId="3" applyNumberFormat="1" applyFill="1" applyBorder="1"/>
    <xf numFmtId="0" fontId="0" fillId="7" borderId="1" xfId="0" applyFill="1" applyBorder="1"/>
    <xf numFmtId="1" fontId="0" fillId="7" borderId="6" xfId="0" applyNumberFormat="1" applyFill="1" applyBorder="1"/>
    <xf numFmtId="14" fontId="0" fillId="0" borderId="5" xfId="0" applyNumberFormat="1" applyBorder="1"/>
    <xf numFmtId="14" fontId="0" fillId="8" borderId="1" xfId="0" applyNumberFormat="1" applyFill="1" applyBorder="1"/>
    <xf numFmtId="0" fontId="0" fillId="8" borderId="1" xfId="3" applyFont="1" applyFill="1" applyBorder="1"/>
    <xf numFmtId="0" fontId="10" fillId="8" borderId="1" xfId="3" applyFill="1" applyBorder="1"/>
    <xf numFmtId="0" fontId="0" fillId="8" borderId="1" xfId="3" applyNumberFormat="1" applyFont="1" applyFill="1" applyBorder="1"/>
    <xf numFmtId="0" fontId="10" fillId="8" borderId="1" xfId="3" applyNumberFormat="1" applyFill="1" applyBorder="1"/>
    <xf numFmtId="0" fontId="0" fillId="8" borderId="1" xfId="0" applyFill="1" applyBorder="1"/>
    <xf numFmtId="49" fontId="3" fillId="0" borderId="0" xfId="0" applyNumberFormat="1" applyFont="1" applyFill="1" applyBorder="1" applyAlignment="1" applyProtection="1">
      <alignment horizontal="center" vertical="top"/>
      <protection locked="0"/>
    </xf>
    <xf numFmtId="49" fontId="3" fillId="0" borderId="0" xfId="0" applyNumberFormat="1" applyFont="1" applyFill="1" applyAlignment="1" applyProtection="1">
      <alignment horizontal="center" vertical="top"/>
      <protection locked="0"/>
    </xf>
    <xf numFmtId="14" fontId="3" fillId="8" borderId="0" xfId="0" applyNumberFormat="1" applyFont="1" applyFill="1" applyBorder="1" applyAlignment="1" applyProtection="1">
      <alignment horizontal="center" vertical="top" wrapText="1"/>
      <protection locked="0"/>
    </xf>
    <xf numFmtId="0" fontId="14" fillId="8" borderId="0" xfId="0" applyFont="1" applyFill="1" applyBorder="1" applyAlignment="1" applyProtection="1">
      <alignment horizontal="center" vertical="top" wrapText="1"/>
      <protection locked="0"/>
    </xf>
    <xf numFmtId="0" fontId="14" fillId="8" borderId="0" xfId="0" applyNumberFormat="1" applyFont="1" applyFill="1" applyAlignment="1" applyProtection="1">
      <alignment horizontal="center" vertical="top" wrapText="1"/>
      <protection locked="0"/>
    </xf>
    <xf numFmtId="0" fontId="13" fillId="8" borderId="0" xfId="0" applyFont="1" applyFill="1" applyAlignment="1" applyProtection="1">
      <alignment horizontal="center" vertical="top" wrapText="1"/>
      <protection locked="0"/>
    </xf>
    <xf numFmtId="0" fontId="6" fillId="9" borderId="0" xfId="0" applyFont="1" applyFill="1" applyBorder="1" applyAlignment="1">
      <alignment horizontal="center" vertical="center"/>
    </xf>
    <xf numFmtId="0" fontId="3" fillId="8" borderId="0" xfId="0" applyFont="1" applyFill="1" applyAlignment="1" applyProtection="1">
      <alignment horizontal="center" vertical="center"/>
      <protection locked="0"/>
    </xf>
    <xf numFmtId="0" fontId="3" fillId="8" borderId="0" xfId="0" applyNumberFormat="1" applyFont="1" applyFill="1" applyAlignment="1" applyProtection="1">
      <alignment horizontal="center" vertical="center"/>
      <protection locked="0"/>
    </xf>
    <xf numFmtId="0" fontId="4" fillId="8" borderId="0" xfId="0" applyFont="1" applyFill="1" applyAlignment="1" applyProtection="1">
      <alignment horizontal="center" vertical="center"/>
      <protection locked="0"/>
    </xf>
    <xf numFmtId="0" fontId="3" fillId="8" borderId="0" xfId="0" applyFont="1" applyFill="1" applyBorder="1" applyAlignment="1">
      <alignment horizontal="center" vertical="center"/>
    </xf>
    <xf numFmtId="0" fontId="3" fillId="8" borderId="0" xfId="0" applyNumberFormat="1" applyFont="1" applyFill="1" applyBorder="1" applyAlignment="1" applyProtection="1">
      <alignment horizontal="center" vertical="center"/>
      <protection locked="0"/>
    </xf>
    <xf numFmtId="0" fontId="4" fillId="8" borderId="0" xfId="0" applyFont="1" applyFill="1" applyBorder="1" applyAlignment="1">
      <alignment horizontal="center" vertical="center"/>
    </xf>
    <xf numFmtId="0" fontId="5" fillId="8" borderId="0" xfId="0" applyFont="1" applyFill="1" applyAlignment="1" applyProtection="1">
      <alignment horizontal="center" vertical="center"/>
      <protection locked="0"/>
    </xf>
    <xf numFmtId="0" fontId="0" fillId="8" borderId="0" xfId="0" applyFill="1"/>
    <xf numFmtId="49" fontId="16" fillId="5" borderId="0" xfId="0" applyNumberFormat="1" applyFont="1" applyFill="1" applyBorder="1" applyAlignment="1">
      <alignment horizontal="center" vertical="center"/>
    </xf>
    <xf numFmtId="49" fontId="0" fillId="0" borderId="0" xfId="0" applyNumberFormat="1"/>
    <xf numFmtId="49" fontId="3" fillId="0" borderId="0" xfId="0" applyNumberFormat="1" applyFont="1" applyFill="1" applyAlignment="1" applyProtection="1">
      <alignment horizontal="center" vertical="center"/>
      <protection locked="0"/>
    </xf>
    <xf numFmtId="49" fontId="3" fillId="0" borderId="0" xfId="0" applyNumberFormat="1" applyFont="1" applyFill="1" applyBorder="1" applyAlignment="1">
      <alignment horizontal="center" vertical="center"/>
    </xf>
    <xf numFmtId="49" fontId="0" fillId="0" borderId="1" xfId="0" applyNumberFormat="1" applyFill="1" applyBorder="1"/>
    <xf numFmtId="49" fontId="0" fillId="3" borderId="0" xfId="0" applyNumberFormat="1" applyFill="1" applyBorder="1"/>
    <xf numFmtId="49" fontId="0" fillId="2" borderId="0" xfId="0" applyNumberFormat="1" applyFill="1" applyBorder="1"/>
    <xf numFmtId="49" fontId="0" fillId="0" borderId="0" xfId="0" applyNumberFormat="1" applyAlignment="1">
      <alignment vertical="center" wrapText="1"/>
    </xf>
    <xf numFmtId="49" fontId="0" fillId="0" borderId="0" xfId="0" applyNumberFormat="1" applyBorder="1" applyAlignment="1">
      <alignment vertical="center" wrapText="1"/>
    </xf>
    <xf numFmtId="1" fontId="0" fillId="0" borderId="0" xfId="0" applyNumberFormat="1" applyBorder="1"/>
    <xf numFmtId="14" fontId="0" fillId="0" borderId="0" xfId="0" applyNumberFormat="1" applyBorder="1"/>
    <xf numFmtId="1" fontId="0" fillId="7" borderId="8" xfId="0" applyNumberFormat="1" applyFill="1" applyBorder="1"/>
    <xf numFmtId="0" fontId="10" fillId="7" borderId="9" xfId="3" applyNumberFormat="1" applyFill="1" applyBorder="1"/>
    <xf numFmtId="0" fontId="0" fillId="8" borderId="9" xfId="3" applyNumberFormat="1" applyFont="1" applyFill="1" applyBorder="1"/>
    <xf numFmtId="1" fontId="0" fillId="7" borderId="9" xfId="3" applyNumberFormat="1" applyFont="1" applyFill="1" applyBorder="1"/>
    <xf numFmtId="0" fontId="10" fillId="8" borderId="9" xfId="3" applyNumberFormat="1" applyFill="1" applyBorder="1"/>
    <xf numFmtId="0" fontId="0" fillId="0" borderId="0" xfId="0" applyNumberFormat="1" applyFont="1" applyFill="1" applyAlignment="1" applyProtection="1">
      <alignment horizontal="center" vertical="top"/>
      <protection locked="0"/>
    </xf>
    <xf numFmtId="49" fontId="2" fillId="0" borderId="0" xfId="1" applyNumberFormat="1" applyFont="1" applyFill="1" applyAlignment="1" applyProtection="1">
      <alignment horizontal="center" vertical="top"/>
      <protection locked="0"/>
    </xf>
    <xf numFmtId="49" fontId="1" fillId="0" borderId="0" xfId="2" applyNumberFormat="1"/>
    <xf numFmtId="1" fontId="3" fillId="0" borderId="0" xfId="0" applyNumberFormat="1" applyFont="1" applyFill="1" applyBorder="1" applyAlignment="1" applyProtection="1">
      <alignment horizontal="center" vertical="top"/>
      <protection locked="0"/>
    </xf>
    <xf numFmtId="1" fontId="2" fillId="0" borderId="0" xfId="1" applyNumberFormat="1" applyFont="1" applyFill="1" applyBorder="1" applyAlignment="1">
      <alignment horizontal="center" vertical="top" wrapText="1"/>
    </xf>
    <xf numFmtId="1" fontId="2" fillId="0" borderId="0" xfId="1" quotePrefix="1" applyNumberFormat="1" applyFont="1" applyFill="1" applyBorder="1" applyAlignment="1">
      <alignment horizontal="center" vertical="top" wrapText="1"/>
    </xf>
    <xf numFmtId="1" fontId="5" fillId="0" borderId="0" xfId="0" applyNumberFormat="1" applyFont="1" applyFill="1" applyBorder="1" applyAlignment="1" applyProtection="1">
      <alignment horizontal="center" vertical="top"/>
      <protection locked="0"/>
    </xf>
    <xf numFmtId="1" fontId="3" fillId="0" borderId="0" xfId="1" applyNumberFormat="1" applyFont="1" applyFill="1" applyBorder="1" applyAlignment="1" applyProtection="1">
      <alignment horizontal="center" vertical="top"/>
      <protection locked="0"/>
    </xf>
    <xf numFmtId="1" fontId="3" fillId="0" borderId="0" xfId="0" applyNumberFormat="1" applyFont="1" applyFill="1" applyAlignment="1" applyProtection="1">
      <alignment horizontal="center" vertical="top"/>
      <protection locked="0"/>
    </xf>
    <xf numFmtId="49" fontId="9" fillId="0" borderId="2" xfId="1" applyNumberFormat="1" applyFont="1" applyFill="1" applyBorder="1" applyAlignment="1">
      <alignment horizontal="left" vertical="top" wrapText="1"/>
    </xf>
    <xf numFmtId="49" fontId="2" fillId="0" borderId="2" xfId="1" applyNumberFormat="1" applyFont="1" applyBorder="1" applyAlignment="1">
      <alignment horizontal="left" vertical="top" wrapText="1"/>
    </xf>
    <xf numFmtId="49" fontId="2" fillId="0" borderId="2" xfId="1" applyNumberFormat="1" applyFont="1" applyFill="1" applyBorder="1" applyAlignment="1">
      <alignment horizontal="left" vertical="top" wrapText="1"/>
    </xf>
    <xf numFmtId="49" fontId="2" fillId="4" borderId="2" xfId="1" applyNumberFormat="1" applyFont="1" applyFill="1" applyBorder="1" applyAlignment="1">
      <alignment horizontal="left" vertical="top" wrapText="1"/>
    </xf>
    <xf numFmtId="49" fontId="2" fillId="0" borderId="7" xfId="1" applyNumberFormat="1" applyFont="1" applyFill="1" applyBorder="1" applyAlignment="1">
      <alignment horizontal="left" vertical="top" wrapText="1"/>
    </xf>
    <xf numFmtId="0" fontId="3" fillId="0" borderId="0" xfId="0" applyNumberFormat="1" applyFont="1" applyFill="1" applyBorder="1" applyAlignment="1" applyProtection="1">
      <alignment horizontal="center" vertical="center"/>
      <protection locked="0"/>
    </xf>
    <xf numFmtId="49" fontId="3" fillId="0" borderId="0" xfId="0" applyNumberFormat="1" applyFont="1" applyFill="1" applyBorder="1" applyAlignment="1" applyProtection="1">
      <alignment horizontal="center" vertical="center"/>
      <protection locked="0"/>
    </xf>
    <xf numFmtId="49" fontId="0" fillId="0" borderId="0" xfId="0" applyNumberFormat="1" applyFill="1" applyBorder="1"/>
    <xf numFmtId="49" fontId="2" fillId="0" borderId="9" xfId="1" applyNumberFormat="1" applyFont="1" applyFill="1" applyBorder="1" applyAlignment="1">
      <alignment horizontal="center" vertical="center" wrapText="1"/>
    </xf>
  </cellXfs>
  <cellStyles count="4">
    <cellStyle name="Hipervínculo" xfId="3" builtinId="8"/>
    <cellStyle name="Normal" xfId="0" builtinId="0"/>
    <cellStyle name="Normal 2" xfId="2"/>
    <cellStyle name="Normal 3 2" xfId="1"/>
  </cellStyles>
  <dxfs count="646">
    <dxf>
      <font>
        <sz val="8"/>
        <color auto="1"/>
        <name val="Calibri"/>
        <scheme val="minor"/>
      </font>
      <numFmt numFmtId="164" formatCode="&quot;M&quot;&quot;$&quot;\ #,##0"/>
      <fill>
        <patternFill patternType="solid">
          <fgColor theme="4" tint="0.79998168889431442"/>
          <bgColor theme="4" tint="0.79998168889431442"/>
        </patternFill>
      </fill>
      <alignment horizontal="righ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30" formatCode="@"/>
      <alignment horizontal="general" vertical="center" textRotation="0" wrapText="1" indent="0" justifyLastLine="0" shrinkToFit="0" readingOrder="0"/>
    </dxf>
    <dxf>
      <numFmt numFmtId="30" formatCode="@"/>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darkTrellis">
          <fgColor theme="0"/>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8"/>
        <color auto="1"/>
        <name val="Calibri"/>
        <scheme val="minor"/>
      </font>
      <numFmt numFmtId="30" formatCode="@"/>
      <fill>
        <patternFill patternType="none">
          <fgColor theme="4" tint="0.79998168889431442"/>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border>
    </dxf>
    <dxf>
      <font>
        <b val="0"/>
        <i val="0"/>
        <strike val="0"/>
        <condense val="0"/>
        <extend val="0"/>
        <outline val="0"/>
        <shadow val="0"/>
        <u val="none"/>
        <vertAlign val="baseline"/>
        <sz val="8"/>
        <color auto="1"/>
        <name val="Calibri"/>
        <scheme val="minor"/>
      </font>
      <numFmt numFmtId="30" formatCode="@"/>
      <fill>
        <patternFill patternType="none">
          <fgColor theme="4" tint="0.79998168889431442"/>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border>
    </dxf>
    <dxf>
      <numFmt numFmtId="30" formatCode="@"/>
      <fill>
        <patternFill patternType="none">
          <bgColor auto="1"/>
        </patternFill>
      </fill>
    </dxf>
    <dxf>
      <font>
        <b val="0"/>
        <i val="0"/>
        <strike val="0"/>
        <condense val="0"/>
        <extend val="0"/>
        <outline val="0"/>
        <shadow val="0"/>
        <u val="none"/>
        <vertAlign val="baseline"/>
        <sz val="8"/>
        <color theme="1"/>
        <name val="Calibri"/>
        <scheme val="minor"/>
      </font>
      <numFmt numFmtId="30" formatCode="@"/>
      <fill>
        <patternFill patternType="none">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8"/>
        <color auto="1"/>
        <name val="Calibri"/>
        <scheme val="minor"/>
      </font>
      <fill>
        <patternFill patternType="none">
          <bgColor auto="1"/>
        </patternFill>
      </fill>
      <alignment horizontal="general" vertical="center" textRotation="0" wrapText="1" indent="0" justifyLastLine="0" shrinkToFit="0" readingOrder="0"/>
    </dxf>
    <dxf>
      <fill>
        <patternFill patternType="none">
          <bgColor auto="1"/>
        </patternFill>
      </fill>
    </dxf>
    <dxf>
      <font>
        <b val="0"/>
        <i val="0"/>
        <strike val="0"/>
        <condense val="0"/>
        <extend val="0"/>
        <outline val="0"/>
        <shadow val="0"/>
        <u val="none"/>
        <vertAlign val="baseline"/>
        <sz val="8"/>
        <color theme="1"/>
        <name val="Calibri"/>
        <scheme val="minor"/>
      </font>
      <numFmt numFmtId="0" formatCode="General"/>
      <fill>
        <patternFill patternType="none">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numFmt numFmtId="0" formatCode="General"/>
      <fill>
        <patternFill patternType="none">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numFmt numFmtId="0" formatCode="General"/>
      <fill>
        <patternFill patternType="none">
          <bgColor theme="4" tint="0.39997558519241921"/>
        </patternFill>
      </fill>
      <alignment horizontal="center" vertical="center" textRotation="0" wrapText="0" indent="0" justifyLastLine="0" shrinkToFit="0" readingOrder="0"/>
      <protection locked="0" hidden="0"/>
    </dxf>
    <dxf>
      <fill>
        <patternFill patternType="none">
          <bgColor auto="1"/>
        </patternFill>
      </fill>
    </dxf>
    <dxf>
      <border outline="0">
        <left style="thin">
          <color theme="4" tint="0.39997558519241921"/>
        </left>
      </border>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ill>
        <patternFill patternType="darkTrellis">
          <fgColor theme="0"/>
          <bgColor rgb="FFFFFF00"/>
        </patternFill>
      </fill>
    </dxf>
    <dxf>
      <fill>
        <patternFill patternType="none">
          <bgColor auto="1"/>
        </patternFill>
      </fill>
    </dxf>
    <dxf>
      <font>
        <b val="0"/>
        <i val="0"/>
        <strike val="0"/>
        <condense val="0"/>
        <extend val="0"/>
        <outline val="0"/>
        <shadow val="0"/>
        <u val="none"/>
        <vertAlign val="baseline"/>
        <sz val="8"/>
        <color theme="1"/>
        <name val="Calibri"/>
        <scheme val="minor"/>
      </font>
      <numFmt numFmtId="19" formatCode="dd/mm/yyyy"/>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numFmt numFmtId="19" formatCode="dd/mm/yyyy"/>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numFmt numFmtId="19"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numFmt numFmtId="1" formatCode="0"/>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numFmt numFmtId="19" formatCode="dd/mm/yyyy"/>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numFmt numFmtId="30" formatCode="@"/>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7"/>
        <color theme="1"/>
        <name val="Calibri"/>
        <scheme val="minor"/>
      </font>
      <numFmt numFmtId="30" formatCode="@"/>
      <fill>
        <patternFill patternType="none">
          <fgColor indexed="64"/>
          <bgColor auto="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8"/>
        <color theme="1"/>
        <name val="Calibri"/>
        <scheme val="minor"/>
      </font>
      <numFmt numFmtId="19" formatCode="dd/mm/yyyy"/>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auto="1"/>
        <name val="Calibri"/>
        <scheme val="minor"/>
      </font>
      <numFmt numFmtId="19" formatCode="dd/mm/yyyy"/>
      <fill>
        <patternFill patternType="none">
          <fgColor indexed="64"/>
          <bgColor auto="1"/>
        </patternFill>
      </fill>
      <alignment horizontal="center" vertical="top" textRotation="0" wrapText="0" indent="0" justifyLastLine="0" shrinkToFit="0" readingOrder="0"/>
      <protection locked="0" hidden="0"/>
    </dxf>
    <dxf>
      <font>
        <b/>
        <i val="0"/>
        <strike val="0"/>
        <outline val="0"/>
        <shadow val="0"/>
        <u/>
        <vertAlign val="baseline"/>
        <sz val="8"/>
        <color rgb="FF0000FF"/>
        <name val="Calibri"/>
        <scheme val="minor"/>
      </font>
      <numFmt numFmtId="0" formatCode="General"/>
      <fill>
        <patternFill patternType="solid">
          <fgColor indexed="64"/>
          <bgColor theme="4" tint="0.39997558519241921"/>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8"/>
        <color auto="1"/>
        <name val="Calibri"/>
        <scheme val="minor"/>
      </font>
      <numFmt numFmtId="30" formatCode="@"/>
      <fill>
        <patternFill patternType="none">
          <fgColor indexed="64"/>
          <bgColor auto="1"/>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8"/>
        <color auto="1"/>
        <name val="Calibri"/>
        <scheme val="minor"/>
      </font>
      <numFmt numFmtId="1" formatCode="0"/>
      <fill>
        <patternFill patternType="none">
          <fgColor indexed="64"/>
          <bgColor auto="1"/>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8"/>
        <color theme="1"/>
        <name val="Calibri"/>
        <scheme val="minor"/>
      </font>
      <fill>
        <patternFill patternType="none">
          <fgColor indexed="64"/>
          <bgColor auto="1"/>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8"/>
        <color theme="1"/>
        <name val="Calibri"/>
        <scheme val="minor"/>
      </font>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numFmt numFmtId="0" formatCode="General"/>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numFmt numFmtId="0" formatCode="General"/>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numFmt numFmtId="0" formatCode="General"/>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fill>
        <patternFill patternType="none">
          <fgColor indexed="64"/>
          <bgColor auto="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8"/>
        <color theme="1"/>
        <name val="Calibri"/>
        <scheme val="minor"/>
      </font>
      <fill>
        <patternFill patternType="none">
          <fgColor indexed="64"/>
          <bgColor auto="1"/>
        </patternFill>
      </fill>
      <alignment horizontal="center" vertical="top" textRotation="0" wrapText="0" indent="0" justifyLastLine="0" shrinkToFit="0" readingOrder="0"/>
      <protection locked="0" hidden="0"/>
    </dxf>
    <dxf>
      <fill>
        <patternFill patternType="darkTrellis">
          <fgColor theme="0"/>
          <bgColor rgb="FFFFFF00"/>
        </patternFill>
      </fill>
    </dxf>
    <dxf>
      <fill>
        <patternFill patternType="none">
          <bgColor auto="1"/>
        </patternFill>
      </fill>
    </dxf>
    <dxf>
      <font>
        <b val="0"/>
        <i val="0"/>
        <strike val="0"/>
        <outline val="0"/>
        <shadow val="0"/>
        <u val="none"/>
        <vertAlign val="baseline"/>
        <sz val="11"/>
        <color rgb="FF0000FF"/>
        <name val="Calibri"/>
        <scheme val="minor"/>
      </font>
      <numFmt numFmtId="0" formatCode="General"/>
      <fill>
        <patternFill patternType="solid">
          <fgColor indexed="64"/>
          <bgColor theme="4" tint="0.59999389629810485"/>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1"/>
        <color rgb="FF0000FF"/>
        <name val="Calibri"/>
        <scheme val="minor"/>
      </font>
      <fill>
        <patternFill patternType="solid">
          <fgColor indexed="64"/>
          <bgColor theme="4" tint="0.59999389629810485"/>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00FF"/>
        <name val="Calibri"/>
        <scheme val="minor"/>
      </font>
      <fill>
        <patternFill patternType="solid">
          <fgColor indexed="64"/>
          <bgColor theme="4" tint="0.59999389629810485"/>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00FF"/>
        <name val="Calibri"/>
        <scheme val="minor"/>
      </font>
      <fill>
        <patternFill patternType="solid">
          <fgColor indexed="64"/>
          <bgColor theme="4" tint="0.59999389629810485"/>
        </patternFill>
      </fill>
      <border diagonalUp="0" diagonalDown="0">
        <left style="thin">
          <color auto="1"/>
        </left>
        <right style="thin">
          <color auto="1"/>
        </right>
        <top style="thin">
          <color auto="1"/>
        </top>
        <bottom style="thin">
          <color auto="1"/>
        </bottom>
        <vertical/>
        <horizontal/>
      </border>
    </dxf>
    <dxf>
      <font>
        <b val="0"/>
        <i val="0"/>
        <strike val="0"/>
        <outline val="0"/>
        <shadow val="0"/>
        <u val="none"/>
        <vertAlign val="baseline"/>
        <sz val="11"/>
        <color rgb="FF0000FF"/>
        <name val="Calibri"/>
        <scheme val="minor"/>
      </font>
      <numFmt numFmtId="0" formatCode="General"/>
      <fill>
        <patternFill patternType="solid">
          <fgColor indexed="64"/>
          <bgColor theme="4" tint="0.59999389629810485"/>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outline val="0"/>
        <shadow val="0"/>
        <u val="none"/>
        <vertAlign val="baseline"/>
        <sz val="11"/>
        <color rgb="FF0000FF"/>
        <name val="Calibri"/>
        <scheme val="minor"/>
      </font>
      <numFmt numFmtId="0" formatCode="General"/>
      <fill>
        <patternFill patternType="solid">
          <fgColor indexed="64"/>
          <bgColor theme="4" tint="0.59999389629810485"/>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outline val="0"/>
        <shadow val="0"/>
        <u val="none"/>
        <vertAlign val="baseline"/>
        <sz val="11"/>
        <color theme="1"/>
        <name val="Calibri"/>
        <scheme val="minor"/>
      </font>
      <numFmt numFmtId="1" formatCode="0"/>
      <fill>
        <patternFill patternType="solid">
          <fgColor indexed="64"/>
          <bgColor theme="4" tint="0.59999389629810485"/>
        </patternFill>
      </fill>
      <border diagonalUp="0" diagonalDown="0" outline="0">
        <left style="thin">
          <color auto="1"/>
        </left>
        <right style="thin">
          <color auto="1"/>
        </right>
        <top style="thin">
          <color auto="1"/>
        </top>
        <bottom style="thin">
          <color auto="1"/>
        </bottom>
      </border>
    </dxf>
    <dxf>
      <numFmt numFmtId="0" formatCode="General"/>
      <fill>
        <patternFill patternType="solid">
          <fgColor indexed="64"/>
          <bgColor theme="4" tint="0.39997558519241921"/>
        </patternFill>
      </fill>
      <border diagonalUp="0" diagonalDown="0">
        <left style="thin">
          <color auto="1"/>
        </left>
        <right style="thin">
          <color auto="1"/>
        </right>
        <top style="thin">
          <color auto="1"/>
        </top>
        <bottom style="thin">
          <color auto="1"/>
        </bottom>
        <vertical/>
        <horizontal/>
      </border>
    </dxf>
    <dxf>
      <numFmt numFmtId="0" formatCode="General"/>
      <fill>
        <patternFill patternType="solid">
          <fgColor indexed="64"/>
          <bgColor theme="4" tint="0.39997558519241921"/>
        </patternFill>
      </fill>
      <border diagonalUp="0" diagonalDown="0">
        <left style="thin">
          <color auto="1"/>
        </left>
        <right style="thin">
          <color auto="1"/>
        </right>
        <top style="thin">
          <color auto="1"/>
        </top>
        <bottom style="thin">
          <color auto="1"/>
        </bottom>
        <vertical/>
        <horizontal/>
      </border>
    </dxf>
    <dxf>
      <numFmt numFmtId="0" formatCode="General"/>
      <fill>
        <patternFill patternType="solid">
          <fgColor indexed="64"/>
          <bgColor theme="4" tint="0.39997558519241921"/>
        </patternFill>
      </fill>
      <border diagonalUp="0" diagonalDown="0">
        <left style="thin">
          <color auto="1"/>
        </left>
        <right style="thin">
          <color auto="1"/>
        </right>
        <top style="thin">
          <color auto="1"/>
        </top>
        <bottom style="thin">
          <color auto="1"/>
        </bottom>
        <vertical/>
        <horizontal/>
      </border>
    </dxf>
    <dxf>
      <numFmt numFmtId="0" formatCode="General"/>
      <fill>
        <patternFill patternType="solid">
          <fgColor indexed="64"/>
          <bgColor theme="4" tint="0.39997558519241921"/>
        </patternFill>
      </fill>
      <border diagonalUp="0" diagonalDown="0">
        <left style="thin">
          <color auto="1"/>
        </left>
        <right style="thin">
          <color auto="1"/>
        </right>
        <top style="thin">
          <color auto="1"/>
        </top>
        <bottom style="thin">
          <color auto="1"/>
        </bottom>
      </border>
    </dxf>
    <dxf>
      <numFmt numFmtId="0" formatCode="General"/>
      <fill>
        <patternFill patternType="solid">
          <fgColor indexed="64"/>
          <bgColor theme="4" tint="0.39997558519241921"/>
        </patternFill>
      </fill>
      <border diagonalUp="0" diagonalDown="0">
        <left style="thin">
          <color auto="1"/>
        </left>
        <right style="thin">
          <color auto="1"/>
        </right>
        <top style="thin">
          <color auto="1"/>
        </top>
        <bottom style="thin">
          <color auto="1"/>
        </bottom>
      </border>
    </dxf>
    <dxf>
      <numFmt numFmtId="0" formatCode="General"/>
      <fill>
        <patternFill patternType="solid">
          <fgColor indexed="64"/>
          <bgColor theme="4" tint="0.39997558519241921"/>
        </patternFill>
      </fill>
      <border diagonalUp="0" diagonalDown="0">
        <left style="thin">
          <color auto="1"/>
        </left>
        <right style="thin">
          <color auto="1"/>
        </right>
        <top style="thin">
          <color auto="1"/>
        </top>
        <bottom style="thin">
          <color auto="1"/>
        </bottom>
      </border>
    </dxf>
    <dxf>
      <font>
        <b val="0"/>
        <i val="0"/>
        <strike val="0"/>
        <outline val="0"/>
        <shadow val="0"/>
        <u val="none"/>
        <vertAlign val="baseline"/>
        <sz val="11"/>
        <color theme="1"/>
        <name val="Calibri"/>
        <scheme val="minor"/>
      </font>
      <numFmt numFmtId="0" formatCode="General"/>
      <fill>
        <patternFill patternType="solid">
          <fgColor indexed="64"/>
          <bgColor theme="4" tint="0.39997558519241921"/>
        </patternFill>
      </fill>
      <border diagonalUp="0" diagonalDown="0" outline="0">
        <left style="thin">
          <color auto="1"/>
        </left>
        <right style="thin">
          <color auto="1"/>
        </right>
        <top style="thin">
          <color auto="1"/>
        </top>
        <bottom style="thin">
          <color auto="1"/>
        </bottom>
      </border>
    </dxf>
    <dxf>
      <numFmt numFmtId="0" formatCode="General"/>
      <fill>
        <patternFill patternType="solid">
          <fgColor indexed="64"/>
          <bgColor theme="4" tint="0.59999389629810485"/>
        </patternFill>
      </fill>
      <border diagonalUp="0" diagonalDown="0">
        <left style="thin">
          <color auto="1"/>
        </left>
        <right style="thin">
          <color auto="1"/>
        </right>
        <top style="thin">
          <color auto="1"/>
        </top>
        <bottom style="thin">
          <color auto="1"/>
        </bottom>
        <vertical/>
        <horizontal/>
      </border>
    </dxf>
    <dxf>
      <numFmt numFmtId="0" formatCode="General"/>
      <fill>
        <patternFill patternType="solid">
          <fgColor indexed="64"/>
          <bgColor theme="4" tint="0.59999389629810485"/>
        </patternFill>
      </fill>
      <border diagonalUp="0" diagonalDown="0">
        <left style="thin">
          <color auto="1"/>
        </left>
        <right style="thin">
          <color auto="1"/>
        </right>
        <top style="thin">
          <color auto="1"/>
        </top>
        <bottom style="thin">
          <color auto="1"/>
        </bottom>
        <vertical/>
        <horizontal/>
      </border>
    </dxf>
    <dxf>
      <numFmt numFmtId="0" formatCode="General"/>
      <fill>
        <patternFill patternType="solid">
          <fgColor indexed="64"/>
          <bgColor theme="4" tint="0.59999389629810485"/>
        </patternFill>
      </fill>
      <border diagonalUp="0" diagonalDown="0">
        <left style="thin">
          <color auto="1"/>
        </left>
        <right style="thin">
          <color auto="1"/>
        </right>
        <top style="thin">
          <color auto="1"/>
        </top>
        <bottom style="thin">
          <color auto="1"/>
        </bottom>
        <vertical/>
        <horizontal/>
      </border>
    </dxf>
    <dxf>
      <numFmt numFmtId="0" formatCode="General"/>
      <fill>
        <patternFill patternType="solid">
          <fgColor indexed="64"/>
          <bgColor theme="4" tint="0.59999389629810485"/>
        </patternFill>
      </fill>
      <border diagonalUp="0" diagonalDown="0">
        <left style="thin">
          <color auto="1"/>
        </left>
        <right style="thin">
          <color auto="1"/>
        </right>
        <top style="thin">
          <color auto="1"/>
        </top>
        <bottom style="thin">
          <color auto="1"/>
        </bottom>
      </border>
    </dxf>
    <dxf>
      <numFmt numFmtId="0" formatCode="General"/>
      <fill>
        <patternFill patternType="solid">
          <fgColor indexed="64"/>
          <bgColor theme="4" tint="0.59999389629810485"/>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0" formatCode="General"/>
      <fill>
        <patternFill patternType="solid">
          <fgColor indexed="64"/>
          <bgColor theme="4" tint="0.59999389629810485"/>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 formatCode="0"/>
      <fill>
        <patternFill patternType="solid">
          <fgColor indexed="64"/>
          <bgColor theme="4" tint="0.59999389629810485"/>
        </patternFill>
      </fill>
      <border diagonalUp="0" diagonalDown="0">
        <left/>
        <right style="thin">
          <color auto="1"/>
        </right>
        <top style="thin">
          <color auto="1"/>
        </top>
        <bottom style="thin">
          <color auto="1"/>
        </bottom>
        <vertical style="thin">
          <color auto="1"/>
        </vertical>
        <horizontal style="thin">
          <color auto="1"/>
        </horizontal>
      </border>
    </dxf>
    <dxf>
      <numFmt numFmtId="19" formatCode="dd/mm/yyyy"/>
    </dxf>
    <dxf>
      <font>
        <b val="0"/>
        <i val="0"/>
        <strike val="0"/>
        <condense val="0"/>
        <extend val="0"/>
        <outline val="0"/>
        <shadow val="0"/>
        <u val="none"/>
        <vertAlign val="baseline"/>
        <sz val="8"/>
        <color auto="1"/>
        <name val="Calibri"/>
        <scheme val="minor"/>
      </font>
      <numFmt numFmtId="19" formatCode="dd/mm/yyyy"/>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Calibri"/>
        <scheme val="minor"/>
      </font>
      <numFmt numFmtId="19" formatCode="dd/mm/yyyy"/>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Calibri"/>
        <scheme val="minor"/>
      </font>
      <numFmt numFmtId="30" formatCode="@"/>
      <fill>
        <patternFill patternType="none">
          <fgColor indexed="64"/>
          <bgColor indexed="65"/>
        </patternFill>
      </fill>
      <alignment horizontal="left" vertical="top" textRotation="0" wrapText="1" indent="0" justifyLastLine="0" shrinkToFit="0" readingOrder="0"/>
      <border diagonalUp="0" diagonalDown="0">
        <left style="thin">
          <color indexed="64"/>
        </left>
        <right/>
        <top style="thin">
          <color indexed="64"/>
        </top>
        <bottom style="thin">
          <color indexed="64"/>
        </bottom>
        <vertical/>
        <horizontal/>
      </border>
    </dxf>
    <dxf>
      <numFmt numFmtId="1" formatCode="0"/>
    </dxf>
    <dxf>
      <numFmt numFmtId="19" formatCode="dd/mm/yyyy"/>
    </dxf>
  </dxfs>
  <tableStyles count="0" defaultTableStyle="TableStyleMedium2" defaultPivotStyle="PivotStyleMedium9"/>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438150</xdr:colOff>
          <xdr:row>1</xdr:row>
          <xdr:rowOff>76200</xdr:rowOff>
        </xdr:from>
        <xdr:to>
          <xdr:col>27</xdr:col>
          <xdr:colOff>28575</xdr:colOff>
          <xdr:row>4</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400" b="1" i="0" u="none" strike="noStrike" baseline="0">
                  <a:solidFill>
                    <a:srgbClr val="000000"/>
                  </a:solidFill>
                  <a:latin typeface="Calibri"/>
                  <a:cs typeface="Calibri"/>
                </a:rPr>
                <a:t>Generar Reporte</a:t>
              </a:r>
            </a:p>
          </xdr:txBody>
        </xdr:sp>
        <xdr:clientData fPrintsWithSheet="0"/>
      </xdr:twoCellAnchor>
    </mc:Choice>
    <mc:Fallback/>
  </mc:AlternateContent>
</xdr:wsDr>
</file>

<file path=xl/tables/table1.xml><?xml version="1.0" encoding="utf-8"?>
<table xmlns="http://schemas.openxmlformats.org/spreadsheetml/2006/main" id="1" name="Tabla1" displayName="Tabla1" ref="A1:Z543" totalsRowShown="0" headerRowDxfId="645">
  <autoFilter ref="A1:Z543"/>
  <sortState ref="A2:Q542">
    <sortCondition ref="A1:A542"/>
  </sortState>
  <tableColumns count="26">
    <tableColumn id="1" name="id_solicitud" dataDxfId="644"/>
    <tableColumn id="3" name="comentario" dataDxfId="643" dataCellStyle="Normal 3 2"/>
    <tableColumn id="5" name="fecha_desestimacion" dataDxfId="642" dataCellStyle="Normal 3 2"/>
    <tableColumn id="6" name="fecha_rechazo" dataDxfId="641" dataCellStyle="Normal 3 2"/>
    <tableColumn id="4" name="ultima_actualizacion" dataDxfId="640"/>
    <tableColumn id="17" name="# oficios_solicitud" dataDxfId="639">
      <calculatedColumnFormula>COUNTIF(Documentos!A:A,A2&amp;"Oficio_Solicitud")</calculatedColumnFormula>
    </tableColumn>
    <tableColumn id="2" name="oficio_solicitud1" dataDxfId="638">
      <calculatedColumnFormula>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calculatedColumnFormula>
    </tableColumn>
    <tableColumn id="15" name="oficio_solicitud2" dataDxfId="637" dataCellStyle="Hipervínculo">
      <calculatedColumnFormula>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calculatedColumnFormula>
    </tableColumn>
    <tableColumn id="16" name="oficio_solicitud3" dataDxfId="636" dataCellStyle="Hipervínculo">
      <calculatedColumnFormula>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calculatedColumnFormula>
    </tableColumn>
    <tableColumn id="14" name="oficio_solicitud4" dataDxfId="635" dataCellStyle="Hipervínculo">
      <calculatedColumnFormula>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calculatedColumnFormula>
    </tableColumn>
    <tableColumn id="20" name="oficio_solicitud5" dataDxfId="634" dataCellStyle="Hipervínculo">
      <calculatedColumnFormula>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calculatedColumnFormula>
    </tableColumn>
    <tableColumn id="21" name="oficio_solicitud6" dataDxfId="633" dataCellStyle="Hipervínculo">
      <calculatedColumnFormula>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calculatedColumnFormula>
    </tableColumn>
    <tableColumn id="18" name="# proposiciones" dataDxfId="632" dataCellStyle="Hipervínculo">
      <calculatedColumnFormula>COUNTIF(Documentos!A:A,A2&amp;"Proposicion")</calculatedColumnFormula>
    </tableColumn>
    <tableColumn id="8" name="proposicion1" dataDxfId="631">
      <calculatedColumnFormula>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calculatedColumnFormula>
    </tableColumn>
    <tableColumn id="9" name="proposicion2" dataDxfId="630">
      <calculatedColumnFormula>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calculatedColumnFormula>
    </tableColumn>
    <tableColumn id="10" name="proposicion3" dataDxfId="629">
      <calculatedColumnFormula>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calculatedColumnFormula>
    </tableColumn>
    <tableColumn id="22" name="proposicion4" dataDxfId="628" dataCellStyle="Hipervínculo">
      <calculatedColumnFormula>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calculatedColumnFormula>
    </tableColumn>
    <tableColumn id="23" name="proposicion5" dataDxfId="627" dataCellStyle="Hipervínculo">
      <calculatedColumnFormula>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calculatedColumnFormula>
    </tableColumn>
    <tableColumn id="24" name="proposicion6" dataDxfId="626" dataCellStyle="Hipervínculo">
      <calculatedColumnFormula>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calculatedColumnFormula>
    </tableColumn>
    <tableColumn id="19" name="# decretos" dataDxfId="625" dataCellStyle="Hipervínculo">
      <calculatedColumnFormula>COUNTIF(Documentos!A:A,A2&amp;"Decreto")</calculatedColumnFormula>
    </tableColumn>
    <tableColumn id="11" name="decreto1" dataDxfId="624">
      <calculatedColumnFormula>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calculatedColumnFormula>
    </tableColumn>
    <tableColumn id="12" name="decreto2" dataDxfId="623">
      <calculatedColumnFormula>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calculatedColumnFormula>
    </tableColumn>
    <tableColumn id="27" name="decreto3" dataDxfId="622"/>
    <tableColumn id="26" name="decreto4" dataDxfId="621"/>
    <tableColumn id="25" name="decreto5" dataDxfId="620"/>
    <tableColumn id="13" name="decreto6" dataDxfId="619">
      <calculatedColumnFormula>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a2" displayName="Tabla2" ref="A1:V1574" totalsRowShown="0" headerRowDxfId="616" dataDxfId="615">
  <autoFilter ref="A1:V1574">
    <filterColumn colId="4">
      <filters>
        <filter val="140"/>
        <filter val="240"/>
        <filter val="340"/>
        <filter val="40"/>
        <filter val="400"/>
        <filter val="401"/>
        <filter val="402"/>
        <filter val="403"/>
        <filter val="404"/>
        <filter val="405"/>
        <filter val="406"/>
        <filter val="408"/>
        <filter val="409"/>
        <filter val="440"/>
        <filter val="540"/>
      </filters>
    </filterColumn>
  </autoFilter>
  <sortState ref="A219:V1556">
    <sortCondition ref="E1:E1574"/>
  </sortState>
  <tableColumns count="22">
    <tableColumn id="12" name="(id_solicitud-tipo_documento)" dataDxfId="614">
      <calculatedColumnFormula>CONCATENATE(Tabla2[[#This Row],[id_solicitud]],Tabla2[[#This Row],[tipo]])</calculatedColumnFormula>
    </tableColumn>
    <tableColumn id="14" name="(n_aparicion)" dataDxfId="613">
      <calculatedColumnFormula>COUNTIF($A$2:A2,A2)</calculatedColumnFormula>
    </tableColumn>
    <tableColumn id="15" name="(id_solicitud-tipo_documento-n_aparicion)" dataDxfId="612">
      <calculatedColumnFormula>Tabla2[[#This Row],[(id_solicitud-tipo_documento)]]&amp;B2</calculatedColumnFormula>
    </tableColumn>
    <tableColumn id="1" name="id_documento" dataDxfId="611"/>
    <tableColumn id="2" name="id_solicitud" dataDxfId="610"/>
    <tableColumn id="3" name="tipo" dataDxfId="609"/>
    <tableColumn id="5" name="materias" dataDxfId="608"/>
    <tableColumn id="4" name="servicios" dataDxfId="607" dataCellStyle="Normal 3 2"/>
    <tableColumn id="6" name="numero_documento" dataDxfId="606" dataCellStyle="Normal 3 2"/>
    <tableColumn id="25" name="sufijo_correo_memo" dataDxfId="605" dataCellStyle="Normal 3 2"/>
    <tableColumn id="16" name="link" dataDxfId="604">
      <calculatedColumnFormula>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calculatedColumnFormula>
    </tableColumn>
    <tableColumn id="7" name="fecha_documento" dataDxfId="603" dataCellStyle="Normal 3 2"/>
    <tableColumn id="8" name="fecha_recepcion" dataDxfId="602"/>
    <tableColumn id="9" name="comentario" dataDxfId="601"/>
    <tableColumn id="10" name="# iniciativas" dataDxfId="600"/>
    <tableColumn id="11" name="subtitulos" dataDxfId="599"/>
    <tableColumn id="18" name="fecha_ultima_interaccion" dataDxfId="598"/>
    <tableColumn id="19" name="servicio_origen" dataDxfId="597"/>
    <tableColumn id="20" name="codigoVV" dataDxfId="596"/>
    <tableColumn id="23" name="fechaVV" dataDxfId="595"/>
    <tableColumn id="21" name="fecha_toma_razon" dataDxfId="594"/>
    <tableColumn id="22" name="fecha_totalmente_tramitado" dataDxfId="593"/>
  </tableColumns>
  <tableStyleInfo name="TableStyleLight9" showFirstColumn="0" showLastColumn="0" showRowStripes="1" showColumnStripes="0"/>
</table>
</file>

<file path=xl/tables/table3.xml><?xml version="1.0" encoding="utf-8"?>
<table xmlns="http://schemas.openxmlformats.org/spreadsheetml/2006/main" id="4" name="Tabla4" displayName="Tabla4" ref="A1:M545" totalsRowShown="0" dataDxfId="20" tableBorderDxfId="19">
  <autoFilter ref="A1:M545"/>
  <sortState ref="A2:M543">
    <sortCondition ref="A1:A543"/>
  </sortState>
  <tableColumns count="13">
    <tableColumn id="1" name="id_documento" dataDxfId="18"/>
    <tableColumn id="7" name="tipo_documento" dataDxfId="17">
      <calculatedColumnFormula>VLOOKUP(A2,Documentos!D:F,3,FALSE)</calculatedColumnFormula>
    </tableColumn>
    <tableColumn id="8" name="servicios_documento" dataDxfId="16">
      <calculatedColumnFormula>VLOOKUP(A2,Documentos!D:H,5,FALSE)</calculatedColumnFormula>
    </tableColumn>
    <tableColumn id="9" name="numero_documento" dataDxfId="15">
      <calculatedColumnFormula>VLOOKUP(A2,Documentos!D:I,6,FALSE)</calculatedColumnFormula>
    </tableColumn>
    <tableColumn id="2" name="materia" dataDxfId="14"/>
    <tableColumn id="13" name="servicio_movimiento" dataDxfId="13" dataCellStyle="Normal 3 2"/>
    <tableColumn id="3" name="subtitulo" dataDxfId="12"/>
    <tableColumn id="6" name="item" dataDxfId="11"/>
    <tableColumn id="11" name="asignacion" dataDxfId="10" dataCellStyle="Normal 3 2"/>
    <tableColumn id="12" name="subasignacion" dataDxfId="9" dataCellStyle="Normal 3 2"/>
    <tableColumn id="10" name="tipo_movimiento" dataDxfId="8"/>
    <tableColumn id="4" name="suma_positivos" dataDxfId="7"/>
    <tableColumn id="5" name="suma_negativos" dataDxfId="6"/>
  </tableColumns>
  <tableStyleInfo name="TableStyleLight9" showFirstColumn="0" showLastColumn="0" showRowStripes="1" showColumnStripes="0"/>
</table>
</file>

<file path=xl/tables/table4.xml><?xml version="1.0" encoding="utf-8"?>
<table xmlns="http://schemas.openxmlformats.org/spreadsheetml/2006/main" id="3" name="Tabla3" displayName="Tabla3" ref="A1:F58" totalsRowShown="0">
  <autoFilter ref="A1:F58"/>
  <tableColumns count="6">
    <tableColumn id="2" name="servicio"/>
    <tableColumn id="7" name="num_decreto" dataDxfId="3"/>
    <tableColumn id="1" name="subtitulo" dataDxfId="2"/>
    <tableColumn id="3" name="item" dataDxfId="1"/>
    <tableColumn id="4" name="monto_ley" dataDxfId="0" dataCellStyle="Normal 3 2"/>
    <tableColumn id="6" name="año"/>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Z543"/>
  <sheetViews>
    <sheetView tabSelected="1" workbookViewId="0">
      <selection activeCell="AB7" sqref="AB7"/>
    </sheetView>
  </sheetViews>
  <sheetFormatPr baseColWidth="10" defaultRowHeight="15" x14ac:dyDescent="0.25"/>
  <cols>
    <col min="1" max="1" width="13.42578125" style="19" customWidth="1"/>
    <col min="2" max="2" width="31.5703125" style="96" customWidth="1"/>
    <col min="3" max="3" width="19.85546875" customWidth="1"/>
    <col min="4" max="4" width="16" bestFit="1" customWidth="1"/>
    <col min="5" max="5" width="19.140625" customWidth="1"/>
    <col min="6" max="6" width="3.5703125" style="65" customWidth="1"/>
    <col min="7" max="7" width="17.85546875" style="71" customWidth="1"/>
    <col min="8" max="8" width="12.42578125" style="71" customWidth="1"/>
    <col min="9" max="9" width="15.5703125" style="71" hidden="1" customWidth="1"/>
    <col min="10" max="12" width="28" style="71" hidden="1" customWidth="1"/>
    <col min="13" max="13" width="3.28515625" style="79" customWidth="1"/>
    <col min="14" max="14" width="26.28515625" style="79" customWidth="1"/>
    <col min="15" max="15" width="16" style="79" customWidth="1"/>
    <col min="16" max="16" width="14.7109375" style="79" hidden="1" customWidth="1"/>
    <col min="17" max="17" width="19.7109375" style="79" hidden="1" customWidth="1"/>
    <col min="18" max="19" width="14.7109375" style="79" hidden="1" customWidth="1"/>
    <col min="20" max="20" width="12.42578125" style="65" bestFit="1" customWidth="1"/>
    <col min="21" max="21" width="11.85546875" style="68" customWidth="1"/>
    <col min="22" max="22" width="11.42578125" style="68"/>
    <col min="23" max="26" width="11.140625" style="68" hidden="1" customWidth="1"/>
  </cols>
  <sheetData>
    <row r="1" spans="1:26" s="6" customFormat="1" x14ac:dyDescent="0.25">
      <c r="A1" s="6" t="s">
        <v>0</v>
      </c>
      <c r="B1" s="96" t="s">
        <v>52</v>
      </c>
      <c r="C1" s="6" t="s">
        <v>1250</v>
      </c>
      <c r="D1" s="6" t="s">
        <v>1251</v>
      </c>
      <c r="E1" s="6" t="s">
        <v>39</v>
      </c>
      <c r="F1" s="64" t="s">
        <v>1300</v>
      </c>
      <c r="G1" s="64" t="s">
        <v>1295</v>
      </c>
      <c r="H1" s="64" t="s">
        <v>1296</v>
      </c>
      <c r="I1" s="64" t="s">
        <v>1297</v>
      </c>
      <c r="J1" s="64" t="s">
        <v>2409</v>
      </c>
      <c r="K1" s="64" t="s">
        <v>2410</v>
      </c>
      <c r="L1" s="64" t="s">
        <v>2411</v>
      </c>
      <c r="M1" s="74" t="s">
        <v>1299</v>
      </c>
      <c r="N1" s="74" t="s">
        <v>1289</v>
      </c>
      <c r="O1" s="74" t="s">
        <v>1290</v>
      </c>
      <c r="P1" s="74" t="s">
        <v>1291</v>
      </c>
      <c r="Q1" s="74" t="s">
        <v>2408</v>
      </c>
      <c r="R1" s="74" t="s">
        <v>2412</v>
      </c>
      <c r="S1" s="74" t="s">
        <v>2413</v>
      </c>
      <c r="T1" s="64" t="s">
        <v>1301</v>
      </c>
      <c r="U1" s="64" t="s">
        <v>1292</v>
      </c>
      <c r="V1" s="64" t="s">
        <v>1293</v>
      </c>
      <c r="W1" s="64" t="s">
        <v>1294</v>
      </c>
      <c r="X1" s="64" t="s">
        <v>2414</v>
      </c>
      <c r="Y1" s="64" t="s">
        <v>2415</v>
      </c>
      <c r="Z1" s="64" t="s">
        <v>2416</v>
      </c>
    </row>
    <row r="2" spans="1:26" hidden="1" x14ac:dyDescent="0.25">
      <c r="A2" s="19">
        <v>-1</v>
      </c>
      <c r="B2" s="120" t="s">
        <v>1285</v>
      </c>
      <c r="C2" s="18"/>
      <c r="D2" s="18"/>
      <c r="E2" s="6"/>
      <c r="F2" s="65">
        <f>COUNTIF(Documentos!A:A,A2&amp;"Oficio_Solicitud")</f>
        <v>0</v>
      </c>
      <c r="G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 s="75">
        <f>COUNTIF(Documentos!A:A,A2&amp;"Proposicion")</f>
        <v>0</v>
      </c>
      <c r="N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 s="67">
        <f>COUNTIF(Documentos!A:A,A2&amp;"Decreto")</f>
        <v>0</v>
      </c>
      <c r="U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 spans="1:26" ht="22.5" x14ac:dyDescent="0.25">
      <c r="A3" s="19">
        <v>1</v>
      </c>
      <c r="B3" s="121" t="s">
        <v>1026</v>
      </c>
      <c r="C3" s="12"/>
      <c r="D3" s="12"/>
      <c r="E3" s="6"/>
      <c r="F3" s="65">
        <f>COUNTIF(Documentos!A:A,A3&amp;"Oficio_Solicitud")</f>
        <v>1</v>
      </c>
      <c r="G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594 DAP_FETCovid19</v>
      </c>
      <c r="H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 s="75">
        <f>COUNTIF(Documentos!A:A,A3&amp;"Proposicion")</f>
        <v>1</v>
      </c>
      <c r="N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807 DAP_FETCovid19</v>
      </c>
      <c r="O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 s="67">
        <f>COUNTIF(Documentos!A:A,A3&amp;"Decreto")</f>
        <v>1</v>
      </c>
      <c r="U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54 DAP_FETCovid19-FISC_FETCovid19-DGA</v>
      </c>
      <c r="V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 spans="1:26" x14ac:dyDescent="0.25">
      <c r="A4" s="19">
        <v>2</v>
      </c>
      <c r="B4" s="121"/>
      <c r="C4" s="12"/>
      <c r="D4" s="12"/>
      <c r="E4" s="6"/>
      <c r="F4" s="65">
        <f>COUNTIF(Documentos!A:A,A4&amp;"Oficio_Solicitud")</f>
        <v>1</v>
      </c>
      <c r="G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592 DAP</v>
      </c>
      <c r="H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 s="75">
        <f>COUNTIF(Documentos!A:A,A4&amp;"Proposicion")</f>
        <v>1</v>
      </c>
      <c r="N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802 DAP</v>
      </c>
      <c r="O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 s="67">
        <f>COUNTIF(Documentos!A:A,A4&amp;"Decreto")</f>
        <v>1</v>
      </c>
      <c r="U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2690 DAP</v>
      </c>
      <c r="V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 spans="1:26" x14ac:dyDescent="0.25">
      <c r="A5" s="19">
        <v>3</v>
      </c>
      <c r="B5" s="121" t="s">
        <v>1027</v>
      </c>
      <c r="C5" s="12"/>
      <c r="D5" s="12"/>
      <c r="E5" s="6"/>
      <c r="F5" s="65">
        <f>COUNTIF(Documentos!A:A,A5&amp;"Oficio_Solicitud")</f>
        <v>1</v>
      </c>
      <c r="G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666 DOP</v>
      </c>
      <c r="H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 s="75">
        <f>COUNTIF(Documentos!A:A,A5&amp;"Proposicion")</f>
        <v>1</v>
      </c>
      <c r="N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834 DOP</v>
      </c>
      <c r="O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 s="67">
        <f>COUNTIF(Documentos!A:A,A5&amp;"Decreto")</f>
        <v>1</v>
      </c>
      <c r="U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72 DOP</v>
      </c>
      <c r="V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6" spans="1:26" x14ac:dyDescent="0.25">
      <c r="A6" s="19">
        <v>4</v>
      </c>
      <c r="B6" s="121" t="s">
        <v>1027</v>
      </c>
      <c r="C6" s="12"/>
      <c r="D6" s="12"/>
      <c r="E6" s="6"/>
      <c r="F6" s="65">
        <f>COUNTIF(Documentos!A:A,A6&amp;"Oficio_Solicitud")</f>
        <v>1</v>
      </c>
      <c r="G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667 DOP_FETCovid19</v>
      </c>
      <c r="H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6" s="75">
        <f>COUNTIF(Documentos!A:A,A6&amp;"Proposicion")</f>
        <v>1</v>
      </c>
      <c r="N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835 DOP_FETCovid19</v>
      </c>
      <c r="O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6" s="67">
        <f>COUNTIF(Documentos!A:A,A6&amp;"Decreto")</f>
        <v>1</v>
      </c>
      <c r="U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98 DOP_FETCovid19</v>
      </c>
      <c r="V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7" spans="1:26" x14ac:dyDescent="0.25">
      <c r="A7" s="19">
        <v>5</v>
      </c>
      <c r="B7" s="121" t="s">
        <v>1027</v>
      </c>
      <c r="C7" s="12"/>
      <c r="D7" s="12"/>
      <c r="E7" s="73"/>
      <c r="F7" s="72">
        <f>COUNTIF(Documentos!A:A,A7&amp;"Oficio_Solicitud")</f>
        <v>1</v>
      </c>
      <c r="G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529 DGOP</v>
      </c>
      <c r="H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7" s="75">
        <f>COUNTIF(Documentos!A:A,A7&amp;"Proposicion")</f>
        <v>1</v>
      </c>
      <c r="N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805 DGOP</v>
      </c>
      <c r="O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7" s="67">
        <f>COUNTIF(Documentos!A:A,A7&amp;"Decreto")</f>
        <v>1</v>
      </c>
      <c r="U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2671 DGOP</v>
      </c>
      <c r="V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8" spans="1:26" x14ac:dyDescent="0.25">
      <c r="A8" s="19">
        <v>6</v>
      </c>
      <c r="B8" s="121"/>
      <c r="C8" s="12"/>
      <c r="D8" s="12"/>
      <c r="E8" s="6"/>
      <c r="F8" s="65">
        <f>COUNTIF(Documentos!A:A,A8&amp;"Oficio_Solicitud")</f>
        <v>1</v>
      </c>
      <c r="G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606 DAP</v>
      </c>
      <c r="H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8" s="75">
        <f>COUNTIF(Documentos!A:A,A8&amp;"Proposicion")</f>
        <v>1</v>
      </c>
      <c r="N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803 DAP</v>
      </c>
      <c r="O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8" s="67">
        <f>COUNTIF(Documentos!A:A,A8&amp;"Decreto")</f>
        <v>1</v>
      </c>
      <c r="U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2690 DAP</v>
      </c>
      <c r="V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9" spans="1:26" x14ac:dyDescent="0.25">
      <c r="A9" s="19">
        <v>7</v>
      </c>
      <c r="B9" s="121" t="s">
        <v>1028</v>
      </c>
      <c r="C9" s="12"/>
      <c r="D9" s="12"/>
      <c r="E9" s="6"/>
      <c r="F9" s="65">
        <f>COUNTIF(Documentos!A:A,A9&amp;"Oficio_Solicitud")</f>
        <v>1</v>
      </c>
      <c r="G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1340 DA_FETCovid19</v>
      </c>
      <c r="H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9" s="75">
        <f>COUNTIF(Documentos!A:A,A9&amp;"Proposicion")</f>
        <v>1</v>
      </c>
      <c r="N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29 DA_FETCovid19</v>
      </c>
      <c r="O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9" s="67">
        <f>COUNTIF(Documentos!A:A,A9&amp;"Decreto")</f>
        <v>1</v>
      </c>
      <c r="U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154 DA_FETCovid19</v>
      </c>
      <c r="V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0" spans="1:26" x14ac:dyDescent="0.25">
      <c r="A10" s="19">
        <v>8</v>
      </c>
      <c r="B10" s="121" t="s">
        <v>1029</v>
      </c>
      <c r="C10" s="12"/>
      <c r="D10" s="12"/>
      <c r="E10" s="6"/>
      <c r="F10" s="65">
        <f>COUNTIF(Documentos!A:A,A10&amp;"Oficio_Solicitud")</f>
        <v>1</v>
      </c>
      <c r="G1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1341 DA</v>
      </c>
      <c r="H1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0" s="75">
        <f>COUNTIF(Documentos!A:A,A10&amp;"Proposicion")</f>
        <v>1</v>
      </c>
      <c r="N1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14 DA</v>
      </c>
      <c r="O1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0" s="67">
        <f>COUNTIF(Documentos!A:A,A10&amp;"Decreto")</f>
        <v>1</v>
      </c>
      <c r="U1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152 DA</v>
      </c>
      <c r="V1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1" spans="1:26" ht="33.75" x14ac:dyDescent="0.25">
      <c r="A11" s="19">
        <v>9</v>
      </c>
      <c r="B11" s="121" t="s">
        <v>1030</v>
      </c>
      <c r="C11" s="12"/>
      <c r="D11" s="12">
        <v>44562</v>
      </c>
      <c r="E11" s="6"/>
      <c r="F11" s="65">
        <f>COUNTIF(Documentos!A:A,A11&amp;"Oficio_Solicitud")</f>
        <v>1</v>
      </c>
      <c r="G1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11734 DV-DV_FETCovid19</v>
      </c>
      <c r="H1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1" s="75">
        <f>COUNTIF(Documentos!A:A,A11&amp;"Proposicion")</f>
        <v>0</v>
      </c>
      <c r="N1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1" s="67">
        <f>COUNTIF(Documentos!A:A,A11&amp;"Decreto")</f>
        <v>0</v>
      </c>
      <c r="U1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2" spans="1:26" x14ac:dyDescent="0.25">
      <c r="A12" s="19">
        <v>10</v>
      </c>
      <c r="B12" s="121" t="s">
        <v>1029</v>
      </c>
      <c r="C12" s="12"/>
      <c r="D12" s="12"/>
      <c r="E12" s="6"/>
      <c r="F12" s="65">
        <f>COUNTIF(Documentos!A:A,A12&amp;"Oficio_Solicitud")</f>
        <v>1</v>
      </c>
      <c r="G1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68 DP</v>
      </c>
      <c r="H1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2" s="75">
        <f>COUNTIF(Documentos!A:A,A12&amp;"Proposicion")</f>
        <v>1</v>
      </c>
      <c r="N1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804 DP</v>
      </c>
      <c r="O1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2" s="67">
        <f>COUNTIF(Documentos!A:A,A12&amp;"Decreto")</f>
        <v>1</v>
      </c>
      <c r="U1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2659 DP</v>
      </c>
      <c r="V1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3" spans="1:26" x14ac:dyDescent="0.25">
      <c r="A13" s="19">
        <v>11</v>
      </c>
      <c r="B13" s="121" t="s">
        <v>1031</v>
      </c>
      <c r="C13" s="12"/>
      <c r="D13" s="12"/>
      <c r="E13" s="6"/>
      <c r="F13" s="65">
        <f>COUNTIF(Documentos!A:A,A13&amp;"Oficio_Solicitud")</f>
        <v>1</v>
      </c>
      <c r="G1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588 DGAcorreo</v>
      </c>
      <c r="H1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3" s="75">
        <f>COUNTIF(Documentos!A:A,A13&amp;"Proposicion")</f>
        <v>1</v>
      </c>
      <c r="N1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839 DGA</v>
      </c>
      <c r="O1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3" s="67">
        <f>COUNTIF(Documentos!A:A,A13&amp;"Decreto")</f>
        <v>1</v>
      </c>
      <c r="U1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29 DGA</v>
      </c>
      <c r="V1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4" spans="1:26" x14ac:dyDescent="0.25">
      <c r="A14" s="19">
        <v>12</v>
      </c>
      <c r="B14" s="121" t="s">
        <v>1032</v>
      </c>
      <c r="C14" s="12"/>
      <c r="D14" s="12"/>
      <c r="E14" s="6"/>
      <c r="F14" s="65">
        <f>COUNTIF(Documentos!A:A,A14&amp;"Oficio_Solicitud")</f>
        <v>1</v>
      </c>
      <c r="G1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589 DGA_FETCovid19correo</v>
      </c>
      <c r="H1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4" s="75">
        <f>COUNTIF(Documentos!A:A,A14&amp;"Proposicion")</f>
        <v>1</v>
      </c>
      <c r="N1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838 DGA_FETCovid19</v>
      </c>
      <c r="O1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4" s="67">
        <f>COUNTIF(Documentos!A:A,A14&amp;"Decreto")</f>
        <v>1</v>
      </c>
      <c r="U1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43 DGA_FETCovid19</v>
      </c>
      <c r="V1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5" spans="1:26" x14ac:dyDescent="0.25">
      <c r="A15" s="19">
        <v>13</v>
      </c>
      <c r="B15" s="121" t="s">
        <v>1033</v>
      </c>
      <c r="C15" s="12"/>
      <c r="D15" s="12"/>
      <c r="E15" s="6"/>
      <c r="F15" s="65">
        <f>COUNTIF(Documentos!A:A,A15&amp;"Oficio_Solicitud")</f>
        <v>1</v>
      </c>
      <c r="G1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545 DGOP</v>
      </c>
      <c r="H1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5" s="75">
        <f>COUNTIF(Documentos!A:A,A15&amp;"Proposicion")</f>
        <v>1</v>
      </c>
      <c r="N1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824 DGOP</v>
      </c>
      <c r="O1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5" s="67">
        <f>COUNTIF(Documentos!A:A,A15&amp;"Decreto")</f>
        <v>1</v>
      </c>
      <c r="U1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2671 DGOP</v>
      </c>
      <c r="V1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6" spans="1:26" x14ac:dyDescent="0.25">
      <c r="A16" s="19">
        <v>14</v>
      </c>
      <c r="B16" s="121" t="s">
        <v>1034</v>
      </c>
      <c r="C16" s="12"/>
      <c r="D16" s="12"/>
      <c r="E16" s="6"/>
      <c r="F16" s="65">
        <f>COUNTIF(Documentos!A:A,A16&amp;"Oficio_Solicitud")</f>
        <v>1</v>
      </c>
      <c r="G1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72 DP</v>
      </c>
      <c r="H1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6" s="75">
        <f>COUNTIF(Documentos!A:A,A16&amp;"Proposicion")</f>
        <v>1</v>
      </c>
      <c r="N1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819 DP</v>
      </c>
      <c r="O1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6" s="67">
        <f>COUNTIF(Documentos!A:A,A16&amp;"Decreto")</f>
        <v>1</v>
      </c>
      <c r="U1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2659 DP</v>
      </c>
      <c r="V1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7" spans="1:26" x14ac:dyDescent="0.25">
      <c r="A17" s="19">
        <v>15</v>
      </c>
      <c r="B17" s="121" t="s">
        <v>1035</v>
      </c>
      <c r="C17" s="12"/>
      <c r="D17" s="12"/>
      <c r="E17" s="6"/>
      <c r="F17" s="65">
        <f>COUNTIF(Documentos!A:A,A17&amp;"Oficio_Solicitud")</f>
        <v>1</v>
      </c>
      <c r="G1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686 DOP_FETCovid19</v>
      </c>
      <c r="H1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7" s="75">
        <f>COUNTIF(Documentos!A:A,A17&amp;"Proposicion")</f>
        <v>1</v>
      </c>
      <c r="N1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827 DOP_FETCovid19</v>
      </c>
      <c r="O1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7" s="67">
        <f>COUNTIF(Documentos!A:A,A17&amp;"Decreto")</f>
        <v>1</v>
      </c>
      <c r="U1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94 DOP_FETCovid19</v>
      </c>
      <c r="V1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8" spans="1:26" x14ac:dyDescent="0.25">
      <c r="A18" s="19">
        <v>16</v>
      </c>
      <c r="B18" s="121" t="s">
        <v>1036</v>
      </c>
      <c r="C18" s="12"/>
      <c r="D18" s="12"/>
      <c r="E18" s="6"/>
      <c r="F18" s="65">
        <f>COUNTIF(Documentos!A:A,A18&amp;"Oficio_Solicitud")</f>
        <v>1</v>
      </c>
      <c r="G1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605 DGAcorreo</v>
      </c>
      <c r="H1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8" s="75">
        <f>COUNTIF(Documentos!A:A,A18&amp;"Proposicion")</f>
        <v>1</v>
      </c>
      <c r="N1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856 DGA</v>
      </c>
      <c r="O1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8" s="67">
        <f>COUNTIF(Documentos!A:A,A18&amp;"Decreto")</f>
        <v>1</v>
      </c>
      <c r="U1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38 DGA</v>
      </c>
      <c r="V1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9" spans="1:26" x14ac:dyDescent="0.25">
      <c r="A19" s="19">
        <v>17</v>
      </c>
      <c r="B19" s="121" t="s">
        <v>1037</v>
      </c>
      <c r="C19" s="12"/>
      <c r="D19" s="12"/>
      <c r="E19" s="6"/>
      <c r="F19" s="65">
        <f>COUNTIF(Documentos!A:A,A19&amp;"Oficio_Solicitud")</f>
        <v>1</v>
      </c>
      <c r="G1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606 DGA_FETCovid19correo</v>
      </c>
      <c r="H1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9" s="75">
        <f>COUNTIF(Documentos!A:A,A19&amp;"Proposicion")</f>
        <v>1</v>
      </c>
      <c r="N1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858 DGA_FETCovid19</v>
      </c>
      <c r="O1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9" s="67">
        <f>COUNTIF(Documentos!A:A,A19&amp;"Decreto")</f>
        <v>1</v>
      </c>
      <c r="U1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113 DGA_FETCovid19</v>
      </c>
      <c r="V1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0" spans="1:26" x14ac:dyDescent="0.25">
      <c r="A20" s="19">
        <v>18</v>
      </c>
      <c r="B20" s="121" t="s">
        <v>1038</v>
      </c>
      <c r="C20" s="12"/>
      <c r="D20" s="12"/>
      <c r="E20" s="6"/>
      <c r="F20" s="65">
        <f>COUNTIF(Documentos!A:A,A20&amp;"Oficio_Solicitud")</f>
        <v>1</v>
      </c>
      <c r="G2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628 DAP</v>
      </c>
      <c r="H2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0" s="75">
        <f>COUNTIF(Documentos!A:A,A20&amp;"Proposicion")</f>
        <v>1</v>
      </c>
      <c r="N2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836 DAP</v>
      </c>
      <c r="O2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0" s="67">
        <f>COUNTIF(Documentos!A:A,A20&amp;"Decreto")</f>
        <v>1</v>
      </c>
      <c r="U2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27 DAP</v>
      </c>
      <c r="V2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1" spans="1:26" ht="135" x14ac:dyDescent="0.25">
      <c r="A21" s="19">
        <v>19</v>
      </c>
      <c r="B21" s="121" t="s">
        <v>1039</v>
      </c>
      <c r="C21" s="12"/>
      <c r="D21" s="12"/>
      <c r="E21" s="6"/>
      <c r="F21" s="65">
        <f>COUNTIF(Documentos!A:A,A21&amp;"Oficio_Solicitud")</f>
        <v>1</v>
      </c>
      <c r="G2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1374 DA</v>
      </c>
      <c r="H2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1" s="75">
        <f>COUNTIF(Documentos!A:A,A21&amp;"Proposicion")</f>
        <v>1</v>
      </c>
      <c r="N2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43 DA</v>
      </c>
      <c r="O2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1" s="67">
        <f>COUNTIF(Documentos!A:A,A21&amp;"Decreto")</f>
        <v>1</v>
      </c>
      <c r="U2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218 DA</v>
      </c>
      <c r="V2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2" spans="1:26" x14ac:dyDescent="0.25">
      <c r="A22" s="19">
        <v>20</v>
      </c>
      <c r="B22" s="121" t="s">
        <v>1040</v>
      </c>
      <c r="C22" s="12"/>
      <c r="D22" s="12"/>
      <c r="E22" s="6"/>
      <c r="F22" s="65">
        <f>COUNTIF(Documentos!A:A,A22&amp;"Oficio_Solicitud")</f>
        <v>1</v>
      </c>
      <c r="G2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1372 DA_FETCovid19</v>
      </c>
      <c r="H2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2" s="75">
        <f>COUNTIF(Documentos!A:A,A22&amp;"Proposicion")</f>
        <v>1</v>
      </c>
      <c r="N2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 DA_FETCovid19</v>
      </c>
      <c r="O2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2" s="67">
        <f>COUNTIF(Documentos!A:A,A22&amp;"Decreto")</f>
        <v>1</v>
      </c>
      <c r="U2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199 DA_FETCovid19</v>
      </c>
      <c r="V2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3" spans="1:26" ht="22.5" x14ac:dyDescent="0.25">
      <c r="A23" s="19">
        <v>21</v>
      </c>
      <c r="B23" s="121" t="s">
        <v>1041</v>
      </c>
      <c r="C23" s="12"/>
      <c r="D23" s="12"/>
      <c r="E23" s="6"/>
      <c r="F23" s="65">
        <f>COUNTIF(Documentos!A:A,A23&amp;"Oficio_Solicitud")</f>
        <v>1</v>
      </c>
      <c r="G2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1284 DGC</v>
      </c>
      <c r="H2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3" s="75">
        <f>COUNTIF(Documentos!A:A,A23&amp;"Proposicion")</f>
        <v>1</v>
      </c>
      <c r="N2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862 DGC</v>
      </c>
      <c r="O2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3" s="67">
        <f>COUNTIF(Documentos!A:A,A23&amp;"Decreto")</f>
        <v>1</v>
      </c>
      <c r="U2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116 DGC</v>
      </c>
      <c r="V2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4" spans="1:26" ht="22.5" x14ac:dyDescent="0.25">
      <c r="A24" s="19">
        <v>22</v>
      </c>
      <c r="B24" s="121" t="s">
        <v>1042</v>
      </c>
      <c r="C24" s="12"/>
      <c r="D24" s="12"/>
      <c r="E24" s="6"/>
      <c r="F24" s="65">
        <f>COUNTIF(Documentos!A:A,A24&amp;"Oficio_Solicitud")</f>
        <v>1</v>
      </c>
      <c r="G2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1285 DGC_FETCovid19</v>
      </c>
      <c r="H2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4" s="75">
        <f>COUNTIF(Documentos!A:A,A24&amp;"Proposicion")</f>
        <v>1</v>
      </c>
      <c r="N2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848 DGC_FETCovid19</v>
      </c>
      <c r="O2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4" s="67">
        <f>COUNTIF(Documentos!A:A,A24&amp;"Decreto")</f>
        <v>1</v>
      </c>
      <c r="U2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56 DGC_FETCovid19</v>
      </c>
      <c r="V2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5" spans="1:26" ht="22.5" x14ac:dyDescent="0.25">
      <c r="A25" s="19">
        <v>23</v>
      </c>
      <c r="B25" s="121" t="s">
        <v>1041</v>
      </c>
      <c r="C25" s="12"/>
      <c r="D25" s="12"/>
      <c r="E25" s="6"/>
      <c r="F25" s="65">
        <f>COUNTIF(Documentos!A:A,A25&amp;"Oficio_Solicitud")</f>
        <v>1</v>
      </c>
      <c r="G2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1286 DGC</v>
      </c>
      <c r="H2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5" s="75">
        <f>COUNTIF(Documentos!A:A,A25&amp;"Proposicion")</f>
        <v>1</v>
      </c>
      <c r="N2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857 DGC</v>
      </c>
      <c r="O2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5" s="67">
        <f>COUNTIF(Documentos!A:A,A25&amp;"Decreto")</f>
        <v>1</v>
      </c>
      <c r="U2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120 DGC</v>
      </c>
      <c r="V2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6" spans="1:26" x14ac:dyDescent="0.25">
      <c r="A26" s="19">
        <v>24</v>
      </c>
      <c r="B26" s="121" t="s">
        <v>1043</v>
      </c>
      <c r="C26" s="12"/>
      <c r="D26" s="12"/>
      <c r="E26" s="6"/>
      <c r="F26" s="65">
        <f>COUNTIF(Documentos!A:A,A26&amp;"Oficio_Solicitud")</f>
        <v>1</v>
      </c>
      <c r="G2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653 DAP_FETCovid19</v>
      </c>
      <c r="H2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6" s="75">
        <f>COUNTIF(Documentos!A:A,A26&amp;"Proposicion")</f>
        <v>1</v>
      </c>
      <c r="N2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845 DAP_FETCovid19</v>
      </c>
      <c r="O2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6" s="67">
        <f>COUNTIF(Documentos!A:A,A26&amp;"Decreto")</f>
        <v>1</v>
      </c>
      <c r="U2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121 DAP_FETCovid19</v>
      </c>
      <c r="V2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7" spans="1:26" x14ac:dyDescent="0.25">
      <c r="A27" s="19">
        <v>25</v>
      </c>
      <c r="B27" s="121" t="s">
        <v>1044</v>
      </c>
      <c r="C27" s="12"/>
      <c r="D27" s="12"/>
      <c r="E27" s="6"/>
      <c r="F27" s="65">
        <f>COUNTIF(Documentos!A:A,A27&amp;"Oficio_Solicitud")</f>
        <v>1</v>
      </c>
      <c r="G2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711 DOP</v>
      </c>
      <c r="H2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7" s="75">
        <f>COUNTIF(Documentos!A:A,A27&amp;"Proposicion")</f>
        <v>1</v>
      </c>
      <c r="N2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840 DOP</v>
      </c>
      <c r="O2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7" s="67">
        <f>COUNTIF(Documentos!A:A,A27&amp;"Decreto")</f>
        <v>1</v>
      </c>
      <c r="U2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118 DOP</v>
      </c>
      <c r="V2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8" spans="1:26" x14ac:dyDescent="0.25">
      <c r="A28" s="19">
        <v>26</v>
      </c>
      <c r="B28" s="121" t="s">
        <v>1045</v>
      </c>
      <c r="C28" s="12"/>
      <c r="D28" s="12"/>
      <c r="E28" s="6"/>
      <c r="F28" s="65">
        <f>COUNTIF(Documentos!A:A,A28&amp;"Oficio_Solicitud")</f>
        <v>1</v>
      </c>
      <c r="G2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3730 APR_FETCovid19</v>
      </c>
      <c r="H2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8" s="75">
        <f>COUNTIF(Documentos!A:A,A28&amp;"Proposicion")</f>
        <v>1</v>
      </c>
      <c r="N2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847 APR_FETCovid19</v>
      </c>
      <c r="O2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8" s="67">
        <f>COUNTIF(Documentos!A:A,A28&amp;"Decreto")</f>
        <v>1</v>
      </c>
      <c r="U2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46 APR_FETCovid19</v>
      </c>
      <c r="V2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9" spans="1:26" x14ac:dyDescent="0.25">
      <c r="A29" s="19">
        <v>27</v>
      </c>
      <c r="B29" s="121" t="s">
        <v>1046</v>
      </c>
      <c r="C29" s="12"/>
      <c r="D29" s="12"/>
      <c r="E29" s="6"/>
      <c r="F29" s="65">
        <f>COUNTIF(Documentos!A:A,A29&amp;"Oficio_Solicitud")</f>
        <v>1</v>
      </c>
      <c r="G2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3816 APRcorreo</v>
      </c>
      <c r="H2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9" s="75">
        <f>COUNTIF(Documentos!A:A,A29&amp;"Proposicion")</f>
        <v>1</v>
      </c>
      <c r="N2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 APR</v>
      </c>
      <c r="O2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9" s="67">
        <f>COUNTIF(Documentos!A:A,A29&amp;"Decreto")</f>
        <v>1</v>
      </c>
      <c r="U2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119 APR</v>
      </c>
      <c r="V2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0" spans="1:26" ht="22.5" x14ac:dyDescent="0.25">
      <c r="A30" s="19">
        <v>28</v>
      </c>
      <c r="B30" s="121" t="s">
        <v>1047</v>
      </c>
      <c r="C30" s="12"/>
      <c r="D30" s="12"/>
      <c r="E30" s="6"/>
      <c r="F30" s="65">
        <f>COUNTIF(Documentos!A:A,A30&amp;"Oficio_Solicitud")</f>
        <v>2</v>
      </c>
      <c r="G3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545 DGOP</v>
      </c>
      <c r="H3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529 DGOP</v>
      </c>
      <c r="I3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0" s="75">
        <f>COUNTIF(Documentos!A:A,A30&amp;"Proposicion")</f>
        <v>1</v>
      </c>
      <c r="N3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805 DGOP</v>
      </c>
      <c r="O3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0" s="67">
        <f>COUNTIF(Documentos!A:A,A30&amp;"Decreto")</f>
        <v>1</v>
      </c>
      <c r="U3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2671 DGOP</v>
      </c>
      <c r="V3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1" spans="1:26" ht="90" x14ac:dyDescent="0.25">
      <c r="A31" s="19">
        <v>29</v>
      </c>
      <c r="B31" s="121" t="s">
        <v>1048</v>
      </c>
      <c r="C31" s="12"/>
      <c r="D31" s="12"/>
      <c r="E31" s="6"/>
      <c r="F31" s="65">
        <f>COUNTIF(Documentos!A:A,A31&amp;"Oficio_Solicitud")</f>
        <v>2</v>
      </c>
      <c r="G3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11734 DV</v>
      </c>
      <c r="H3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12535 DV</v>
      </c>
      <c r="I3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1" s="75">
        <f>COUNTIF(Documentos!A:A,A31&amp;"Proposicion")</f>
        <v>3</v>
      </c>
      <c r="N3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865 DV</v>
      </c>
      <c r="O3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SOL 866 DV</v>
      </c>
      <c r="P3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SOL 872 DV</v>
      </c>
      <c r="Q3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1" s="67">
        <f>COUNTIF(Documentos!A:A,A31&amp;"Decreto")</f>
        <v>3</v>
      </c>
      <c r="U3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124 DV</v>
      </c>
      <c r="V3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148 DV</v>
      </c>
      <c r="Z3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DEC 187 DV</v>
      </c>
    </row>
    <row r="32" spans="1:26" ht="56.25" x14ac:dyDescent="0.25">
      <c r="A32" s="19">
        <v>30</v>
      </c>
      <c r="B32" s="121" t="s">
        <v>1049</v>
      </c>
      <c r="C32" s="12"/>
      <c r="D32" s="12"/>
      <c r="E32" s="6"/>
      <c r="F32" s="65">
        <f>COUNTIF(Documentos!A:A,A32&amp;"Oficio_Solicitud")</f>
        <v>1</v>
      </c>
      <c r="G3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11734 DV_FETCovid19</v>
      </c>
      <c r="H3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2" s="75">
        <f>COUNTIF(Documentos!A:A,A32&amp;"Proposicion")</f>
        <v>1</v>
      </c>
      <c r="N3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865 DV_FETCovid19</v>
      </c>
      <c r="O3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2" s="67">
        <f>COUNTIF(Documentos!A:A,A32&amp;"Decreto")</f>
        <v>1</v>
      </c>
      <c r="U3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134 DV_FETCovid19</v>
      </c>
      <c r="V3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3" spans="1:26" ht="22.5" x14ac:dyDescent="0.25">
      <c r="A33" s="19">
        <v>31</v>
      </c>
      <c r="B33" s="121" t="s">
        <v>1050</v>
      </c>
      <c r="C33" s="12"/>
      <c r="D33" s="12"/>
      <c r="E33" s="6"/>
      <c r="F33" s="65">
        <f>COUNTIF(Documentos!A:A,A33&amp;"Oficio_Solicitud")</f>
        <v>0</v>
      </c>
      <c r="G3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3" s="75">
        <f>COUNTIF(Documentos!A:A,A33&amp;"Proposicion")</f>
        <v>0</v>
      </c>
      <c r="N3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3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3" s="67">
        <f>COUNTIF(Documentos!A:A,A33&amp;"Decreto")</f>
        <v>0</v>
      </c>
      <c r="U3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4" spans="1:26" ht="101.25" x14ac:dyDescent="0.25">
      <c r="A34" s="19">
        <v>32</v>
      </c>
      <c r="B34" s="121" t="s">
        <v>1051</v>
      </c>
      <c r="C34" s="12"/>
      <c r="D34" s="12"/>
      <c r="E34" s="6"/>
      <c r="F34" s="65">
        <f>COUNTIF(Documentos!A:A,A34&amp;"Oficio_Solicitud")</f>
        <v>1</v>
      </c>
      <c r="G3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12535 DVcorreo</v>
      </c>
      <c r="H3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4" s="75">
        <f>COUNTIF(Documentos!A:A,A34&amp;"Proposicion")</f>
        <v>1</v>
      </c>
      <c r="N3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44 DV</v>
      </c>
      <c r="O3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4" s="67">
        <f>COUNTIF(Documentos!A:A,A34&amp;"Decreto")</f>
        <v>1</v>
      </c>
      <c r="U3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230 DV</v>
      </c>
      <c r="V3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5" spans="1:26" ht="33.75" x14ac:dyDescent="0.25">
      <c r="A35" s="19">
        <v>33</v>
      </c>
      <c r="B35" s="121" t="s">
        <v>1052</v>
      </c>
      <c r="C35" s="12"/>
      <c r="D35" s="12"/>
      <c r="E35" s="6"/>
      <c r="F35" s="65">
        <f>COUNTIF(Documentos!A:A,A35&amp;"Oficio_Solicitud")</f>
        <v>0</v>
      </c>
      <c r="G3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5" s="75">
        <f>COUNTIF(Documentos!A:A,A35&amp;"Proposicion")</f>
        <v>1</v>
      </c>
      <c r="N3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881 DV</v>
      </c>
      <c r="O3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5" s="67">
        <f>COUNTIF(Documentos!A:A,A35&amp;"Decreto")</f>
        <v>0</v>
      </c>
      <c r="U3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6" spans="1:26" x14ac:dyDescent="0.25">
      <c r="A36" s="19">
        <v>34</v>
      </c>
      <c r="B36" s="121" t="s">
        <v>1053</v>
      </c>
      <c r="C36" s="12"/>
      <c r="D36" s="12"/>
      <c r="E36" s="6"/>
      <c r="F36" s="65">
        <f>COUNTIF(Documentos!A:A,A36&amp;"Oficio_Solicitud")</f>
        <v>2</v>
      </c>
      <c r="G3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72 DP</v>
      </c>
      <c r="H3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68 DP</v>
      </c>
      <c r="I3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6" s="75">
        <f>COUNTIF(Documentos!A:A,A36&amp;"Proposicion")</f>
        <v>1</v>
      </c>
      <c r="N3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804 DP</v>
      </c>
      <c r="O3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6" s="67">
        <f>COUNTIF(Documentos!A:A,A36&amp;"Decreto")</f>
        <v>1</v>
      </c>
      <c r="U3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2659 DP</v>
      </c>
      <c r="V3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7" spans="1:26" x14ac:dyDescent="0.25">
      <c r="A37" s="19">
        <v>35</v>
      </c>
      <c r="B37" s="121" t="s">
        <v>1033</v>
      </c>
      <c r="C37" s="12"/>
      <c r="D37" s="12"/>
      <c r="E37" s="6"/>
      <c r="F37" s="65">
        <f>COUNTIF(Documentos!A:A,A37&amp;"Oficio_Solicitud")</f>
        <v>2</v>
      </c>
      <c r="G3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606 DAP</v>
      </c>
      <c r="H3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592 DAP</v>
      </c>
      <c r="I3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7" s="75">
        <f>COUNTIF(Documentos!A:A,A37&amp;"Proposicion")</f>
        <v>2</v>
      </c>
      <c r="N3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803 DAP</v>
      </c>
      <c r="O3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SOL 802 DAP</v>
      </c>
      <c r="P3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7" s="67">
        <f>COUNTIF(Documentos!A:A,A37&amp;"Decreto")</f>
        <v>1</v>
      </c>
      <c r="U3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2690 DAP</v>
      </c>
      <c r="V3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8" spans="1:26" x14ac:dyDescent="0.25">
      <c r="A38" s="19">
        <v>36</v>
      </c>
      <c r="B38" s="121" t="s">
        <v>1033</v>
      </c>
      <c r="C38" s="12"/>
      <c r="D38" s="12"/>
      <c r="E38" s="6"/>
      <c r="F38" s="65">
        <f>COUNTIF(Documentos!A:A,A38&amp;"Oficio_Solicitud")</f>
        <v>1</v>
      </c>
      <c r="G3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3696 DOH</v>
      </c>
      <c r="H3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8" s="75">
        <f>COUNTIF(Documentos!A:A,A38&amp;"Proposicion")</f>
        <v>1</v>
      </c>
      <c r="N3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882 DOH</v>
      </c>
      <c r="O3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8" s="67">
        <f>COUNTIF(Documentos!A:A,A38&amp;"Decreto")</f>
        <v>1</v>
      </c>
      <c r="U3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111 DOH</v>
      </c>
      <c r="V3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9" spans="1:26" x14ac:dyDescent="0.25">
      <c r="A39" s="19">
        <v>37</v>
      </c>
      <c r="B39" s="121" t="s">
        <v>1033</v>
      </c>
      <c r="C39" s="12"/>
      <c r="D39" s="12"/>
      <c r="E39" s="6"/>
      <c r="F39" s="65">
        <f>COUNTIF(Documentos!A:A,A39&amp;"Oficio_Solicitud")</f>
        <v>1</v>
      </c>
      <c r="G3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3697 DOH_FETCovid19</v>
      </c>
      <c r="H3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9" s="75">
        <f>COUNTIF(Documentos!A:A,A39&amp;"Proposicion")</f>
        <v>1</v>
      </c>
      <c r="N3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16 DOH_FETCovid19</v>
      </c>
      <c r="O3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9" s="67">
        <f>COUNTIF(Documentos!A:A,A39&amp;"Decreto")</f>
        <v>1</v>
      </c>
      <c r="U3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200 DOH_FETCovid19</v>
      </c>
      <c r="V3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0" spans="1:26" ht="56.25" x14ac:dyDescent="0.25">
      <c r="A40" s="19">
        <v>38</v>
      </c>
      <c r="B40" s="121" t="s">
        <v>1054</v>
      </c>
      <c r="C40" s="12"/>
      <c r="D40" s="12"/>
      <c r="E40" s="6"/>
      <c r="F40" s="65">
        <f>COUNTIF(Documentos!A:A,A40&amp;"Oficio_Solicitud")</f>
        <v>1</v>
      </c>
      <c r="G4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1445 DGC</v>
      </c>
      <c r="H4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0" s="75">
        <f>COUNTIF(Documentos!A:A,A40&amp;"Proposicion")</f>
        <v>1</v>
      </c>
      <c r="N4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30 DGC</v>
      </c>
      <c r="O4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0" s="67">
        <f>COUNTIF(Documentos!A:A,A40&amp;"Decreto")</f>
        <v>1</v>
      </c>
      <c r="U4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177 DGC</v>
      </c>
      <c r="V4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1" spans="1:26" x14ac:dyDescent="0.25">
      <c r="A41" s="19">
        <v>39</v>
      </c>
      <c r="B41" s="121"/>
      <c r="C41" s="12"/>
      <c r="D41" s="12"/>
      <c r="E41" s="6"/>
      <c r="F41" s="65">
        <f>COUNTIF(Documentos!A:A,A41&amp;"Oficio_Solicitud")</f>
        <v>1</v>
      </c>
      <c r="G4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3537 SISS</v>
      </c>
      <c r="H4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1" s="75">
        <f>COUNTIF(Documentos!A:A,A41&amp;"Proposicion")</f>
        <v>1</v>
      </c>
      <c r="N4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 SISS</v>
      </c>
      <c r="O4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1" s="67">
        <f>COUNTIF(Documentos!A:A,A41&amp;"Decreto")</f>
        <v>1</v>
      </c>
      <c r="U4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114 SISS</v>
      </c>
      <c r="V4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2" spans="1:26" ht="56.25" x14ac:dyDescent="0.25">
      <c r="A42" s="19">
        <v>40</v>
      </c>
      <c r="B42" s="121" t="s">
        <v>1055</v>
      </c>
      <c r="C42" s="6"/>
      <c r="D42" s="6"/>
      <c r="E42" s="6"/>
      <c r="F42" s="65">
        <f>COUNTIF(Documentos!A:A,A42&amp;"Oficio_Solicitud")</f>
        <v>2</v>
      </c>
      <c r="G4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4480 DGC_FETCovid19</v>
      </c>
      <c r="H4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1353 DGC_FETCovid19</v>
      </c>
      <c r="I4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2" s="75">
        <f>COUNTIF(Documentos!A:A,A42&amp;"Proposicion")</f>
        <v>1</v>
      </c>
      <c r="N4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351 DGC_FETCovid19</v>
      </c>
      <c r="O4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2" s="67">
        <f>COUNTIF(Documentos!A:A,A42&amp;"Decreto")</f>
        <v>0</v>
      </c>
      <c r="U4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3" spans="1:26" x14ac:dyDescent="0.25">
      <c r="A43" s="19">
        <v>41</v>
      </c>
      <c r="B43" s="121" t="s">
        <v>1056</v>
      </c>
      <c r="C43" s="12"/>
      <c r="D43" s="12"/>
      <c r="E43" s="6"/>
      <c r="F43" s="65">
        <f>COUNTIF(Documentos!A:A,A43&amp;"Oficio_Solicitud")</f>
        <v>1</v>
      </c>
      <c r="G4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48 APRcorreo</v>
      </c>
      <c r="H4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3" s="75">
        <f>COUNTIF(Documentos!A:A,A43&amp;"Proposicion")</f>
        <v>1</v>
      </c>
      <c r="N4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63 APR</v>
      </c>
      <c r="O4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3" s="67">
        <f>COUNTIF(Documentos!A:A,A43&amp;"Decreto")</f>
        <v>1</v>
      </c>
      <c r="U4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341 APR</v>
      </c>
      <c r="V4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4" spans="1:26" x14ac:dyDescent="0.25">
      <c r="A44" s="19">
        <v>42</v>
      </c>
      <c r="B44" s="121" t="s">
        <v>1057</v>
      </c>
      <c r="C44" s="12"/>
      <c r="D44" s="12"/>
      <c r="E44" s="6"/>
      <c r="F44" s="65">
        <f>COUNTIF(Documentos!A:A,A44&amp;"Oficio_Solicitud")</f>
        <v>1</v>
      </c>
      <c r="G4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47 APR_FETCovid19correo</v>
      </c>
      <c r="H4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4" s="75">
        <f>COUNTIF(Documentos!A:A,A44&amp;"Proposicion")</f>
        <v>1</v>
      </c>
      <c r="N4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65 APR_FETCovid19</v>
      </c>
      <c r="O4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4" s="67">
        <f>COUNTIF(Documentos!A:A,A44&amp;"Decreto")</f>
        <v>1</v>
      </c>
      <c r="U4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331 APR_FETCovid19</v>
      </c>
      <c r="V4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5" spans="1:26" x14ac:dyDescent="0.25">
      <c r="A45" s="19">
        <v>43</v>
      </c>
      <c r="B45" s="121"/>
      <c r="C45" s="12"/>
      <c r="D45" s="12"/>
      <c r="E45" s="6"/>
      <c r="F45" s="65">
        <f>COUNTIF(Documentos!A:A,A45&amp;"Oficio_Solicitud")</f>
        <v>1</v>
      </c>
      <c r="G4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 DA_FETCovid19</v>
      </c>
      <c r="H4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5" s="75">
        <f>COUNTIF(Documentos!A:A,A45&amp;"Proposicion")</f>
        <v>1</v>
      </c>
      <c r="N4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52 DA_FETCovid19</v>
      </c>
      <c r="O4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5" s="67">
        <f>COUNTIF(Documentos!A:A,A45&amp;"Decreto")</f>
        <v>1</v>
      </c>
      <c r="U4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367 DA_FETCovid19</v>
      </c>
      <c r="V4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6" spans="1:26" ht="45" x14ac:dyDescent="0.25">
      <c r="A46" s="19">
        <v>44</v>
      </c>
      <c r="B46" s="121" t="s">
        <v>1058</v>
      </c>
      <c r="C46" s="12"/>
      <c r="D46" s="12"/>
      <c r="E46" s="6"/>
      <c r="F46" s="65">
        <f>COUNTIF(Documentos!A:A,A46&amp;"Oficio_Solicitud")</f>
        <v>1</v>
      </c>
      <c r="G4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426 DV-DV_FETCovid19correo</v>
      </c>
      <c r="H4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6" s="75">
        <f>COUNTIF(Documentos!A:A,A46&amp;"Proposicion")</f>
        <v>0</v>
      </c>
      <c r="N4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6" s="67">
        <f>COUNTIF(Documentos!A:A,A46&amp;"Decreto")</f>
        <v>0</v>
      </c>
      <c r="U4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7" spans="1:26" ht="22.5" x14ac:dyDescent="0.25">
      <c r="A47" s="19">
        <v>45</v>
      </c>
      <c r="B47" s="121" t="s">
        <v>1059</v>
      </c>
      <c r="C47" s="12"/>
      <c r="D47" s="12"/>
      <c r="E47" s="6"/>
      <c r="F47" s="65">
        <f>COUNTIF(Documentos!A:A,A47&amp;"Oficio_Solicitud")</f>
        <v>1</v>
      </c>
      <c r="G4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 DGA</v>
      </c>
      <c r="H4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7" s="75">
        <f>COUNTIF(Documentos!A:A,A47&amp;"Proposicion")</f>
        <v>1</v>
      </c>
      <c r="N4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30 DGA</v>
      </c>
      <c r="O4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7" s="67">
        <f>COUNTIF(Documentos!A:A,A47&amp;"Decreto")</f>
        <v>1</v>
      </c>
      <c r="U4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267 DGA</v>
      </c>
      <c r="V4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8" spans="1:26" ht="22.5" x14ac:dyDescent="0.25">
      <c r="A48" s="19">
        <v>46</v>
      </c>
      <c r="B48" s="121" t="s">
        <v>1060</v>
      </c>
      <c r="C48" s="12"/>
      <c r="D48" s="12"/>
      <c r="E48" s="6"/>
      <c r="F48" s="65">
        <f>COUNTIF(Documentos!A:A,A48&amp;"Oficio_Solicitud")</f>
        <v>1</v>
      </c>
      <c r="G4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499 DV</v>
      </c>
      <c r="H4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8" s="75">
        <f>COUNTIF(Documentos!A:A,A48&amp;"Proposicion")</f>
        <v>1</v>
      </c>
      <c r="N4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34 DV</v>
      </c>
      <c r="O4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8" s="67">
        <f>COUNTIF(Documentos!A:A,A48&amp;"Decreto")</f>
        <v>1</v>
      </c>
      <c r="U4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176 DV</v>
      </c>
      <c r="V4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9" spans="1:26" x14ac:dyDescent="0.25">
      <c r="A49" s="19">
        <v>47</v>
      </c>
      <c r="B49" s="121"/>
      <c r="C49" s="12"/>
      <c r="D49" s="12"/>
      <c r="E49" s="6"/>
      <c r="F49" s="65">
        <f>COUNTIF(Documentos!A:A,A49&amp;"Oficio_Solicitud")</f>
        <v>0</v>
      </c>
      <c r="G4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9" s="75">
        <f>COUNTIF(Documentos!A:A,A49&amp;"Proposicion")</f>
        <v>1</v>
      </c>
      <c r="N4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184 SISS</v>
      </c>
      <c r="O4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9" s="67">
        <f>COUNTIF(Documentos!A:A,A49&amp;"Decreto")</f>
        <v>0</v>
      </c>
      <c r="U4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0" spans="1:26" ht="45" x14ac:dyDescent="0.25">
      <c r="A50" s="19">
        <v>48</v>
      </c>
      <c r="B50" s="121" t="s">
        <v>1061</v>
      </c>
      <c r="C50" s="12"/>
      <c r="D50" s="12"/>
      <c r="E50" s="6"/>
      <c r="F50" s="65">
        <f>COUNTIF(Documentos!A:A,A50&amp;"Oficio_Solicitud")</f>
        <v>1</v>
      </c>
      <c r="G5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163 DOH</v>
      </c>
      <c r="H5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0" s="75">
        <f>COUNTIF(Documentos!A:A,A50&amp;"Proposicion")</f>
        <v>1</v>
      </c>
      <c r="N5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 DOH</v>
      </c>
      <c r="O5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0" s="67">
        <f>COUNTIF(Documentos!A:A,A50&amp;"Decreto")</f>
        <v>1</v>
      </c>
      <c r="U5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327 DOH</v>
      </c>
      <c r="V5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1" spans="1:26" ht="22.5" x14ac:dyDescent="0.25">
      <c r="A51" s="19">
        <v>49</v>
      </c>
      <c r="B51" s="121" t="s">
        <v>1062</v>
      </c>
      <c r="C51" s="12"/>
      <c r="D51" s="12"/>
      <c r="E51" s="6"/>
      <c r="F51" s="65">
        <f>COUNTIF(Documentos!A:A,A51&amp;"Oficio_Solicitud")</f>
        <v>1</v>
      </c>
      <c r="G5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156 DOH_FETCovid19</v>
      </c>
      <c r="H5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1" s="75">
        <f>COUNTIF(Documentos!A:A,A51&amp;"Proposicion")</f>
        <v>1</v>
      </c>
      <c r="N5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61 DOH_FETCovid19</v>
      </c>
      <c r="O5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1" s="67">
        <f>COUNTIF(Documentos!A:A,A51&amp;"Decreto")</f>
        <v>1</v>
      </c>
      <c r="U5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309 DOH_FETCovid19</v>
      </c>
      <c r="V5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2" spans="1:26" x14ac:dyDescent="0.25">
      <c r="A52" s="19">
        <v>50</v>
      </c>
      <c r="B52" s="121"/>
      <c r="C52" s="12"/>
      <c r="D52" s="12"/>
      <c r="E52" s="6"/>
      <c r="F52" s="65">
        <f>COUNTIF(Documentos!A:A,A52&amp;"Oficio_Solicitud")</f>
        <v>0</v>
      </c>
      <c r="G5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2" s="75">
        <f>COUNTIF(Documentos!A:A,A52&amp;"Proposicion")</f>
        <v>0</v>
      </c>
      <c r="N5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5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2" s="67">
        <f>COUNTIF(Documentos!A:A,A52&amp;"Decreto")</f>
        <v>1</v>
      </c>
      <c r="U5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45 MOP-MOP_FETCovid19</v>
      </c>
      <c r="V5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3" spans="1:26" ht="22.5" x14ac:dyDescent="0.25">
      <c r="A53" s="19">
        <v>51</v>
      </c>
      <c r="B53" s="121" t="s">
        <v>1063</v>
      </c>
      <c r="C53" s="12"/>
      <c r="D53" s="12"/>
      <c r="E53" s="6"/>
      <c r="F53" s="65">
        <f>COUNTIF(Documentos!A:A,A53&amp;"Oficio_Solicitud")</f>
        <v>1</v>
      </c>
      <c r="G5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579 DV</v>
      </c>
      <c r="H5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3" s="75">
        <f>COUNTIF(Documentos!A:A,A53&amp;"Proposicion")</f>
        <v>0</v>
      </c>
      <c r="N5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5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3" s="67">
        <f>COUNTIF(Documentos!A:A,A53&amp;"Decreto")</f>
        <v>0</v>
      </c>
      <c r="U5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4" spans="1:26" ht="22.5" x14ac:dyDescent="0.25">
      <c r="A54" s="19">
        <v>52</v>
      </c>
      <c r="B54" s="121" t="s">
        <v>1041</v>
      </c>
      <c r="C54" s="12"/>
      <c r="D54" s="12"/>
      <c r="E54" s="6"/>
      <c r="F54" s="65">
        <f>COUNTIF(Documentos!A:A,A54&amp;"Oficio_Solicitud")</f>
        <v>1</v>
      </c>
      <c r="G5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1285 DGC</v>
      </c>
      <c r="H5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4" s="75">
        <f>COUNTIF(Documentos!A:A,A54&amp;"Proposicion")</f>
        <v>1</v>
      </c>
      <c r="N5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848 DGC</v>
      </c>
      <c r="O5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4" s="67">
        <f>COUNTIF(Documentos!A:A,A54&amp;"Decreto")</f>
        <v>1</v>
      </c>
      <c r="U5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57 DGC</v>
      </c>
      <c r="V5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5" spans="1:26" ht="22.5" x14ac:dyDescent="0.25">
      <c r="A55" s="19">
        <v>53</v>
      </c>
      <c r="B55" s="121" t="s">
        <v>1064</v>
      </c>
      <c r="C55" s="12"/>
      <c r="D55" s="12"/>
      <c r="E55" s="6"/>
      <c r="F55" s="65">
        <f>COUNTIF(Documentos!A:A,A55&amp;"Oficio_Solicitud")</f>
        <v>1</v>
      </c>
      <c r="G5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591 DAP_FETCovid19</v>
      </c>
      <c r="H5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5" s="75">
        <f>COUNTIF(Documentos!A:A,A55&amp;"Proposicion")</f>
        <v>1</v>
      </c>
      <c r="N5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807 DAP_FETCovid19</v>
      </c>
      <c r="O5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5" s="67">
        <f>COUNTIF(Documentos!A:A,A55&amp;"Decreto")</f>
        <v>1</v>
      </c>
      <c r="U5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55 DAP_FETCovid19</v>
      </c>
      <c r="V5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6" spans="1:26" ht="33.75" x14ac:dyDescent="0.25">
      <c r="A56" s="19">
        <v>54</v>
      </c>
      <c r="B56" s="121" t="s">
        <v>1065</v>
      </c>
      <c r="C56" s="12"/>
      <c r="D56" s="12"/>
      <c r="E56" s="6"/>
      <c r="F56" s="65">
        <f>COUNTIF(Documentos!A:A,A56&amp;"Oficio_Solicitud")</f>
        <v>1</v>
      </c>
      <c r="G5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591 DAP</v>
      </c>
      <c r="H5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6" s="75">
        <f>COUNTIF(Documentos!A:A,A56&amp;"Proposicion")</f>
        <v>1</v>
      </c>
      <c r="N5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807 DAP</v>
      </c>
      <c r="O5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6" s="67">
        <f>COUNTIF(Documentos!A:A,A56&amp;"Decreto")</f>
        <v>1</v>
      </c>
      <c r="U5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50 DAP</v>
      </c>
      <c r="V5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7" spans="1:26" x14ac:dyDescent="0.25">
      <c r="A57" s="19">
        <v>55</v>
      </c>
      <c r="B57" s="121"/>
      <c r="C57" s="12"/>
      <c r="D57" s="12"/>
      <c r="E57" s="6"/>
      <c r="F57" s="65">
        <f>COUNTIF(Documentos!A:A,A57&amp;"Oficio_Solicitud")</f>
        <v>1</v>
      </c>
      <c r="G5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32 DAP</v>
      </c>
      <c r="H5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7" s="75">
        <f>COUNTIF(Documentos!A:A,A57&amp;"Proposicion")</f>
        <v>1</v>
      </c>
      <c r="N5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54 DAP</v>
      </c>
      <c r="O5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7" s="67">
        <f>COUNTIF(Documentos!A:A,A57&amp;"Decreto")</f>
        <v>0</v>
      </c>
      <c r="U5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8" spans="1:26" ht="22.5" x14ac:dyDescent="0.25">
      <c r="A58" s="19">
        <v>56</v>
      </c>
      <c r="B58" s="121" t="s">
        <v>1066</v>
      </c>
      <c r="C58" s="12"/>
      <c r="D58" s="12"/>
      <c r="E58" s="6"/>
      <c r="F58" s="65">
        <f>COUNTIF(Documentos!A:A,A58&amp;"Oficio_Solicitud")</f>
        <v>1</v>
      </c>
      <c r="G5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94 DGC</v>
      </c>
      <c r="H5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8" s="75">
        <f>COUNTIF(Documentos!A:A,A58&amp;"Proposicion")</f>
        <v>1</v>
      </c>
      <c r="N5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45 DGC</v>
      </c>
      <c r="O5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8" s="67">
        <f>COUNTIF(Documentos!A:A,A58&amp;"Decreto")</f>
        <v>1</v>
      </c>
      <c r="U5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219 DGC</v>
      </c>
      <c r="V5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9" spans="1:26" ht="56.25" x14ac:dyDescent="0.25">
      <c r="A59" s="19">
        <v>57</v>
      </c>
      <c r="B59" s="121" t="s">
        <v>1067</v>
      </c>
      <c r="C59" s="12"/>
      <c r="D59" s="12"/>
      <c r="E59" s="6"/>
      <c r="F59" s="65">
        <f>COUNTIF(Documentos!A:A,A59&amp;"Oficio_Solicitud")</f>
        <v>1</v>
      </c>
      <c r="G5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96 DGC</v>
      </c>
      <c r="H5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9" s="75">
        <f>COUNTIF(Documentos!A:A,A59&amp;"Proposicion")</f>
        <v>1</v>
      </c>
      <c r="N5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51 DGC</v>
      </c>
      <c r="O5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9" s="67">
        <f>COUNTIF(Documentos!A:A,A59&amp;"Decreto")</f>
        <v>1</v>
      </c>
      <c r="U5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220 DGC</v>
      </c>
      <c r="V5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60" spans="1:26" ht="22.5" x14ac:dyDescent="0.25">
      <c r="A60" s="19">
        <v>58</v>
      </c>
      <c r="B60" s="121" t="s">
        <v>1068</v>
      </c>
      <c r="C60" s="12"/>
      <c r="D60" s="12"/>
      <c r="E60" s="6"/>
      <c r="F60" s="65">
        <f>COUNTIF(Documentos!A:A,A60&amp;"Oficio_Solicitud")</f>
        <v>1</v>
      </c>
      <c r="G6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 DP</v>
      </c>
      <c r="H6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6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6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6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6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60" s="75">
        <f>COUNTIF(Documentos!A:A,A60&amp;"Proposicion")</f>
        <v>1</v>
      </c>
      <c r="N6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55 DP</v>
      </c>
      <c r="O6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6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6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6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6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60" s="67">
        <f>COUNTIF(Documentos!A:A,A60&amp;"Decreto")</f>
        <v>0</v>
      </c>
      <c r="U6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6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6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61" spans="1:26" x14ac:dyDescent="0.25">
      <c r="A61" s="19">
        <v>59</v>
      </c>
      <c r="B61" s="121"/>
      <c r="C61" s="12"/>
      <c r="D61" s="12"/>
      <c r="E61" s="6"/>
      <c r="F61" s="65">
        <f>COUNTIF(Documentos!A:A,A61&amp;"Oficio_Solicitud")</f>
        <v>1</v>
      </c>
      <c r="G6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693 DV</v>
      </c>
      <c r="H6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6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6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6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6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61" s="75">
        <f>COUNTIF(Documentos!A:A,A61&amp;"Proposicion")</f>
        <v>1</v>
      </c>
      <c r="N6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64 DV</v>
      </c>
      <c r="O6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6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6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6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6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61" s="67">
        <f>COUNTIF(Documentos!A:A,A61&amp;"Decreto")</f>
        <v>1</v>
      </c>
      <c r="U6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304 DV</v>
      </c>
      <c r="V6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6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62" spans="1:26" ht="22.5" x14ac:dyDescent="0.25">
      <c r="A62" s="19">
        <v>60</v>
      </c>
      <c r="B62" s="121" t="s">
        <v>1069</v>
      </c>
      <c r="C62" s="12"/>
      <c r="D62" s="12"/>
      <c r="E62" s="6"/>
      <c r="F62" s="65">
        <f>COUNTIF(Documentos!A:A,A62&amp;"Oficio_Solicitud")</f>
        <v>1</v>
      </c>
      <c r="G6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65 DOP_FETCovid19</v>
      </c>
      <c r="H6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6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6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6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6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62" s="75">
        <f>COUNTIF(Documentos!A:A,A62&amp;"Proposicion")</f>
        <v>1</v>
      </c>
      <c r="N6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53 DOP_FETCovid19</v>
      </c>
      <c r="O6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6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6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6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6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62" s="67">
        <f>COUNTIF(Documentos!A:A,A62&amp;"Decreto")</f>
        <v>1</v>
      </c>
      <c r="U6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402 DOP_FETCovid19</v>
      </c>
      <c r="V6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6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63" spans="1:26" x14ac:dyDescent="0.25">
      <c r="A63" s="19">
        <v>61</v>
      </c>
      <c r="B63" s="121" t="s">
        <v>1070</v>
      </c>
      <c r="C63" s="12"/>
      <c r="D63" s="12"/>
      <c r="E63" s="6"/>
      <c r="F63" s="65">
        <f>COUNTIF(Documentos!A:A,A63&amp;"Oficio_Solicitud")</f>
        <v>1</v>
      </c>
      <c r="G6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271 SISS</v>
      </c>
      <c r="H6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6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6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6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6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63" s="75">
        <f>COUNTIF(Documentos!A:A,A63&amp;"Proposicion")</f>
        <v>1</v>
      </c>
      <c r="N6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77 SISS</v>
      </c>
      <c r="O6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6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6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6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6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63" s="67">
        <f>COUNTIF(Documentos!A:A,A63&amp;"Decreto")</f>
        <v>1</v>
      </c>
      <c r="U6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303 SISS</v>
      </c>
      <c r="V6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6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64" spans="1:26" x14ac:dyDescent="0.25">
      <c r="A64" s="19">
        <v>62</v>
      </c>
      <c r="B64" s="121"/>
      <c r="C64" s="12"/>
      <c r="D64" s="12"/>
      <c r="E64" s="6"/>
      <c r="F64" s="65">
        <f>COUNTIF(Documentos!A:A,A64&amp;"Oficio_Solicitud")</f>
        <v>1</v>
      </c>
      <c r="G6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257 APRcorreo</v>
      </c>
      <c r="H6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6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6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6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6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64" s="75">
        <f>COUNTIF(Documentos!A:A,A64&amp;"Proposicion")</f>
        <v>1</v>
      </c>
      <c r="N6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89 APR</v>
      </c>
      <c r="O6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6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6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6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6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64" s="67">
        <f>COUNTIF(Documentos!A:A,A64&amp;"Decreto")</f>
        <v>1</v>
      </c>
      <c r="U6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381 APR</v>
      </c>
      <c r="V6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6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65" spans="1:26" x14ac:dyDescent="0.25">
      <c r="A65" s="19">
        <v>63</v>
      </c>
      <c r="B65" s="121" t="s">
        <v>1071</v>
      </c>
      <c r="C65" s="12"/>
      <c r="D65" s="12"/>
      <c r="E65" s="6"/>
      <c r="F65" s="65">
        <f>COUNTIF(Documentos!A:A,A65&amp;"Oficio_Solicitud")</f>
        <v>1</v>
      </c>
      <c r="G6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258 APRcorreo</v>
      </c>
      <c r="H6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6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6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6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6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65" s="75">
        <f>COUNTIF(Documentos!A:A,A65&amp;"Proposicion")</f>
        <v>1</v>
      </c>
      <c r="N6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88 APR</v>
      </c>
      <c r="O6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6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6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6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6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65" s="67">
        <f>COUNTIF(Documentos!A:A,A65&amp;"Decreto")</f>
        <v>2</v>
      </c>
      <c r="U6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693 APR</v>
      </c>
      <c r="V6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694 APR</v>
      </c>
      <c r="Z6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66" spans="1:26" ht="22.5" x14ac:dyDescent="0.25">
      <c r="A66" s="19">
        <v>64</v>
      </c>
      <c r="B66" s="122" t="s">
        <v>1072</v>
      </c>
      <c r="C66" s="13"/>
      <c r="D66" s="13"/>
      <c r="E66" s="6"/>
      <c r="F66" s="65">
        <f>COUNTIF(Documentos!A:A,A66&amp;"Oficio_Solicitud")</f>
        <v>1</v>
      </c>
      <c r="G6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259 APRcorreo</v>
      </c>
      <c r="H6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6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6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6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6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66" s="75">
        <f>COUNTIF(Documentos!A:A,A66&amp;"Proposicion")</f>
        <v>1</v>
      </c>
      <c r="N6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87 APR</v>
      </c>
      <c r="O6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6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6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6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6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66" s="67">
        <f>COUNTIF(Documentos!A:A,A66&amp;"Decreto")</f>
        <v>2</v>
      </c>
      <c r="U6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605 APR</v>
      </c>
      <c r="V6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607 APR</v>
      </c>
      <c r="Z6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67" spans="1:26" x14ac:dyDescent="0.25">
      <c r="A67" s="19">
        <v>65</v>
      </c>
      <c r="B67" s="121"/>
      <c r="C67" s="12"/>
      <c r="D67" s="12"/>
      <c r="E67" s="6"/>
      <c r="F67" s="65">
        <f>COUNTIF(Documentos!A:A,A67&amp;"Oficio_Solicitud")</f>
        <v>1</v>
      </c>
      <c r="G6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96 DOP</v>
      </c>
      <c r="H6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6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6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6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6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67" s="75">
        <f>COUNTIF(Documentos!A:A,A67&amp;"Proposicion")</f>
        <v>1</v>
      </c>
      <c r="N6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67 DOP</v>
      </c>
      <c r="O6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6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6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6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6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67" s="67">
        <f>COUNTIF(Documentos!A:A,A67&amp;"Decreto")</f>
        <v>1</v>
      </c>
      <c r="U6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349 DOP</v>
      </c>
      <c r="V6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6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68" spans="1:26" x14ac:dyDescent="0.25">
      <c r="A68" s="19">
        <v>66</v>
      </c>
      <c r="B68" s="121"/>
      <c r="C68" s="12"/>
      <c r="D68" s="12"/>
      <c r="E68" s="6"/>
      <c r="F68" s="65">
        <f>COUNTIF(Documentos!A:A,A68&amp;"Oficio_Solicitud")</f>
        <v>1</v>
      </c>
      <c r="G6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95 DOP_FETCovid19</v>
      </c>
      <c r="H6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6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6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6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6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68" s="75">
        <f>COUNTIF(Documentos!A:A,A68&amp;"Proposicion")</f>
        <v>1</v>
      </c>
      <c r="N6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66 DOP_FETCovid19</v>
      </c>
      <c r="O6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6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6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6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6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68" s="67">
        <f>COUNTIF(Documentos!A:A,A68&amp;"Decreto")</f>
        <v>1</v>
      </c>
      <c r="U6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343 DOP_FETCovid19</v>
      </c>
      <c r="V6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6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69" spans="1:26" ht="22.5" x14ac:dyDescent="0.25">
      <c r="A69" s="19">
        <v>67</v>
      </c>
      <c r="B69" s="121" t="s">
        <v>1073</v>
      </c>
      <c r="C69" s="12"/>
      <c r="D69" s="12"/>
      <c r="E69" s="6"/>
      <c r="F69" s="65">
        <f>COUNTIF(Documentos!A:A,A69&amp;"Oficio_Solicitud")</f>
        <v>1</v>
      </c>
      <c r="G6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246 DGC</v>
      </c>
      <c r="H6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6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6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6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6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69" s="75">
        <f>COUNTIF(Documentos!A:A,A69&amp;"Proposicion")</f>
        <v>1</v>
      </c>
      <c r="N6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401 DGC</v>
      </c>
      <c r="O6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6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6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6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6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69" s="67">
        <f>COUNTIF(Documentos!A:A,A69&amp;"Decreto")</f>
        <v>1</v>
      </c>
      <c r="U6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1251 DGC</v>
      </c>
      <c r="V6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6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70" spans="1:26" x14ac:dyDescent="0.25">
      <c r="A70" s="19">
        <v>68</v>
      </c>
      <c r="B70" s="121" t="s">
        <v>1074</v>
      </c>
      <c r="C70" s="12"/>
      <c r="D70" s="12"/>
      <c r="E70" s="6"/>
      <c r="F70" s="65">
        <f>COUNTIF(Documentos!A:A,A70&amp;"Oficio_Solicitud")</f>
        <v>1</v>
      </c>
      <c r="G7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49 DGA</v>
      </c>
      <c r="H7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7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7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7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7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70" s="75">
        <f>COUNTIF(Documentos!A:A,A70&amp;"Proposicion")</f>
        <v>1</v>
      </c>
      <c r="N7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97 DGA</v>
      </c>
      <c r="O7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7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7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7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7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70" s="67">
        <f>COUNTIF(Documentos!A:A,A70&amp;"Decreto")</f>
        <v>0</v>
      </c>
      <c r="U7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7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7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71" spans="1:26" ht="45" x14ac:dyDescent="0.25">
      <c r="A71" s="19">
        <v>69</v>
      </c>
      <c r="B71" s="121" t="s">
        <v>1075</v>
      </c>
      <c r="C71" s="12"/>
      <c r="D71" s="12"/>
      <c r="E71" s="6"/>
      <c r="F71" s="65">
        <f>COUNTIF(Documentos!A:A,A71&amp;"Oficio_Solicitud")</f>
        <v>0</v>
      </c>
      <c r="G7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7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7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7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7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7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71" s="75">
        <f>COUNTIF(Documentos!A:A,A71&amp;"Proposicion")</f>
        <v>0</v>
      </c>
      <c r="N7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7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7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7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7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7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71" s="67">
        <f>COUNTIF(Documentos!A:A,A71&amp;"Decreto")</f>
        <v>0</v>
      </c>
      <c r="U7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7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7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72" spans="1:26" x14ac:dyDescent="0.25">
      <c r="A72" s="19">
        <v>70</v>
      </c>
      <c r="B72" s="121"/>
      <c r="C72" s="12"/>
      <c r="D72" s="12"/>
      <c r="E72" s="6"/>
      <c r="F72" s="65">
        <f>COUNTIF(Documentos!A:A,A72&amp;"Oficio_Solicitud")</f>
        <v>2</v>
      </c>
      <c r="G7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653 DAP_FETCovid19</v>
      </c>
      <c r="H7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591 DAP_FETCovid19</v>
      </c>
      <c r="I7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7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7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7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72" s="75">
        <f>COUNTIF(Documentos!A:A,A72&amp;"Proposicion")</f>
        <v>1</v>
      </c>
      <c r="N7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807 DAP_FETCovid19</v>
      </c>
      <c r="O7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7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7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7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7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72" s="67">
        <f>COUNTIF(Documentos!A:A,A72&amp;"Decreto")</f>
        <v>1</v>
      </c>
      <c r="U7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192 DAP_FETCovid19</v>
      </c>
      <c r="V7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7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73" spans="1:26" x14ac:dyDescent="0.25">
      <c r="A73" s="19">
        <v>71</v>
      </c>
      <c r="B73" s="121"/>
      <c r="C73" s="12"/>
      <c r="D73" s="12"/>
      <c r="E73" s="6"/>
      <c r="F73" s="65">
        <f>COUNTIF(Documentos!A:A,A73&amp;"Oficio_Solicitud")</f>
        <v>1</v>
      </c>
      <c r="G7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1340 DA</v>
      </c>
      <c r="H7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7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7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7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7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73" s="75">
        <f>COUNTIF(Documentos!A:A,A73&amp;"Proposicion")</f>
        <v>1</v>
      </c>
      <c r="N7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29 DA</v>
      </c>
      <c r="O7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7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7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7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7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73" s="67">
        <f>COUNTIF(Documentos!A:A,A73&amp;"Decreto")</f>
        <v>1</v>
      </c>
      <c r="U7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155 DA</v>
      </c>
      <c r="V7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7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74" spans="1:26" ht="78.75" x14ac:dyDescent="0.25">
      <c r="A74" s="19">
        <v>72</v>
      </c>
      <c r="B74" s="121" t="s">
        <v>1076</v>
      </c>
      <c r="C74" s="12"/>
      <c r="D74" s="12"/>
      <c r="E74" s="6"/>
      <c r="F74" s="65">
        <f>COUNTIF(Documentos!A:A,A74&amp;"Oficio_Solicitud")</f>
        <v>0</v>
      </c>
      <c r="G7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7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7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7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7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7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74" s="75">
        <f>COUNTIF(Documentos!A:A,A74&amp;"Proposicion")</f>
        <v>0</v>
      </c>
      <c r="N7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7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7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7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7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7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74" s="67">
        <f>COUNTIF(Documentos!A:A,A74&amp;"Decreto")</f>
        <v>0</v>
      </c>
      <c r="U7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7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7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75" spans="1:26" x14ac:dyDescent="0.25">
      <c r="A75" s="19">
        <v>73</v>
      </c>
      <c r="B75" s="121"/>
      <c r="C75" s="12"/>
      <c r="D75" s="12"/>
      <c r="E75" s="6"/>
      <c r="F75" s="65">
        <f>COUNTIF(Documentos!A:A,A75&amp;"Oficio_Solicitud")</f>
        <v>1</v>
      </c>
      <c r="G7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155 DGC_FETCovid19</v>
      </c>
      <c r="H7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7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7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7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7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75" s="75">
        <f>COUNTIF(Documentos!A:A,A75&amp;"Proposicion")</f>
        <v>1</v>
      </c>
      <c r="N7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107 DGC_FETCovid19</v>
      </c>
      <c r="O7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7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7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7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7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75" s="67">
        <f>COUNTIF(Documentos!A:A,A75&amp;"Decreto")</f>
        <v>1</v>
      </c>
      <c r="U7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707 DGC_FETCovid19</v>
      </c>
      <c r="V7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7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76" spans="1:26" ht="45" x14ac:dyDescent="0.25">
      <c r="A76" s="19">
        <v>74</v>
      </c>
      <c r="B76" s="121" t="s">
        <v>1077</v>
      </c>
      <c r="C76" s="12"/>
      <c r="D76" s="12"/>
      <c r="E76" s="6"/>
      <c r="F76" s="65">
        <f>COUNTIF(Documentos!A:A,A76&amp;"Oficio_Solicitud")</f>
        <v>1</v>
      </c>
      <c r="G7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870 DV</v>
      </c>
      <c r="H7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7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7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7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7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76" s="75">
        <f>COUNTIF(Documentos!A:A,A76&amp;"Proposicion")</f>
        <v>1</v>
      </c>
      <c r="N7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83 DV</v>
      </c>
      <c r="O7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7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7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7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7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76" s="67">
        <f>COUNTIF(Documentos!A:A,A76&amp;"Decreto")</f>
        <v>0</v>
      </c>
      <c r="U7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7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7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77" spans="1:26" x14ac:dyDescent="0.25">
      <c r="A77" s="19">
        <v>75</v>
      </c>
      <c r="B77" s="121"/>
      <c r="C77" s="12"/>
      <c r="D77" s="12"/>
      <c r="E77" s="6"/>
      <c r="F77" s="65">
        <f>COUNTIF(Documentos!A:A,A77&amp;"Oficio_Solicitud")</f>
        <v>1</v>
      </c>
      <c r="G7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426 DVcorreo</v>
      </c>
      <c r="H7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7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7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7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7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77" s="75">
        <f>COUNTIF(Documentos!A:A,A77&amp;"Proposicion")</f>
        <v>1</v>
      </c>
      <c r="N7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78 DV</v>
      </c>
      <c r="O7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7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7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7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7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77" s="67">
        <f>COUNTIF(Documentos!A:A,A77&amp;"Decreto")</f>
        <v>1</v>
      </c>
      <c r="U7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644 DV</v>
      </c>
      <c r="V7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7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78" spans="1:26" x14ac:dyDescent="0.25">
      <c r="A78" s="19">
        <v>76</v>
      </c>
      <c r="B78" s="121"/>
      <c r="C78" s="12"/>
      <c r="D78" s="12"/>
      <c r="E78" s="6"/>
      <c r="F78" s="65">
        <f>COUNTIF(Documentos!A:A,A78&amp;"Oficio_Solicitud")</f>
        <v>1</v>
      </c>
      <c r="G7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426 DV_FETCovid19correo</v>
      </c>
      <c r="H7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7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7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7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7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78" s="75">
        <f>COUNTIF(Documentos!A:A,A78&amp;"Proposicion")</f>
        <v>1</v>
      </c>
      <c r="N7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75 DV_FETCovid19</v>
      </c>
      <c r="O7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7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7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7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7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78" s="67">
        <f>COUNTIF(Documentos!A:A,A78&amp;"Decreto")</f>
        <v>2</v>
      </c>
      <c r="U7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389 DV_FETCovid19</v>
      </c>
      <c r="V7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421 DV_FETCovid19</v>
      </c>
      <c r="Z7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79" spans="1:26" ht="45" x14ac:dyDescent="0.25">
      <c r="A79" s="19">
        <v>77</v>
      </c>
      <c r="B79" s="121" t="s">
        <v>1078</v>
      </c>
      <c r="C79" s="12"/>
      <c r="D79" s="12"/>
      <c r="E79" s="6"/>
      <c r="F79" s="65">
        <f>COUNTIF(Documentos!A:A,A79&amp;"Oficio_Solicitud")</f>
        <v>2</v>
      </c>
      <c r="G7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579 DV</v>
      </c>
      <c r="H7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271 SISS</v>
      </c>
      <c r="I7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7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7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7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79" s="75">
        <f>COUNTIF(Documentos!A:A,A79&amp;"Proposicion")</f>
        <v>1</v>
      </c>
      <c r="N7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77 DV-SISS</v>
      </c>
      <c r="O7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7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7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7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7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79" s="67">
        <f>COUNTIF(Documentos!A:A,A79&amp;"Decreto")</f>
        <v>2</v>
      </c>
      <c r="U7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301 DV-SISS</v>
      </c>
      <c r="V7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303 DV-SISS</v>
      </c>
      <c r="Z7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80" spans="1:26" ht="45" x14ac:dyDescent="0.25">
      <c r="A80" s="19">
        <v>78</v>
      </c>
      <c r="B80" s="121" t="s">
        <v>1079</v>
      </c>
      <c r="C80" s="12"/>
      <c r="D80" s="12"/>
      <c r="E80" s="6"/>
      <c r="F80" s="65">
        <f>COUNTIF(Documentos!A:A,A80&amp;"Oficio_Solicitud")</f>
        <v>1</v>
      </c>
      <c r="G8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344 APR_FETCovid19correo</v>
      </c>
      <c r="H8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8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8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8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8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80" s="75">
        <f>COUNTIF(Documentos!A:A,A80&amp;"Proposicion")</f>
        <v>1</v>
      </c>
      <c r="N8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108 APR_FETCovid19</v>
      </c>
      <c r="O8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8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8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8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8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80" s="67">
        <f>COUNTIF(Documentos!A:A,A80&amp;"Decreto")</f>
        <v>1</v>
      </c>
      <c r="U8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496 APR_FETCovid19</v>
      </c>
      <c r="V8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8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81" spans="1:26" ht="22.5" x14ac:dyDescent="0.25">
      <c r="A81" s="19">
        <v>79</v>
      </c>
      <c r="B81" s="121" t="s">
        <v>1080</v>
      </c>
      <c r="C81" s="12"/>
      <c r="D81" s="12"/>
      <c r="E81" s="6"/>
      <c r="F81" s="65">
        <f>COUNTIF(Documentos!A:A,A81&amp;"Oficio_Solicitud")</f>
        <v>1</v>
      </c>
      <c r="G8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165 APR_FETCovid19</v>
      </c>
      <c r="H8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8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8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8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8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81" s="75">
        <f>COUNTIF(Documentos!A:A,A81&amp;"Proposicion")</f>
        <v>1</v>
      </c>
      <c r="N8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79 APR_FETCovid19</v>
      </c>
      <c r="O8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8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8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8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8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81" s="67">
        <f>COUNTIF(Documentos!A:A,A81&amp;"Decreto")</f>
        <v>1</v>
      </c>
      <c r="U8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939 APR_FETCovid19</v>
      </c>
      <c r="V8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8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82" spans="1:26" x14ac:dyDescent="0.25">
      <c r="A82" s="19">
        <v>80</v>
      </c>
      <c r="B82" s="121" t="s">
        <v>1081</v>
      </c>
      <c r="C82" s="12"/>
      <c r="D82" s="12"/>
      <c r="E82" s="6"/>
      <c r="F82" s="65">
        <f>COUNTIF(Documentos!A:A,A82&amp;"Oficio_Solicitud")</f>
        <v>1</v>
      </c>
      <c r="G8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333 DOHcorreo</v>
      </c>
      <c r="H8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8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8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8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8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82" s="75">
        <f>COUNTIF(Documentos!A:A,A82&amp;"Proposicion")</f>
        <v>1</v>
      </c>
      <c r="N8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98 DOH</v>
      </c>
      <c r="O8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8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8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8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8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82" s="67">
        <f>COUNTIF(Documentos!A:A,A82&amp;"Decreto")</f>
        <v>1</v>
      </c>
      <c r="U8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561 DOH</v>
      </c>
      <c r="V8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8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83" spans="1:26" x14ac:dyDescent="0.25">
      <c r="A83" s="19">
        <v>81</v>
      </c>
      <c r="B83" s="121"/>
      <c r="C83" s="12"/>
      <c r="D83" s="12"/>
      <c r="E83" s="6"/>
      <c r="F83" s="65">
        <f>COUNTIF(Documentos!A:A,A83&amp;"Oficio_Solicitud")</f>
        <v>1</v>
      </c>
      <c r="G8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181 DGC</v>
      </c>
      <c r="H8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8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8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8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8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83" s="75">
        <f>COUNTIF(Documentos!A:A,A83&amp;"Proposicion")</f>
        <v>1</v>
      </c>
      <c r="N8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84 DGC</v>
      </c>
      <c r="O8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8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8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8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8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83" s="67">
        <f>COUNTIF(Documentos!A:A,A83&amp;"Decreto")</f>
        <v>1</v>
      </c>
      <c r="U8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706 DGC</v>
      </c>
      <c r="V8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8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84" spans="1:26" ht="56.25" x14ac:dyDescent="0.25">
      <c r="A84" s="19">
        <v>82</v>
      </c>
      <c r="B84" s="121" t="s">
        <v>1082</v>
      </c>
      <c r="C84" s="12">
        <v>44701</v>
      </c>
      <c r="D84" s="12"/>
      <c r="E84" s="6"/>
      <c r="F84" s="65">
        <f>COUNTIF(Documentos!A:A,A84&amp;"Oficio_Solicitud")</f>
        <v>1</v>
      </c>
      <c r="G8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5557 DGOP</v>
      </c>
      <c r="H8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8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8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8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8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84" s="75">
        <f>COUNTIF(Documentos!A:A,A84&amp;"Proposicion")</f>
        <v>1</v>
      </c>
      <c r="N8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105 DGOP</v>
      </c>
      <c r="O8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8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8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8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8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84" s="67">
        <f>COUNTIF(Documentos!A:A,A84&amp;"Decreto")</f>
        <v>0</v>
      </c>
      <c r="U8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8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8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85" spans="1:26" x14ac:dyDescent="0.25">
      <c r="A85" s="19">
        <v>83</v>
      </c>
      <c r="B85" s="121" t="s">
        <v>1083</v>
      </c>
      <c r="C85" s="12"/>
      <c r="D85" s="12"/>
      <c r="E85" s="6"/>
      <c r="F85" s="65">
        <f>COUNTIF(Documentos!A:A,A85&amp;"Oficio_Solicitud")</f>
        <v>0</v>
      </c>
      <c r="G8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8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8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8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8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8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85" s="75">
        <f>COUNTIF(Documentos!A:A,A85&amp;"Proposicion")</f>
        <v>0</v>
      </c>
      <c r="N8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8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8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8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8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8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85" s="67">
        <f>COUNTIF(Documentos!A:A,A85&amp;"Decreto")</f>
        <v>1</v>
      </c>
      <c r="U8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70 MOP</v>
      </c>
      <c r="V8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8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86" spans="1:26" x14ac:dyDescent="0.25">
      <c r="A86" s="19">
        <v>84</v>
      </c>
      <c r="B86" s="121"/>
      <c r="C86" s="12"/>
      <c r="D86" s="12"/>
      <c r="E86" s="6"/>
      <c r="F86" s="65">
        <f>COUNTIF(Documentos!A:A,A86&amp;"Oficio_Solicitud")</f>
        <v>1</v>
      </c>
      <c r="G8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189 DGCcorreo</v>
      </c>
      <c r="H8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8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8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8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8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86" s="75">
        <f>COUNTIF(Documentos!A:A,A86&amp;"Proposicion")</f>
        <v>1</v>
      </c>
      <c r="N8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104 DGC</v>
      </c>
      <c r="O8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8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8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8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8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86" s="67">
        <f>COUNTIF(Documentos!A:A,A86&amp;"Decreto")</f>
        <v>1</v>
      </c>
      <c r="U8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706 DGC</v>
      </c>
      <c r="V8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8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87" spans="1:26" x14ac:dyDescent="0.25">
      <c r="A87" s="19">
        <v>85</v>
      </c>
      <c r="B87" s="121"/>
      <c r="C87" s="12"/>
      <c r="D87" s="12"/>
      <c r="E87" s="6"/>
      <c r="F87" s="65">
        <f>COUNTIF(Documentos!A:A,A87&amp;"Oficio_Solicitud")</f>
        <v>1</v>
      </c>
      <c r="G8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82 DAP_FETCovid19</v>
      </c>
      <c r="H8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8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8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8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8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87" s="75">
        <f>COUNTIF(Documentos!A:A,A87&amp;"Proposicion")</f>
        <v>1</v>
      </c>
      <c r="N8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86 DAP_FETCovid19</v>
      </c>
      <c r="O8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8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8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8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8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87" s="67">
        <f>COUNTIF(Documentos!A:A,A87&amp;"Decreto")</f>
        <v>0</v>
      </c>
      <c r="U8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8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8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88" spans="1:26" ht="33.75" x14ac:dyDescent="0.25">
      <c r="A88" s="19">
        <v>86</v>
      </c>
      <c r="B88" s="121" t="s">
        <v>1084</v>
      </c>
      <c r="C88" s="12"/>
      <c r="D88" s="12"/>
      <c r="E88" s="6"/>
      <c r="F88" s="65">
        <f>COUNTIF(Documentos!A:A,A88&amp;"Oficio_Solicitud")</f>
        <v>1</v>
      </c>
      <c r="G8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187 DA_FETCovid19</v>
      </c>
      <c r="H8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8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8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8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8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88" s="75">
        <f>COUNTIF(Documentos!A:A,A88&amp;"Proposicion")</f>
        <v>0</v>
      </c>
      <c r="N8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8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8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8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8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8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88" s="67">
        <f>COUNTIF(Documentos!A:A,A88&amp;"Decreto")</f>
        <v>0</v>
      </c>
      <c r="U8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8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8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89" spans="1:26" ht="33.75" x14ac:dyDescent="0.25">
      <c r="A89" s="19">
        <v>87</v>
      </c>
      <c r="B89" s="121" t="s">
        <v>1085</v>
      </c>
      <c r="C89" s="12"/>
      <c r="D89" s="12"/>
      <c r="E89" s="6"/>
      <c r="F89" s="65">
        <f>COUNTIF(Documentos!A:A,A89&amp;"Oficio_Solicitud")</f>
        <v>1</v>
      </c>
      <c r="G8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94 DAP_FETCovid19</v>
      </c>
      <c r="H8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8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8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8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8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89" s="75">
        <f>COUNTIF(Documentos!A:A,A89&amp;"Proposicion")</f>
        <v>1</v>
      </c>
      <c r="N8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102 DAP_FETCovid19</v>
      </c>
      <c r="O8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8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8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8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8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89" s="67">
        <f>COUNTIF(Documentos!A:A,A89&amp;"Decreto")</f>
        <v>1</v>
      </c>
      <c r="U8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503 DAP_FETCovid19</v>
      </c>
      <c r="V8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8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90" spans="1:26" ht="236.25" x14ac:dyDescent="0.25">
      <c r="A90" s="19">
        <v>88</v>
      </c>
      <c r="B90" s="121" t="s">
        <v>1086</v>
      </c>
      <c r="C90" s="12"/>
      <c r="D90" s="12"/>
      <c r="E90" s="6"/>
      <c r="F90" s="65">
        <f>COUNTIF(Documentos!A:A,A90&amp;"Oficio_Solicitud")</f>
        <v>1</v>
      </c>
      <c r="G9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1673 DVcorreo</v>
      </c>
      <c r="H9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9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9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9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9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90" s="75">
        <f>COUNTIF(Documentos!A:A,A90&amp;"Proposicion")</f>
        <v>1</v>
      </c>
      <c r="N9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175 DV</v>
      </c>
      <c r="O9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9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9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9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9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90" s="67">
        <f>COUNTIF(Documentos!A:A,A90&amp;"Decreto")</f>
        <v>0</v>
      </c>
      <c r="U9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9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9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91" spans="1:26" x14ac:dyDescent="0.25">
      <c r="A91" s="19">
        <v>89</v>
      </c>
      <c r="B91" s="121" t="s">
        <v>1081</v>
      </c>
      <c r="C91" s="12"/>
      <c r="D91" s="12"/>
      <c r="E91" s="6"/>
      <c r="F91" s="65">
        <f>COUNTIF(Documentos!A:A,A91&amp;"Oficio_Solicitud")</f>
        <v>1</v>
      </c>
      <c r="G9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1674 DVcorreo</v>
      </c>
      <c r="H9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9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9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9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9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91" s="75">
        <f>COUNTIF(Documentos!A:A,A91&amp;"Proposicion")</f>
        <v>1</v>
      </c>
      <c r="N9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111 DV</v>
      </c>
      <c r="O9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9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9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9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9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91" s="67">
        <f>COUNTIF(Documentos!A:A,A91&amp;"Decreto")</f>
        <v>0</v>
      </c>
      <c r="U9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9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9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92" spans="1:26" ht="22.5" x14ac:dyDescent="0.25">
      <c r="A92" s="19">
        <v>90</v>
      </c>
      <c r="B92" s="122" t="s">
        <v>1087</v>
      </c>
      <c r="C92" s="13"/>
      <c r="D92" s="13"/>
      <c r="E92" s="6"/>
      <c r="F92" s="65">
        <f>COUNTIF(Documentos!A:A,A92&amp;"Oficio_Solicitud")</f>
        <v>1</v>
      </c>
      <c r="G9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120 DCyF</v>
      </c>
      <c r="H9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9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9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9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9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92" s="75">
        <f>COUNTIF(Documentos!A:A,A92&amp;"Proposicion")</f>
        <v>1</v>
      </c>
      <c r="N9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95 DCyF</v>
      </c>
      <c r="O9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9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9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9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9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92" s="67">
        <f>COUNTIF(Documentos!A:A,A92&amp;"Decreto")</f>
        <v>1</v>
      </c>
      <c r="U9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530 DCyF</v>
      </c>
      <c r="V9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9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93" spans="1:26" x14ac:dyDescent="0.25">
      <c r="A93" s="19">
        <v>91</v>
      </c>
      <c r="B93" s="122" t="s">
        <v>1088</v>
      </c>
      <c r="C93" s="13"/>
      <c r="D93" s="13"/>
      <c r="E93" s="6"/>
      <c r="F93" s="65">
        <f>COUNTIF(Documentos!A:A,A93&amp;"Oficio_Solicitud")</f>
        <v>1</v>
      </c>
      <c r="G9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49 DGA_FETCovid19</v>
      </c>
      <c r="H9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9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9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9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9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93" s="75">
        <f>COUNTIF(Documentos!A:A,A93&amp;"Proposicion")</f>
        <v>1</v>
      </c>
      <c r="N9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96 DGA_FETCovid19</v>
      </c>
      <c r="O9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9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9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9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9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93" s="67">
        <f>COUNTIF(Documentos!A:A,A93&amp;"Decreto")</f>
        <v>0</v>
      </c>
      <c r="U9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9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9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94" spans="1:26" ht="22.5" x14ac:dyDescent="0.25">
      <c r="A94" s="19">
        <v>92</v>
      </c>
      <c r="B94" s="122" t="s">
        <v>1087</v>
      </c>
      <c r="C94" s="13"/>
      <c r="D94" s="13"/>
      <c r="E94" s="6"/>
      <c r="F94" s="65">
        <f>COUNTIF(Documentos!A:A,A94&amp;"Oficio_Solicitud")</f>
        <v>1</v>
      </c>
      <c r="G9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839 FISC</v>
      </c>
      <c r="H9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9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9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9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9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94" s="75">
        <f>COUNTIF(Documentos!A:A,A94&amp;"Proposicion")</f>
        <v>1</v>
      </c>
      <c r="N9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109 FISC</v>
      </c>
      <c r="O9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9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9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9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9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94" s="67">
        <f>COUNTIF(Documentos!A:A,A94&amp;"Decreto")</f>
        <v>1</v>
      </c>
      <c r="U9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595 FISC</v>
      </c>
      <c r="V9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9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95" spans="1:26" ht="22.5" x14ac:dyDescent="0.25">
      <c r="A95" s="19">
        <v>93</v>
      </c>
      <c r="B95" s="122" t="s">
        <v>1089</v>
      </c>
      <c r="C95" s="13"/>
      <c r="D95" s="13"/>
      <c r="E95" s="6"/>
      <c r="F95" s="65">
        <f>COUNTIF(Documentos!A:A,A95&amp;"Oficio_Solicitud")</f>
        <v>1</v>
      </c>
      <c r="G9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1876 DVcorreo</v>
      </c>
      <c r="H9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9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9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9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9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95" s="75">
        <f>COUNTIF(Documentos!A:A,A95&amp;"Proposicion")</f>
        <v>1</v>
      </c>
      <c r="N9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176 DV</v>
      </c>
      <c r="O9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9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9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9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9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95" s="67">
        <f>COUNTIF(Documentos!A:A,A95&amp;"Decreto")</f>
        <v>1</v>
      </c>
      <c r="U9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664 DV</v>
      </c>
      <c r="V9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9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96" spans="1:26" x14ac:dyDescent="0.25">
      <c r="A96" s="19">
        <v>94</v>
      </c>
      <c r="B96" s="122" t="s">
        <v>1090</v>
      </c>
      <c r="C96" s="13"/>
      <c r="D96" s="13"/>
      <c r="E96" s="6"/>
      <c r="F96" s="65">
        <f>COUNTIF(Documentos!A:A,A96&amp;"Oficio_Solicitud")</f>
        <v>1</v>
      </c>
      <c r="G9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1876 DV_FETCovid19correo</v>
      </c>
      <c r="H9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9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9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9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9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96" s="75">
        <f>COUNTIF(Documentos!A:A,A96&amp;"Proposicion")</f>
        <v>1</v>
      </c>
      <c r="N9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177 DV_FETCovid19</v>
      </c>
      <c r="O9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9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9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9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9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96" s="67">
        <f>COUNTIF(Documentos!A:A,A96&amp;"Decreto")</f>
        <v>1</v>
      </c>
      <c r="U9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654 DV_FETCovid19</v>
      </c>
      <c r="V9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9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97" spans="1:26" x14ac:dyDescent="0.25">
      <c r="A97" s="19">
        <v>95</v>
      </c>
      <c r="B97" s="122" t="s">
        <v>1091</v>
      </c>
      <c r="C97" s="13"/>
      <c r="D97" s="13"/>
      <c r="E97" s="6"/>
      <c r="F97" s="65">
        <f>COUNTIF(Documentos!A:A,A97&amp;"Oficio_Solicitud")</f>
        <v>1</v>
      </c>
      <c r="G9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105 DAP</v>
      </c>
      <c r="H9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9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9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9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9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97" s="75">
        <f>COUNTIF(Documentos!A:A,A97&amp;"Proposicion")</f>
        <v>1</v>
      </c>
      <c r="N9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158 DAP</v>
      </c>
      <c r="O9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9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9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9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9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97" s="67">
        <f>COUNTIF(Documentos!A:A,A97&amp;"Decreto")</f>
        <v>2</v>
      </c>
      <c r="U9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636 DAP</v>
      </c>
      <c r="V9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638 DAP</v>
      </c>
      <c r="Z9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98" spans="1:26" ht="33.75" x14ac:dyDescent="0.25">
      <c r="A98" s="19">
        <v>96</v>
      </c>
      <c r="B98" s="121" t="s">
        <v>1085</v>
      </c>
      <c r="C98" s="12"/>
      <c r="D98" s="12"/>
      <c r="E98" s="6"/>
      <c r="F98" s="65">
        <f>COUNTIF(Documentos!A:A,A98&amp;"Oficio_Solicitud")</f>
        <v>1</v>
      </c>
      <c r="G9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100 DAP</v>
      </c>
      <c r="H9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9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9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9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9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98" s="75">
        <f>COUNTIF(Documentos!A:A,A98&amp;"Proposicion")</f>
        <v>1</v>
      </c>
      <c r="N9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103 DAP</v>
      </c>
      <c r="O9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9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9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9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9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98" s="67">
        <f>COUNTIF(Documentos!A:A,A98&amp;"Decreto")</f>
        <v>0</v>
      </c>
      <c r="U9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9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9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99" spans="1:26" ht="33.75" x14ac:dyDescent="0.25">
      <c r="A99" s="19">
        <v>97</v>
      </c>
      <c r="B99" s="121" t="s">
        <v>1092</v>
      </c>
      <c r="C99" s="12"/>
      <c r="D99" s="12"/>
      <c r="E99" s="6"/>
      <c r="F99" s="65">
        <f>COUNTIF(Documentos!A:A,A99&amp;"Oficio_Solicitud")</f>
        <v>1</v>
      </c>
      <c r="G9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203 DA</v>
      </c>
      <c r="H9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9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9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9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9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99" s="75">
        <f>COUNTIF(Documentos!A:A,A99&amp;"Proposicion")</f>
        <v>1</v>
      </c>
      <c r="N9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107 DA</v>
      </c>
      <c r="O9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9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9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9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9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99" s="67">
        <f>COUNTIF(Documentos!A:A,A99&amp;"Decreto")</f>
        <v>2</v>
      </c>
      <c r="U9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516 DA</v>
      </c>
      <c r="V9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517 DA</v>
      </c>
      <c r="Z9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00" spans="1:26" ht="33.75" x14ac:dyDescent="0.25">
      <c r="A100" s="19">
        <v>98</v>
      </c>
      <c r="B100" s="121" t="s">
        <v>1093</v>
      </c>
      <c r="C100" s="12"/>
      <c r="D100" s="12"/>
      <c r="E100" s="6"/>
      <c r="F100" s="65">
        <f>COUNTIF(Documentos!A:A,A100&amp;"Oficio_Solicitud")</f>
        <v>1</v>
      </c>
      <c r="G10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225 DA_FETCovid19</v>
      </c>
      <c r="H10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0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0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0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0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00" s="75">
        <f>COUNTIF(Documentos!A:A,A100&amp;"Proposicion")</f>
        <v>1</v>
      </c>
      <c r="N10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115 DA_FETCovid19</v>
      </c>
      <c r="O10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0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0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0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0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00" s="67">
        <f>COUNTIF(Documentos!A:A,A100&amp;"Decreto")</f>
        <v>1</v>
      </c>
      <c r="U10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512 DA_FETCovid19</v>
      </c>
      <c r="V10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0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01" spans="1:26" x14ac:dyDescent="0.25">
      <c r="A101" s="19">
        <v>99</v>
      </c>
      <c r="B101" s="122"/>
      <c r="C101" s="13"/>
      <c r="D101" s="13"/>
      <c r="E101" s="6"/>
      <c r="F101" s="65">
        <f>COUNTIF(Documentos!A:A,A101&amp;"Oficio_Solicitud")</f>
        <v>1</v>
      </c>
      <c r="G10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158 DOP</v>
      </c>
      <c r="H10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0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0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0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0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01" s="75">
        <f>COUNTIF(Documentos!A:A,A101&amp;"Proposicion")</f>
        <v>1</v>
      </c>
      <c r="N10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110 DOP</v>
      </c>
      <c r="O10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0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0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0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0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01" s="67">
        <f>COUNTIF(Documentos!A:A,A101&amp;"Decreto")</f>
        <v>0</v>
      </c>
      <c r="U10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0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0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02" spans="1:26" x14ac:dyDescent="0.25">
      <c r="A102" s="19">
        <v>100</v>
      </c>
      <c r="B102" s="122"/>
      <c r="C102" s="13"/>
      <c r="D102" s="13"/>
      <c r="E102" s="6"/>
      <c r="F102" s="65">
        <f>COUNTIF(Documentos!A:A,A102&amp;"Oficio_Solicitud")</f>
        <v>1</v>
      </c>
      <c r="G10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159 DOP_FETCovid19</v>
      </c>
      <c r="H10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0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0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0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0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02" s="75">
        <f>COUNTIF(Documentos!A:A,A102&amp;"Proposicion")</f>
        <v>1</v>
      </c>
      <c r="N10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113 DOP_FETCovid19</v>
      </c>
      <c r="O10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0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0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0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0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02" s="67">
        <f>COUNTIF(Documentos!A:A,A102&amp;"Decreto")</f>
        <v>1</v>
      </c>
      <c r="U10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514 DOP_FETCovid19</v>
      </c>
      <c r="V10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0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03" spans="1:26" x14ac:dyDescent="0.25">
      <c r="A103" s="19">
        <v>101</v>
      </c>
      <c r="B103" s="121" t="s">
        <v>1094</v>
      </c>
      <c r="C103" s="12"/>
      <c r="D103" s="12"/>
      <c r="E103" s="6"/>
      <c r="F103" s="65">
        <f>COUNTIF(Documentos!A:A,A103&amp;"Oficio_Solicitud")</f>
        <v>0</v>
      </c>
      <c r="G10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10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0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0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0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0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03" s="75">
        <f>COUNTIF(Documentos!A:A,A103&amp;"Proposicion")</f>
        <v>0</v>
      </c>
      <c r="N10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0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0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0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0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0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03" s="67">
        <f>COUNTIF(Documentos!A:A,A103&amp;"Decreto")</f>
        <v>0</v>
      </c>
      <c r="U10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0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0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04" spans="1:26" ht="22.5" x14ac:dyDescent="0.25">
      <c r="A104" s="19">
        <v>102</v>
      </c>
      <c r="B104" s="122" t="s">
        <v>1095</v>
      </c>
      <c r="C104" s="13"/>
      <c r="D104" s="13"/>
      <c r="E104" s="6"/>
      <c r="F104" s="65">
        <f>COUNTIF(Documentos!A:A,A104&amp;"Oficio_Solicitud")</f>
        <v>1</v>
      </c>
      <c r="G10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2100 DV</v>
      </c>
      <c r="H10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0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0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0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0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04" s="75">
        <f>COUNTIF(Documentos!A:A,A104&amp;"Proposicion")</f>
        <v>0</v>
      </c>
      <c r="N10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0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0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0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0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0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04" s="67">
        <f>COUNTIF(Documentos!A:A,A104&amp;"Decreto")</f>
        <v>0</v>
      </c>
      <c r="U10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0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0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05" spans="1:26" x14ac:dyDescent="0.25">
      <c r="A105" s="19">
        <v>103</v>
      </c>
      <c r="B105" s="122" t="s">
        <v>1096</v>
      </c>
      <c r="C105" s="13"/>
      <c r="D105" s="13"/>
      <c r="E105" s="6"/>
      <c r="F105" s="65">
        <f>COUNTIF(Documentos!A:A,A105&amp;"Oficio_Solicitud")</f>
        <v>1</v>
      </c>
      <c r="G10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 DP</v>
      </c>
      <c r="H10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0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0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0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0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05" s="75">
        <f>COUNTIF(Documentos!A:A,A105&amp;"Proposicion")</f>
        <v>0</v>
      </c>
      <c r="N10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0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0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0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0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0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05" s="67">
        <f>COUNTIF(Documentos!A:A,A105&amp;"Decreto")</f>
        <v>0</v>
      </c>
      <c r="U10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0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0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06" spans="1:26" x14ac:dyDescent="0.25">
      <c r="A106" s="19">
        <v>104</v>
      </c>
      <c r="B106" s="122"/>
      <c r="C106" s="13"/>
      <c r="D106" s="13"/>
      <c r="E106" s="6"/>
      <c r="F106" s="65">
        <f>COUNTIF(Documentos!A:A,A106&amp;"Oficio_Solicitud")</f>
        <v>1</v>
      </c>
      <c r="G10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121 DAP_FETCovid19</v>
      </c>
      <c r="H10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0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0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0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0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06" s="75">
        <f>COUNTIF(Documentos!A:A,A106&amp;"Proposicion")</f>
        <v>1</v>
      </c>
      <c r="N10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124 DAP_FETCovid19</v>
      </c>
      <c r="O10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0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0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0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0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06" s="67">
        <f>COUNTIF(Documentos!A:A,A106&amp;"Decreto")</f>
        <v>0</v>
      </c>
      <c r="U10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0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0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07" spans="1:26" x14ac:dyDescent="0.25">
      <c r="A107" s="19">
        <v>105</v>
      </c>
      <c r="B107" s="122" t="s">
        <v>1091</v>
      </c>
      <c r="C107" s="13"/>
      <c r="D107" s="13"/>
      <c r="E107" s="6"/>
      <c r="F107" s="65">
        <f>COUNTIF(Documentos!A:A,A107&amp;"Oficio_Solicitud")</f>
        <v>1</v>
      </c>
      <c r="G10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124 DAP</v>
      </c>
      <c r="H10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0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0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0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0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07" s="75">
        <f>COUNTIF(Documentos!A:A,A107&amp;"Proposicion")</f>
        <v>1</v>
      </c>
      <c r="N10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157 DAP</v>
      </c>
      <c r="O10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0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0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0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0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07" s="67">
        <f>COUNTIF(Documentos!A:A,A107&amp;"Decreto")</f>
        <v>2</v>
      </c>
      <c r="U10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610 DAP</v>
      </c>
      <c r="V10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613 DAP</v>
      </c>
      <c r="Z10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08" spans="1:26" ht="22.5" x14ac:dyDescent="0.25">
      <c r="A108" s="19">
        <v>106</v>
      </c>
      <c r="B108" s="122" t="s">
        <v>1097</v>
      </c>
      <c r="C108" s="13"/>
      <c r="D108" s="13"/>
      <c r="E108" s="6"/>
      <c r="F108" s="65">
        <f>COUNTIF(Documentos!A:A,A108&amp;"Oficio_Solicitud")</f>
        <v>1</v>
      </c>
      <c r="G10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575 DOHcorreo</v>
      </c>
      <c r="H10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0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0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0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0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08" s="75">
        <f>COUNTIF(Documentos!A:A,A108&amp;"Proposicion")</f>
        <v>1</v>
      </c>
      <c r="N10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188 DOH</v>
      </c>
      <c r="O10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0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0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0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0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08" s="67">
        <f>COUNTIF(Documentos!A:A,A108&amp;"Decreto")</f>
        <v>1</v>
      </c>
      <c r="U10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649 DOH</v>
      </c>
      <c r="V10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0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09" spans="1:26" ht="22.5" x14ac:dyDescent="0.25">
      <c r="A109" s="19">
        <v>107</v>
      </c>
      <c r="B109" s="122" t="s">
        <v>1098</v>
      </c>
      <c r="C109" s="13"/>
      <c r="D109" s="13"/>
      <c r="E109" s="6"/>
      <c r="F109" s="65">
        <f>COUNTIF(Documentos!A:A,A109&amp;"Oficio_Solicitud")</f>
        <v>1</v>
      </c>
      <c r="G10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2100 DV-DP</v>
      </c>
      <c r="H10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0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0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0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0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09" s="75">
        <f>COUNTIF(Documentos!A:A,A109&amp;"Proposicion")</f>
        <v>1</v>
      </c>
      <c r="N10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114 DV-DP</v>
      </c>
      <c r="O10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0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0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0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0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09" s="67">
        <f>COUNTIF(Documentos!A:A,A109&amp;"Decreto")</f>
        <v>1</v>
      </c>
      <c r="U10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1018 DV-DP</v>
      </c>
      <c r="V10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0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10" spans="1:26" ht="22.5" x14ac:dyDescent="0.25">
      <c r="A110" s="19">
        <v>108</v>
      </c>
      <c r="B110" s="121" t="s">
        <v>1099</v>
      </c>
      <c r="C110" s="12"/>
      <c r="D110" s="12"/>
      <c r="E110" s="6"/>
      <c r="F110" s="65">
        <f>COUNTIF(Documentos!A:A,A110&amp;"Oficio_Solicitud")</f>
        <v>3</v>
      </c>
      <c r="G11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155 DGC_FETCovid19</v>
      </c>
      <c r="H11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265 DGC_FETCovid19</v>
      </c>
      <c r="I11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OF 385 DGC_FETCovid19</v>
      </c>
      <c r="J11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1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1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10" s="75">
        <f>COUNTIF(Documentos!A:A,A110&amp;"Proposicion")</f>
        <v>1</v>
      </c>
      <c r="N11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107 DGC_FETCovid19</v>
      </c>
      <c r="O11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1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1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1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1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10" s="67">
        <f>COUNTIF(Documentos!A:A,A110&amp;"Decreto")</f>
        <v>1</v>
      </c>
      <c r="U11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707 DGC_FETCovid19</v>
      </c>
      <c r="V11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1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11" spans="1:26" x14ac:dyDescent="0.25">
      <c r="A111" s="19">
        <v>109</v>
      </c>
      <c r="B111" s="121"/>
      <c r="C111" s="12"/>
      <c r="D111" s="12"/>
      <c r="E111" s="6"/>
      <c r="F111" s="65">
        <f>COUNTIF(Documentos!A:A,A111&amp;"Oficio_Solicitud")</f>
        <v>0</v>
      </c>
      <c r="G11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11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1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1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1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1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11" s="75">
        <f>COUNTIF(Documentos!A:A,A111&amp;"Proposicion")</f>
        <v>0</v>
      </c>
      <c r="N11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1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1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1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1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1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11" s="67">
        <f>COUNTIF(Documentos!A:A,A111&amp;"Decreto")</f>
        <v>0</v>
      </c>
      <c r="U11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1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1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12" spans="1:26" ht="22.5" x14ac:dyDescent="0.25">
      <c r="A112" s="19">
        <v>110</v>
      </c>
      <c r="B112" s="121" t="s">
        <v>1100</v>
      </c>
      <c r="C112" s="12"/>
      <c r="D112" s="12"/>
      <c r="E112" s="6"/>
      <c r="F112" s="65">
        <f>COUNTIF(Documentos!A:A,A112&amp;"Oficio_Solicitud")</f>
        <v>1</v>
      </c>
      <c r="G11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426 DVcorreo</v>
      </c>
      <c r="H11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1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1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1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1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12" s="75">
        <f>COUNTIF(Documentos!A:A,A112&amp;"Proposicion")</f>
        <v>2</v>
      </c>
      <c r="N11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75 DV</v>
      </c>
      <c r="O11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SOL 78 DV</v>
      </c>
      <c r="P11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1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1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1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12" s="67">
        <f>COUNTIF(Documentos!A:A,A112&amp;"Decreto")</f>
        <v>2</v>
      </c>
      <c r="U11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420 DV</v>
      </c>
      <c r="V11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643 DV</v>
      </c>
      <c r="Z11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13" spans="1:26" x14ac:dyDescent="0.25">
      <c r="A113" s="19">
        <v>111</v>
      </c>
      <c r="B113" s="122"/>
      <c r="C113" s="13"/>
      <c r="D113" s="13"/>
      <c r="E113" s="6"/>
      <c r="F113" s="65">
        <f>COUNTIF(Documentos!A:A,A113&amp;"Oficio_Solicitud")</f>
        <v>1</v>
      </c>
      <c r="G11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128 DAP_FETCovid19</v>
      </c>
      <c r="H11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1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1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1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1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13" s="75">
        <f>COUNTIF(Documentos!A:A,A113&amp;"Proposicion")</f>
        <v>1</v>
      </c>
      <c r="N11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144 DAP_FETCovid19</v>
      </c>
      <c r="O11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1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1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1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1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13" s="67">
        <f>COUNTIF(Documentos!A:A,A113&amp;"Decreto")</f>
        <v>0</v>
      </c>
      <c r="U11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1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1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14" spans="1:26" x14ac:dyDescent="0.25">
      <c r="A114" s="19">
        <v>112</v>
      </c>
      <c r="B114" s="122" t="s">
        <v>1101</v>
      </c>
      <c r="C114" s="13">
        <v>44693</v>
      </c>
      <c r="D114" s="13"/>
      <c r="E114" s="6"/>
      <c r="F114" s="65">
        <f>COUNTIF(Documentos!A:A,A114&amp;"Oficio_Solicitud")</f>
        <v>1</v>
      </c>
      <c r="G11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105 SOP</v>
      </c>
      <c r="H11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1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1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1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1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14" s="75">
        <f>COUNTIF(Documentos!A:A,A114&amp;"Proposicion")</f>
        <v>0</v>
      </c>
      <c r="N11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1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1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1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1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1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14" s="67">
        <f>COUNTIF(Documentos!A:A,A114&amp;"Decreto")</f>
        <v>0</v>
      </c>
      <c r="U11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1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1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15" spans="1:26" x14ac:dyDescent="0.25">
      <c r="A115" s="19">
        <v>113</v>
      </c>
      <c r="B115" s="122"/>
      <c r="C115" s="13"/>
      <c r="D115" s="13"/>
      <c r="E115" s="6"/>
      <c r="F115" s="65">
        <f>COUNTIF(Documentos!A:A,A115&amp;"Oficio_Solicitud")</f>
        <v>1</v>
      </c>
      <c r="G11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1044 FISC</v>
      </c>
      <c r="H11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1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1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1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1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15" s="75">
        <f>COUNTIF(Documentos!A:A,A115&amp;"Proposicion")</f>
        <v>1</v>
      </c>
      <c r="N11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291 FISC</v>
      </c>
      <c r="O11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1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1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1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1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15" s="67">
        <f>COUNTIF(Documentos!A:A,A115&amp;"Decreto")</f>
        <v>0</v>
      </c>
      <c r="U11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1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1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16" spans="1:26" x14ac:dyDescent="0.25">
      <c r="A116" s="19">
        <v>114</v>
      </c>
      <c r="B116" s="122"/>
      <c r="C116" s="13"/>
      <c r="D116" s="13"/>
      <c r="E116" s="6"/>
      <c r="F116" s="65">
        <f>COUNTIF(Documentos!A:A,A116&amp;"Oficio_Solicitud")</f>
        <v>1</v>
      </c>
      <c r="G11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179 DOP</v>
      </c>
      <c r="H11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1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1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1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1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16" s="75">
        <f>COUNTIF(Documentos!A:A,A116&amp;"Proposicion")</f>
        <v>1</v>
      </c>
      <c r="N11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132 DOP</v>
      </c>
      <c r="O11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1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1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1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1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16" s="67">
        <f>COUNTIF(Documentos!A:A,A116&amp;"Decreto")</f>
        <v>0</v>
      </c>
      <c r="U11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1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1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17" spans="1:26" ht="22.5" x14ac:dyDescent="0.25">
      <c r="A117" s="19">
        <v>115</v>
      </c>
      <c r="B117" s="122" t="s">
        <v>1102</v>
      </c>
      <c r="C117" s="13">
        <v>44802</v>
      </c>
      <c r="D117" s="13"/>
      <c r="E117" s="6"/>
      <c r="F117" s="65">
        <f>COUNTIF(Documentos!A:A,A117&amp;"Oficio_Solicitud")</f>
        <v>1</v>
      </c>
      <c r="G11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180 DOP</v>
      </c>
      <c r="H11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1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1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1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1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17" s="75">
        <f>COUNTIF(Documentos!A:A,A117&amp;"Proposicion")</f>
        <v>0</v>
      </c>
      <c r="N11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1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1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1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1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1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17" s="67">
        <f>COUNTIF(Documentos!A:A,A117&amp;"Decreto")</f>
        <v>0</v>
      </c>
      <c r="U11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1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1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18" spans="1:26" x14ac:dyDescent="0.25">
      <c r="A118" s="19">
        <v>116</v>
      </c>
      <c r="B118" s="122"/>
      <c r="C118" s="13"/>
      <c r="D118" s="13"/>
      <c r="E118" s="6"/>
      <c r="F118" s="65">
        <f>COUNTIF(Documentos!A:A,A118&amp;"Oficio_Solicitud")</f>
        <v>1</v>
      </c>
      <c r="G11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181 DOP</v>
      </c>
      <c r="H11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1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1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1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1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18" s="75">
        <f>COUNTIF(Documentos!A:A,A118&amp;"Proposicion")</f>
        <v>1</v>
      </c>
      <c r="N11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131 DOP</v>
      </c>
      <c r="O11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1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1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1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1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18" s="67">
        <f>COUNTIF(Documentos!A:A,A118&amp;"Decreto")</f>
        <v>0</v>
      </c>
      <c r="U11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1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1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19" spans="1:26" x14ac:dyDescent="0.25">
      <c r="A119" s="19">
        <v>117</v>
      </c>
      <c r="B119" s="122"/>
      <c r="C119" s="13"/>
      <c r="D119" s="13"/>
      <c r="E119" s="6"/>
      <c r="F119" s="65">
        <f>COUNTIF(Documentos!A:A,A119&amp;"Oficio_Solicitud")</f>
        <v>1</v>
      </c>
      <c r="G11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597 APR_FETCovid19</v>
      </c>
      <c r="H11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1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1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1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1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19" s="75">
        <f>COUNTIF(Documentos!A:A,A119&amp;"Proposicion")</f>
        <v>1</v>
      </c>
      <c r="N11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161 APR_FETCovid19</v>
      </c>
      <c r="O11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1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1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1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1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19" s="67">
        <f>COUNTIF(Documentos!A:A,A119&amp;"Decreto")</f>
        <v>0</v>
      </c>
      <c r="U11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1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1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20" spans="1:26" x14ac:dyDescent="0.25">
      <c r="A120" s="19">
        <v>118</v>
      </c>
      <c r="B120" s="122"/>
      <c r="C120" s="13"/>
      <c r="D120" s="13"/>
      <c r="E120" s="6"/>
      <c r="F120" s="65">
        <f>COUNTIF(Documentos!A:A,A120&amp;"Oficio_Solicitud")</f>
        <v>1</v>
      </c>
      <c r="G12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595 DOH</v>
      </c>
      <c r="H12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2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2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2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2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20" s="75">
        <f>COUNTIF(Documentos!A:A,A120&amp;"Proposicion")</f>
        <v>1</v>
      </c>
      <c r="N12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129 DOH</v>
      </c>
      <c r="O12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2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2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2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2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20" s="67">
        <f>COUNTIF(Documentos!A:A,A120&amp;"Decreto")</f>
        <v>0</v>
      </c>
      <c r="U12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2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2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21" spans="1:26" x14ac:dyDescent="0.25">
      <c r="A121" s="19">
        <v>119</v>
      </c>
      <c r="B121" s="122"/>
      <c r="C121" s="13"/>
      <c r="D121" s="13"/>
      <c r="E121" s="6"/>
      <c r="F121" s="65">
        <f>COUNTIF(Documentos!A:A,A121&amp;"Oficio_Solicitud")</f>
        <v>1</v>
      </c>
      <c r="G12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596 DOH_FETCovid19</v>
      </c>
      <c r="H12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2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2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2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2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21" s="75">
        <f>COUNTIF(Documentos!A:A,A121&amp;"Proposicion")</f>
        <v>1</v>
      </c>
      <c r="N12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128 DOH_FETCovid19</v>
      </c>
      <c r="O12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2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2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2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2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21" s="67">
        <f>COUNTIF(Documentos!A:A,A121&amp;"Decreto")</f>
        <v>0</v>
      </c>
      <c r="U12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2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2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22" spans="1:26" x14ac:dyDescent="0.25">
      <c r="A122" s="19">
        <v>120</v>
      </c>
      <c r="B122" s="122"/>
      <c r="C122" s="13"/>
      <c r="D122" s="13"/>
      <c r="E122" s="6"/>
      <c r="F122" s="65">
        <f>COUNTIF(Documentos!A:A,A122&amp;"Oficio_Solicitud")</f>
        <v>1</v>
      </c>
      <c r="G12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130 DAP</v>
      </c>
      <c r="H12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2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2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2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2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22" s="75">
        <f>COUNTIF(Documentos!A:A,A122&amp;"Proposicion")</f>
        <v>1</v>
      </c>
      <c r="N12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143 DAP</v>
      </c>
      <c r="O12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2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2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2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2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22" s="67">
        <f>COUNTIF(Documentos!A:A,A122&amp;"Decreto")</f>
        <v>0</v>
      </c>
      <c r="U12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2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2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23" spans="1:26" x14ac:dyDescent="0.25">
      <c r="A123" s="19">
        <v>121</v>
      </c>
      <c r="B123" s="122"/>
      <c r="C123" s="13"/>
      <c r="D123" s="13"/>
      <c r="E123" s="6"/>
      <c r="F123" s="65">
        <f>COUNTIF(Documentos!A:A,A123&amp;"Oficio_Solicitud")</f>
        <v>1</v>
      </c>
      <c r="G12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188 DOP</v>
      </c>
      <c r="H12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2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2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2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2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23" s="75">
        <f>COUNTIF(Documentos!A:A,A123&amp;"Proposicion")</f>
        <v>1</v>
      </c>
      <c r="N12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130 DOP</v>
      </c>
      <c r="O12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2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2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2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2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23" s="67">
        <f>COUNTIF(Documentos!A:A,A123&amp;"Decreto")</f>
        <v>0</v>
      </c>
      <c r="U12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2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2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24" spans="1:26" ht="22.5" x14ac:dyDescent="0.25">
      <c r="A124" s="19">
        <v>122</v>
      </c>
      <c r="B124" s="122" t="s">
        <v>1103</v>
      </c>
      <c r="C124" s="13"/>
      <c r="D124" s="13"/>
      <c r="E124" s="6"/>
      <c r="F124" s="65">
        <f>COUNTIF(Documentos!A:A,A124&amp;"Oficio_Solicitud")</f>
        <v>1</v>
      </c>
      <c r="G12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2545 DV_FETCovid19</v>
      </c>
      <c r="H12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2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2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2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2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24" s="75">
        <f>COUNTIF(Documentos!A:A,A124&amp;"Proposicion")</f>
        <v>1</v>
      </c>
      <c r="N12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178 DV_FETCovid19</v>
      </c>
      <c r="O12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2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2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2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2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24" s="67">
        <f>COUNTIF(Documentos!A:A,A124&amp;"Decreto")</f>
        <v>0</v>
      </c>
      <c r="U12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2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2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25" spans="1:26" ht="22.5" x14ac:dyDescent="0.25">
      <c r="A125" s="19">
        <v>123</v>
      </c>
      <c r="B125" s="122" t="s">
        <v>1104</v>
      </c>
      <c r="C125" s="13"/>
      <c r="D125" s="13"/>
      <c r="E125" s="6"/>
      <c r="F125" s="65">
        <f>COUNTIF(Documentos!A:A,A125&amp;"Oficio_Solicitud")</f>
        <v>1</v>
      </c>
      <c r="G12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141 DAP</v>
      </c>
      <c r="H12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2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2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2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2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25" s="75">
        <f>COUNTIF(Documentos!A:A,A125&amp;"Proposicion")</f>
        <v>0</v>
      </c>
      <c r="N12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2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2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2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2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2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25" s="67">
        <f>COUNTIF(Documentos!A:A,A125&amp;"Decreto")</f>
        <v>0</v>
      </c>
      <c r="U12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2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2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26" spans="1:26" x14ac:dyDescent="0.25">
      <c r="A126" s="19">
        <v>124</v>
      </c>
      <c r="B126" s="122"/>
      <c r="C126" s="13"/>
      <c r="D126" s="13"/>
      <c r="E126" s="6"/>
      <c r="F126" s="65">
        <f>COUNTIF(Documentos!A:A,A126&amp;"Oficio_Solicitud")</f>
        <v>1</v>
      </c>
      <c r="G12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145 DAP_FETCovid19correo</v>
      </c>
      <c r="H12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2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2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2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2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26" s="75">
        <f>COUNTIF(Documentos!A:A,A126&amp;"Proposicion")</f>
        <v>1</v>
      </c>
      <c r="N12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191 DAP_FETCovid19</v>
      </c>
      <c r="O12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2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2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2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2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26" s="67">
        <f>COUNTIF(Documentos!A:A,A126&amp;"Decreto")</f>
        <v>1</v>
      </c>
      <c r="U12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651 DAP_FETCovid19</v>
      </c>
      <c r="V12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2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27" spans="1:26" x14ac:dyDescent="0.25">
      <c r="A127" s="19">
        <v>125</v>
      </c>
      <c r="B127" s="122"/>
      <c r="C127" s="13"/>
      <c r="D127" s="13"/>
      <c r="E127" s="6"/>
      <c r="F127" s="65">
        <f>COUNTIF(Documentos!A:A,A127&amp;"Oficio_Solicitud")</f>
        <v>1</v>
      </c>
      <c r="G12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205 DOP-DOP_FETCovid19</v>
      </c>
      <c r="H12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2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2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2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2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27" s="75">
        <f>COUNTIF(Documentos!A:A,A127&amp;"Proposicion")</f>
        <v>1</v>
      </c>
      <c r="N12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273 DOP-DOP_FETCovid19</v>
      </c>
      <c r="O12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2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2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2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2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27" s="67">
        <f>COUNTIF(Documentos!A:A,A127&amp;"Decreto")</f>
        <v>0</v>
      </c>
      <c r="U12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2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2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28" spans="1:26" x14ac:dyDescent="0.25">
      <c r="A128" s="19">
        <v>126</v>
      </c>
      <c r="B128" s="122"/>
      <c r="C128" s="13"/>
      <c r="D128" s="13"/>
      <c r="E128" s="6"/>
      <c r="F128" s="65">
        <f>COUNTIF(Documentos!A:A,A128&amp;"Oficio_Solicitud")</f>
        <v>1</v>
      </c>
      <c r="G12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142 DAP-DAP_FETCovid19</v>
      </c>
      <c r="H12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2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2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2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2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28" s="75">
        <f>COUNTIF(Documentos!A:A,A128&amp;"Proposicion")</f>
        <v>1</v>
      </c>
      <c r="N12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273 DAP-DAP_FETCovid19</v>
      </c>
      <c r="O12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2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2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2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2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28" s="67">
        <f>COUNTIF(Documentos!A:A,A128&amp;"Decreto")</f>
        <v>0</v>
      </c>
      <c r="U12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2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2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29" spans="1:26" ht="22.5" x14ac:dyDescent="0.25">
      <c r="A129" s="19">
        <v>127</v>
      </c>
      <c r="B129" s="122" t="s">
        <v>1105</v>
      </c>
      <c r="C129" s="13"/>
      <c r="D129" s="13"/>
      <c r="E129" s="6"/>
      <c r="F129" s="65">
        <f>COUNTIF(Documentos!A:A,A129&amp;"Oficio_Solicitud")</f>
        <v>0</v>
      </c>
      <c r="G12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12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2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2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2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2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29" s="75">
        <f>COUNTIF(Documentos!A:A,A129&amp;"Proposicion")</f>
        <v>1</v>
      </c>
      <c r="N12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982 DV</v>
      </c>
      <c r="O12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2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2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2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2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29" s="67">
        <f>COUNTIF(Documentos!A:A,A129&amp;"Decreto")</f>
        <v>0</v>
      </c>
      <c r="U12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2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2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30" spans="1:26" ht="33.75" x14ac:dyDescent="0.25">
      <c r="A130" s="19">
        <v>128</v>
      </c>
      <c r="B130" s="121" t="s">
        <v>1106</v>
      </c>
      <c r="C130" s="12"/>
      <c r="D130" s="12"/>
      <c r="E130" s="6"/>
      <c r="F130" s="65">
        <f>COUNTIF(Documentos!A:A,A130&amp;"Oficio_Solicitud")</f>
        <v>0</v>
      </c>
      <c r="G13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13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3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3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3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3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30" s="75">
        <f>COUNTIF(Documentos!A:A,A130&amp;"Proposicion")</f>
        <v>1</v>
      </c>
      <c r="N13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1611 DV</v>
      </c>
      <c r="O13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3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3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3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3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30" s="67">
        <f>COUNTIF(Documentos!A:A,A130&amp;"Decreto")</f>
        <v>0</v>
      </c>
      <c r="U13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3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3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31" spans="1:26" x14ac:dyDescent="0.25">
      <c r="A131" s="19">
        <v>129</v>
      </c>
      <c r="B131" s="122" t="s">
        <v>1107</v>
      </c>
      <c r="C131" s="13">
        <v>44611</v>
      </c>
      <c r="D131" s="13"/>
      <c r="E131" s="6"/>
      <c r="F131" s="65">
        <f>COUNTIF(Documentos!A:A,A131&amp;"Oficio_Solicitud")</f>
        <v>0</v>
      </c>
      <c r="G13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13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3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3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3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3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31" s="75">
        <f>COUNTIF(Documentos!A:A,A131&amp;"Proposicion")</f>
        <v>1</v>
      </c>
      <c r="N13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1667 DV</v>
      </c>
      <c r="O13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3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3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3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3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31" s="67">
        <f>COUNTIF(Documentos!A:A,A131&amp;"Decreto")</f>
        <v>0</v>
      </c>
      <c r="U13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3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3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32" spans="1:26" ht="33.75" x14ac:dyDescent="0.25">
      <c r="A132" s="19">
        <v>130</v>
      </c>
      <c r="B132" s="122" t="s">
        <v>1108</v>
      </c>
      <c r="C132" s="13"/>
      <c r="D132" s="13"/>
      <c r="E132" s="6"/>
      <c r="F132" s="65">
        <f>COUNTIF(Documentos!A:A,A132&amp;"Oficio_Solicitud")</f>
        <v>1</v>
      </c>
      <c r="G13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2370 DV_FETCovid19</v>
      </c>
      <c r="H13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3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3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3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3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32" s="75">
        <f>COUNTIF(Documentos!A:A,A132&amp;"Proposicion")</f>
        <v>1</v>
      </c>
      <c r="N13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159 DV_FETCovid19</v>
      </c>
      <c r="O13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3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3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3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3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32" s="67">
        <f>COUNTIF(Documentos!A:A,A132&amp;"Decreto")</f>
        <v>0</v>
      </c>
      <c r="U13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3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3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33" spans="1:26" ht="22.5" x14ac:dyDescent="0.25">
      <c r="A133" s="19">
        <v>131</v>
      </c>
      <c r="B133" s="122" t="s">
        <v>1109</v>
      </c>
      <c r="C133" s="13"/>
      <c r="D133" s="13"/>
      <c r="E133" s="6"/>
      <c r="F133" s="65">
        <f>COUNTIF(Documentos!A:A,A133&amp;"Oficio_Solicitud")</f>
        <v>1</v>
      </c>
      <c r="G13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95 DGA</v>
      </c>
      <c r="H13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3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3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3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3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33" s="75">
        <f>COUNTIF(Documentos!A:A,A133&amp;"Proposicion")</f>
        <v>1</v>
      </c>
      <c r="N13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95 DGA</v>
      </c>
      <c r="O13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3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3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3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3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33" s="67">
        <f>COUNTIF(Documentos!A:A,A133&amp;"Decreto")</f>
        <v>0</v>
      </c>
      <c r="U13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3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3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34" spans="1:26" x14ac:dyDescent="0.25">
      <c r="A134" s="19">
        <v>132</v>
      </c>
      <c r="B134" s="122"/>
      <c r="C134" s="13"/>
      <c r="D134" s="13"/>
      <c r="E134" s="6"/>
      <c r="F134" s="65">
        <f>COUNTIF(Documentos!A:A,A134&amp;"Oficio_Solicitud")</f>
        <v>1</v>
      </c>
      <c r="G13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1218 FISC</v>
      </c>
      <c r="H13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3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3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3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3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34" s="75">
        <f>COUNTIF(Documentos!A:A,A134&amp;"Proposicion")</f>
        <v>1</v>
      </c>
      <c r="N13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273 FISC</v>
      </c>
      <c r="O13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3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3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3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3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34" s="67">
        <f>COUNTIF(Documentos!A:A,A134&amp;"Decreto")</f>
        <v>0</v>
      </c>
      <c r="U13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3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3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35" spans="1:26" ht="33.75" x14ac:dyDescent="0.25">
      <c r="A135" s="19">
        <v>133</v>
      </c>
      <c r="B135" s="121" t="s">
        <v>1110</v>
      </c>
      <c r="C135" s="12"/>
      <c r="D135" s="12"/>
      <c r="E135" s="6"/>
      <c r="F135" s="65">
        <f>COUNTIF(Documentos!A:A,A135&amp;"Oficio_Solicitud")</f>
        <v>1</v>
      </c>
      <c r="G13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2545 DV</v>
      </c>
      <c r="H13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3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3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3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3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35" s="75">
        <f>COUNTIF(Documentos!A:A,A135&amp;"Proposicion")</f>
        <v>1</v>
      </c>
      <c r="N13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179 DV</v>
      </c>
      <c r="O13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3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3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3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3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35" s="67">
        <f>COUNTIF(Documentos!A:A,A135&amp;"Decreto")</f>
        <v>0</v>
      </c>
      <c r="U13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3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3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36" spans="1:26" x14ac:dyDescent="0.25">
      <c r="A136" s="19">
        <v>134</v>
      </c>
      <c r="B136" s="122"/>
      <c r="C136" s="13"/>
      <c r="D136" s="13"/>
      <c r="E136" s="6"/>
      <c r="F136" s="65">
        <f>COUNTIF(Documentos!A:A,A136&amp;"Oficio_Solicitud")</f>
        <v>1</v>
      </c>
      <c r="G13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291 DA</v>
      </c>
      <c r="H13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3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3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3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3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36" s="75">
        <f>COUNTIF(Documentos!A:A,A136&amp;"Proposicion")</f>
        <v>1</v>
      </c>
      <c r="N13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273 DA</v>
      </c>
      <c r="O13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3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3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3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3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36" s="67">
        <f>COUNTIF(Documentos!A:A,A136&amp;"Decreto")</f>
        <v>0</v>
      </c>
      <c r="U13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3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3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37" spans="1:26" x14ac:dyDescent="0.25">
      <c r="A137" s="19">
        <v>135</v>
      </c>
      <c r="B137" s="122"/>
      <c r="C137" s="13"/>
      <c r="D137" s="13"/>
      <c r="E137" s="6"/>
      <c r="F137" s="65">
        <f>COUNTIF(Documentos!A:A,A137&amp;"Oficio_Solicitud")</f>
        <v>1</v>
      </c>
      <c r="G13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137 DP</v>
      </c>
      <c r="H13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3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3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3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3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37" s="75">
        <f>COUNTIF(Documentos!A:A,A137&amp;"Proposicion")</f>
        <v>1</v>
      </c>
      <c r="N13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273 DP</v>
      </c>
      <c r="O13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3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3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3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3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37" s="67">
        <f>COUNTIF(Documentos!A:A,A137&amp;"Decreto")</f>
        <v>0</v>
      </c>
      <c r="U13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3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3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38" spans="1:26" x14ac:dyDescent="0.25">
      <c r="A138" s="19">
        <v>136</v>
      </c>
      <c r="B138" s="122"/>
      <c r="C138" s="13"/>
      <c r="D138" s="13"/>
      <c r="E138" s="6"/>
      <c r="F138" s="65">
        <f>COUNTIF(Documentos!A:A,A138&amp;"Oficio_Solicitud")</f>
        <v>1</v>
      </c>
      <c r="G13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307 DGC</v>
      </c>
      <c r="H13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3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3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3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3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38" s="75">
        <f>COUNTIF(Documentos!A:A,A138&amp;"Proposicion")</f>
        <v>1</v>
      </c>
      <c r="N13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273 DGC</v>
      </c>
      <c r="O13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3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3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3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3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38" s="67">
        <f>COUNTIF(Documentos!A:A,A138&amp;"Decreto")</f>
        <v>0</v>
      </c>
      <c r="U13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3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3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39" spans="1:26" ht="22.5" x14ac:dyDescent="0.25">
      <c r="A139" s="19">
        <v>137</v>
      </c>
      <c r="B139" s="122" t="s">
        <v>1111</v>
      </c>
      <c r="C139" s="13"/>
      <c r="D139" s="13"/>
      <c r="E139" s="6"/>
      <c r="F139" s="65">
        <f>COUNTIF(Documentos!A:A,A139&amp;"Oficio_Solicitud")</f>
        <v>1</v>
      </c>
      <c r="G13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2716 DV</v>
      </c>
      <c r="H13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3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3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3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3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39" s="75">
        <f>COUNTIF(Documentos!A:A,A139&amp;"Proposicion")</f>
        <v>1</v>
      </c>
      <c r="N13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183 DV</v>
      </c>
      <c r="O13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3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3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3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3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39" s="67">
        <f>COUNTIF(Documentos!A:A,A139&amp;"Decreto")</f>
        <v>0</v>
      </c>
      <c r="U13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3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3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40" spans="1:26" x14ac:dyDescent="0.25">
      <c r="A140" s="19">
        <v>138</v>
      </c>
      <c r="B140" s="122"/>
      <c r="C140" s="13"/>
      <c r="D140" s="13"/>
      <c r="E140" s="6"/>
      <c r="F140" s="65">
        <f>COUNTIF(Documentos!A:A,A140&amp;"Oficio_Solicitud")</f>
        <v>1</v>
      </c>
      <c r="G14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293 DA</v>
      </c>
      <c r="H14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4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4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4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4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40" s="75">
        <f>COUNTIF(Documentos!A:A,A140&amp;"Proposicion")</f>
        <v>1</v>
      </c>
      <c r="N14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218 DA</v>
      </c>
      <c r="O14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4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4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4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4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40" s="67">
        <f>COUNTIF(Documentos!A:A,A140&amp;"Decreto")</f>
        <v>0</v>
      </c>
      <c r="U14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4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4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41" spans="1:26" x14ac:dyDescent="0.25">
      <c r="A141" s="19">
        <v>139</v>
      </c>
      <c r="B141" s="122"/>
      <c r="C141" s="13"/>
      <c r="D141" s="13"/>
      <c r="E141" s="6"/>
      <c r="F141" s="65">
        <f>COUNTIF(Documentos!A:A,A141&amp;"Oficio_Solicitud")</f>
        <v>1</v>
      </c>
      <c r="G14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179 DCyF</v>
      </c>
      <c r="H14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4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4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4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4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41" s="75">
        <f>COUNTIF(Documentos!A:A,A141&amp;"Proposicion")</f>
        <v>1</v>
      </c>
      <c r="N14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273 DCyF</v>
      </c>
      <c r="O14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4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4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4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4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41" s="67">
        <f>COUNTIF(Documentos!A:A,A141&amp;"Decreto")</f>
        <v>0</v>
      </c>
      <c r="U14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4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4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42" spans="1:26" ht="157.5" x14ac:dyDescent="0.25">
      <c r="A142" s="19">
        <v>140</v>
      </c>
      <c r="B142" s="122" t="s">
        <v>1112</v>
      </c>
      <c r="C142" s="13"/>
      <c r="D142" s="13"/>
      <c r="E142" s="6"/>
      <c r="F142" s="65">
        <f>COUNTIF(Documentos!A:A,A142&amp;"Oficio_Solicitud")</f>
        <v>1</v>
      </c>
      <c r="G14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2858 DVcorreo</v>
      </c>
      <c r="H14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4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4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4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4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42" s="75">
        <f>COUNTIF(Documentos!A:A,A142&amp;"Proposicion")</f>
        <v>1</v>
      </c>
      <c r="N14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217 DV</v>
      </c>
      <c r="O14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4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4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4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4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42" s="67">
        <f>COUNTIF(Documentos!A:A,A142&amp;"Decreto")</f>
        <v>1</v>
      </c>
      <c r="U14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685 DV</v>
      </c>
      <c r="V14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4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43" spans="1:26" ht="22.5" x14ac:dyDescent="0.25">
      <c r="A143" s="19">
        <v>141</v>
      </c>
      <c r="B143" s="122" t="s">
        <v>1113</v>
      </c>
      <c r="C143" s="13"/>
      <c r="D143" s="13"/>
      <c r="E143" s="6"/>
      <c r="F143" s="65">
        <f>COUNTIF(Documentos!A:A,A143&amp;"Oficio_Solicitud")</f>
        <v>1</v>
      </c>
      <c r="G14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114 SOP</v>
      </c>
      <c r="H14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4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4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4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4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43" s="75">
        <f>COUNTIF(Documentos!A:A,A143&amp;"Proposicion")</f>
        <v>0</v>
      </c>
      <c r="N14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4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4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4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4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4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43" s="67">
        <f>COUNTIF(Documentos!A:A,A143&amp;"Decreto")</f>
        <v>0</v>
      </c>
      <c r="U14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4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4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44" spans="1:26" x14ac:dyDescent="0.25">
      <c r="A144" s="19">
        <v>142</v>
      </c>
      <c r="B144" s="122"/>
      <c r="C144" s="13"/>
      <c r="D144" s="13"/>
      <c r="E144" s="6"/>
      <c r="F144" s="65">
        <f>COUNTIF(Documentos!A:A,A144&amp;"Oficio_Solicitud")</f>
        <v>1</v>
      </c>
      <c r="G14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73 DGOP</v>
      </c>
      <c r="H14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4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4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4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4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44" s="75">
        <f>COUNTIF(Documentos!A:A,A144&amp;"Proposicion")</f>
        <v>1</v>
      </c>
      <c r="N14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273 DGOP</v>
      </c>
      <c r="O14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4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4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4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4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44" s="67">
        <f>COUNTIF(Documentos!A:A,A144&amp;"Decreto")</f>
        <v>0</v>
      </c>
      <c r="U14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4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4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45" spans="1:26" ht="22.5" x14ac:dyDescent="0.25">
      <c r="A145" s="19">
        <v>143</v>
      </c>
      <c r="B145" s="122" t="s">
        <v>1114</v>
      </c>
      <c r="C145" s="13"/>
      <c r="D145" s="13"/>
      <c r="E145" s="6"/>
      <c r="F145" s="65">
        <f>COUNTIF(Documentos!A:A,A145&amp;"Oficio_Solicitud")</f>
        <v>1</v>
      </c>
      <c r="G14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2716 DV_FETCovid19</v>
      </c>
      <c r="H14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4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4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4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4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45" s="75">
        <f>COUNTIF(Documentos!A:A,A145&amp;"Proposicion")</f>
        <v>1</v>
      </c>
      <c r="N14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185 DV_FETCovid19</v>
      </c>
      <c r="O14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4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4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4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4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45" s="67">
        <f>COUNTIF(Documentos!A:A,A145&amp;"Decreto")</f>
        <v>0</v>
      </c>
      <c r="U14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4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4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46" spans="1:26" x14ac:dyDescent="0.25">
      <c r="A146" s="19">
        <v>144</v>
      </c>
      <c r="B146" s="122"/>
      <c r="C146" s="13"/>
      <c r="D146" s="13"/>
      <c r="E146" s="6"/>
      <c r="F146" s="65">
        <f>COUNTIF(Documentos!A:A,A146&amp;"Oficio_Solicitud")</f>
        <v>1</v>
      </c>
      <c r="G14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731 DOH-APR-DOH_FETCovid19-APR_FETCovid19</v>
      </c>
      <c r="H14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4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4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4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4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46" s="75">
        <f>COUNTIF(Documentos!A:A,A146&amp;"Proposicion")</f>
        <v>1</v>
      </c>
      <c r="N14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273 DOH-APR-DOH_FETCovid19-APR_FETCovid19</v>
      </c>
      <c r="O14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4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4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4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4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46" s="67">
        <f>COUNTIF(Documentos!A:A,A146&amp;"Decreto")</f>
        <v>0</v>
      </c>
      <c r="U14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4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4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47" spans="1:26" x14ac:dyDescent="0.25">
      <c r="A147" s="19">
        <v>145</v>
      </c>
      <c r="B147" s="122"/>
      <c r="C147" s="13"/>
      <c r="D147" s="13"/>
      <c r="E147" s="6"/>
      <c r="F147" s="65">
        <f>COUNTIF(Documentos!A:A,A147&amp;"Oficio_Solicitud")</f>
        <v>1</v>
      </c>
      <c r="G14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777 APRcorreo</v>
      </c>
      <c r="H14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4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4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4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4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47" s="75">
        <f>COUNTIF(Documentos!A:A,A147&amp;"Proposicion")</f>
        <v>1</v>
      </c>
      <c r="N14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201 APR</v>
      </c>
      <c r="O14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4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4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4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4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47" s="67">
        <f>COUNTIF(Documentos!A:A,A147&amp;"Decreto")</f>
        <v>1</v>
      </c>
      <c r="U14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652 APR</v>
      </c>
      <c r="V14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4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48" spans="1:26" ht="33.75" x14ac:dyDescent="0.25">
      <c r="A148" s="19">
        <v>146</v>
      </c>
      <c r="B148" s="122" t="s">
        <v>1253</v>
      </c>
      <c r="C148" s="17"/>
      <c r="D148" s="13">
        <v>44656</v>
      </c>
      <c r="E148" s="6"/>
      <c r="F148" s="65">
        <f>COUNTIF(Documentos!A:A,A148&amp;"Oficio_Solicitud")</f>
        <v>1</v>
      </c>
      <c r="G14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979 SISS</v>
      </c>
      <c r="H14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4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4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4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4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48" s="75">
        <f>COUNTIF(Documentos!A:A,A148&amp;"Proposicion")</f>
        <v>0</v>
      </c>
      <c r="N14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4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4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4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4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4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48" s="67">
        <f>COUNTIF(Documentos!A:A,A148&amp;"Decreto")</f>
        <v>0</v>
      </c>
      <c r="U14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4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4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49" spans="1:26" x14ac:dyDescent="0.25">
      <c r="A149" s="19">
        <v>147</v>
      </c>
      <c r="B149" s="122"/>
      <c r="C149" s="13"/>
      <c r="D149" s="13"/>
      <c r="E149" s="6"/>
      <c r="F149" s="65">
        <f>COUNTIF(Documentos!A:A,A149&amp;"Oficio_Solicitud")</f>
        <v>1</v>
      </c>
      <c r="G14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166 DAPcorreo</v>
      </c>
      <c r="H14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4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4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4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4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49" s="75">
        <f>COUNTIF(Documentos!A:A,A149&amp;"Proposicion")</f>
        <v>1</v>
      </c>
      <c r="N14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216 DAP</v>
      </c>
      <c r="O14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4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4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4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4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49" s="67">
        <f>COUNTIF(Documentos!A:A,A149&amp;"Decreto")</f>
        <v>1</v>
      </c>
      <c r="U14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767 DAP</v>
      </c>
      <c r="V14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4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50" spans="1:26" x14ac:dyDescent="0.25">
      <c r="A150" s="19">
        <v>148</v>
      </c>
      <c r="B150" s="122"/>
      <c r="C150" s="13"/>
      <c r="D150" s="13"/>
      <c r="E150" s="6"/>
      <c r="F150" s="65">
        <f>COUNTIF(Documentos!A:A,A150&amp;"Oficio_Solicitud")</f>
        <v>1</v>
      </c>
      <c r="G15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171 DAP_FETCovid19</v>
      </c>
      <c r="H15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5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5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5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5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50" s="75">
        <f>COUNTIF(Documentos!A:A,A150&amp;"Proposicion")</f>
        <v>1</v>
      </c>
      <c r="N15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186 DAP_FETCovid19</v>
      </c>
      <c r="O15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5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5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5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5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50" s="67">
        <f>COUNTIF(Documentos!A:A,A150&amp;"Decreto")</f>
        <v>0</v>
      </c>
      <c r="U15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5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5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51" spans="1:26" x14ac:dyDescent="0.25">
      <c r="A151" s="19">
        <v>149</v>
      </c>
      <c r="B151" s="122"/>
      <c r="C151" s="13"/>
      <c r="D151" s="13"/>
      <c r="E151" s="6"/>
      <c r="F151" s="65">
        <f>COUNTIF(Documentos!A:A,A151&amp;"Oficio_Solicitud")</f>
        <v>1</v>
      </c>
      <c r="G15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256 DOP</v>
      </c>
      <c r="H15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5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5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5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5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51" s="75">
        <f>COUNTIF(Documentos!A:A,A151&amp;"Proposicion")</f>
        <v>1</v>
      </c>
      <c r="N15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184 DOP</v>
      </c>
      <c r="O15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5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5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5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5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51" s="67">
        <f>COUNTIF(Documentos!A:A,A151&amp;"Decreto")</f>
        <v>0</v>
      </c>
      <c r="U15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5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5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52" spans="1:26" x14ac:dyDescent="0.25">
      <c r="A152" s="19">
        <v>150</v>
      </c>
      <c r="B152" s="122"/>
      <c r="C152" s="13"/>
      <c r="D152" s="13"/>
      <c r="E152" s="6"/>
      <c r="F152" s="65">
        <f>COUNTIF(Documentos!A:A,A152&amp;"Oficio_Solicitud")</f>
        <v>1</v>
      </c>
      <c r="G15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257 DOP</v>
      </c>
      <c r="H15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5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5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5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5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52" s="75">
        <f>COUNTIF(Documentos!A:A,A152&amp;"Proposicion")</f>
        <v>1</v>
      </c>
      <c r="N15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199 DOP</v>
      </c>
      <c r="O15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5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5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5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5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52" s="67">
        <f>COUNTIF(Documentos!A:A,A152&amp;"Decreto")</f>
        <v>1</v>
      </c>
      <c r="U15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682 DOP</v>
      </c>
      <c r="V15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5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53" spans="1:26" x14ac:dyDescent="0.25">
      <c r="A153" s="19">
        <v>151</v>
      </c>
      <c r="B153" s="122"/>
      <c r="C153" s="13"/>
      <c r="D153" s="13"/>
      <c r="E153" s="6"/>
      <c r="F153" s="65">
        <f>COUNTIF(Documentos!A:A,A153&amp;"Oficio_Solicitud")</f>
        <v>1</v>
      </c>
      <c r="G15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321 DA</v>
      </c>
      <c r="H15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5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5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5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5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53" s="75">
        <f>COUNTIF(Documentos!A:A,A153&amp;"Proposicion")</f>
        <v>1</v>
      </c>
      <c r="N15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202 DA</v>
      </c>
      <c r="O15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5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5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5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5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53" s="67">
        <f>COUNTIF(Documentos!A:A,A153&amp;"Decreto")</f>
        <v>1</v>
      </c>
      <c r="U15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662 DA</v>
      </c>
      <c r="V15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5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54" spans="1:26" ht="22.5" x14ac:dyDescent="0.25">
      <c r="A154" s="19">
        <v>152</v>
      </c>
      <c r="B154" s="122" t="s">
        <v>1115</v>
      </c>
      <c r="C154" s="13"/>
      <c r="D154" s="13"/>
      <c r="E154" s="6"/>
      <c r="F154" s="65">
        <f>COUNTIF(Documentos!A:A,A154&amp;"Oficio_Solicitud")</f>
        <v>1</v>
      </c>
      <c r="G15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3096 DVcorreo</v>
      </c>
      <c r="H15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5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5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5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5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54" s="75">
        <f>COUNTIF(Documentos!A:A,A154&amp;"Proposicion")</f>
        <v>1</v>
      </c>
      <c r="N15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271 DV</v>
      </c>
      <c r="O15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5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5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5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5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54" s="67">
        <f>COUNTIF(Documentos!A:A,A154&amp;"Decreto")</f>
        <v>1</v>
      </c>
      <c r="U15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854 DV</v>
      </c>
      <c r="V15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5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55" spans="1:26" x14ac:dyDescent="0.25">
      <c r="A155" s="19">
        <v>153</v>
      </c>
      <c r="B155" s="122"/>
      <c r="C155" s="13"/>
      <c r="D155" s="13"/>
      <c r="E155" s="6"/>
      <c r="F155" s="65">
        <f>COUNTIF(Documentos!A:A,A155&amp;"Oficio_Solicitud")</f>
        <v>1</v>
      </c>
      <c r="G15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342 DA</v>
      </c>
      <c r="H15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5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5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5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5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55" s="75">
        <f>COUNTIF(Documentos!A:A,A155&amp;"Proposicion")</f>
        <v>1</v>
      </c>
      <c r="N15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244 DA</v>
      </c>
      <c r="O15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5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5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5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5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55" s="67">
        <f>COUNTIF(Documentos!A:A,A155&amp;"Decreto")</f>
        <v>1</v>
      </c>
      <c r="U15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740 DA</v>
      </c>
      <c r="V15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5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56" spans="1:26" x14ac:dyDescent="0.25">
      <c r="A156" s="19">
        <v>154</v>
      </c>
      <c r="B156" s="122"/>
      <c r="C156" s="13"/>
      <c r="D156" s="13"/>
      <c r="E156" s="6"/>
      <c r="F156" s="65">
        <f>COUNTIF(Documentos!A:A,A156&amp;"Oficio_Solicitud")</f>
        <v>1</v>
      </c>
      <c r="G15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261 DOP_FETCovid19</v>
      </c>
      <c r="H15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5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5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5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5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56" s="75">
        <f>COUNTIF(Documentos!A:A,A156&amp;"Proposicion")</f>
        <v>1</v>
      </c>
      <c r="N15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198 DOP_FETCovid19</v>
      </c>
      <c r="O15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5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5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5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5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56" s="67">
        <f>COUNTIF(Documentos!A:A,A156&amp;"Decreto")</f>
        <v>1</v>
      </c>
      <c r="U15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667 DOP_FETCovid19</v>
      </c>
      <c r="V15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5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57" spans="1:26" x14ac:dyDescent="0.25">
      <c r="A157" s="19">
        <v>155</v>
      </c>
      <c r="B157" s="122" t="s">
        <v>1071</v>
      </c>
      <c r="C157" s="13"/>
      <c r="D157" s="13"/>
      <c r="E157" s="6"/>
      <c r="F157" s="65">
        <f>COUNTIF(Documentos!A:A,A157&amp;"Oficio_Solicitud")</f>
        <v>1</v>
      </c>
      <c r="G15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146 DGAcorreo</v>
      </c>
      <c r="H15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5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5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5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5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57" s="75">
        <f>COUNTIF(Documentos!A:A,A157&amp;"Proposicion")</f>
        <v>1</v>
      </c>
      <c r="N15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272 DGA</v>
      </c>
      <c r="O15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5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5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5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5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57" s="67">
        <f>COUNTIF(Documentos!A:A,A157&amp;"Decreto")</f>
        <v>2</v>
      </c>
      <c r="U15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676 DGA</v>
      </c>
      <c r="V15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677 DGA</v>
      </c>
      <c r="Z15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58" spans="1:26" ht="22.5" x14ac:dyDescent="0.25">
      <c r="A158" s="19">
        <v>156</v>
      </c>
      <c r="B158" s="122" t="s">
        <v>1116</v>
      </c>
      <c r="C158" s="13"/>
      <c r="D158" s="13"/>
      <c r="E158" s="6"/>
      <c r="F158" s="65">
        <f>COUNTIF(Documentos!A:A,A158&amp;"Oficio_Solicitud")</f>
        <v>1</v>
      </c>
      <c r="G15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860 DOH</v>
      </c>
      <c r="H15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5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5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5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5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58" s="75">
        <f>COUNTIF(Documentos!A:A,A158&amp;"Proposicion")</f>
        <v>1</v>
      </c>
      <c r="N15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234 DOH</v>
      </c>
      <c r="O15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5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5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5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5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58" s="67">
        <f>COUNTIF(Documentos!A:A,A158&amp;"Decreto")</f>
        <v>0</v>
      </c>
      <c r="U15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5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5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59" spans="1:26" ht="22.5" x14ac:dyDescent="0.25">
      <c r="A159" s="19">
        <v>157</v>
      </c>
      <c r="B159" s="122" t="s">
        <v>1117</v>
      </c>
      <c r="C159" s="13"/>
      <c r="D159" s="13"/>
      <c r="E159" s="6"/>
      <c r="F159" s="65">
        <f>COUNTIF(Documentos!A:A,A159&amp;"Oficio_Solicitud")</f>
        <v>1</v>
      </c>
      <c r="G15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861 DOH_FETCovid19</v>
      </c>
      <c r="H15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5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5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5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5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59" s="75">
        <f>COUNTIF(Documentos!A:A,A159&amp;"Proposicion")</f>
        <v>1</v>
      </c>
      <c r="N15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233 DOH_FETCovid19</v>
      </c>
      <c r="O15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5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5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5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5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59" s="67">
        <f>COUNTIF(Documentos!A:A,A159&amp;"Decreto")</f>
        <v>0</v>
      </c>
      <c r="U15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5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5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60" spans="1:26" x14ac:dyDescent="0.25">
      <c r="A160" s="19">
        <v>158</v>
      </c>
      <c r="B160" s="122" t="s">
        <v>1118</v>
      </c>
      <c r="C160" s="13"/>
      <c r="D160" s="13"/>
      <c r="E160" s="6"/>
      <c r="F160" s="65">
        <f>COUNTIF(Documentos!A:A,A160&amp;"Oficio_Solicitud")</f>
        <v>1</v>
      </c>
      <c r="G16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277 DOP</v>
      </c>
      <c r="H16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6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6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6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6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60" s="75">
        <f>COUNTIF(Documentos!A:A,A160&amp;"Proposicion")</f>
        <v>1</v>
      </c>
      <c r="N16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219 DOP</v>
      </c>
      <c r="O16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6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6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6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6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60" s="67">
        <f>COUNTIF(Documentos!A:A,A160&amp;"Decreto")</f>
        <v>0</v>
      </c>
      <c r="U16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6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6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61" spans="1:26" x14ac:dyDescent="0.25">
      <c r="A161" s="19">
        <v>159</v>
      </c>
      <c r="B161" s="122"/>
      <c r="C161" s="13"/>
      <c r="D161" s="13"/>
      <c r="E161" s="6"/>
      <c r="F161" s="65">
        <f>COUNTIF(Documentos!A:A,A161&amp;"Oficio_Solicitud")</f>
        <v>1</v>
      </c>
      <c r="G16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887 DOH</v>
      </c>
      <c r="H16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6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6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6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6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61" s="75">
        <f>COUNTIF(Documentos!A:A,A161&amp;"Proposicion")</f>
        <v>1</v>
      </c>
      <c r="N16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245 DOH</v>
      </c>
      <c r="O16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6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6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6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6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61" s="67">
        <f>COUNTIF(Documentos!A:A,A161&amp;"Decreto")</f>
        <v>1</v>
      </c>
      <c r="U16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687 DOH</v>
      </c>
      <c r="V16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6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62" spans="1:26" x14ac:dyDescent="0.25">
      <c r="A162" s="19">
        <v>160</v>
      </c>
      <c r="B162" s="122"/>
      <c r="C162" s="13"/>
      <c r="D162" s="13"/>
      <c r="E162" s="6"/>
      <c r="F162" s="65">
        <f>COUNTIF(Documentos!A:A,A162&amp;"Oficio_Solicitud")</f>
        <v>1</v>
      </c>
      <c r="G16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886 DOH</v>
      </c>
      <c r="H16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6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6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6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6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62" s="75">
        <f>COUNTIF(Documentos!A:A,A162&amp;"Proposicion")</f>
        <v>1</v>
      </c>
      <c r="N16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288 DOH</v>
      </c>
      <c r="O16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6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6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6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6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62" s="67">
        <f>COUNTIF(Documentos!A:A,A162&amp;"Decreto")</f>
        <v>0</v>
      </c>
      <c r="U16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6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6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63" spans="1:26" ht="33.75" x14ac:dyDescent="0.25">
      <c r="A163" s="19">
        <v>161</v>
      </c>
      <c r="B163" s="121" t="s">
        <v>1092</v>
      </c>
      <c r="C163" s="12"/>
      <c r="D163" s="12"/>
      <c r="E163" s="6"/>
      <c r="F163" s="65">
        <f>COUNTIF(Documentos!A:A,A163&amp;"Oficio_Solicitud")</f>
        <v>0</v>
      </c>
      <c r="G16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16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6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6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6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6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63" s="75">
        <f>COUNTIF(Documentos!A:A,A163&amp;"Proposicion")</f>
        <v>0</v>
      </c>
      <c r="N16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6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6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6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6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6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63" s="67">
        <f>COUNTIF(Documentos!A:A,A163&amp;"Decreto")</f>
        <v>0</v>
      </c>
      <c r="U16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6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6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64" spans="1:26" x14ac:dyDescent="0.25">
      <c r="A164" s="19">
        <v>162</v>
      </c>
      <c r="B164" s="121"/>
      <c r="C164" s="12"/>
      <c r="D164" s="12"/>
      <c r="E164" s="6"/>
      <c r="F164" s="65">
        <f>COUNTIF(Documentos!A:A,A164&amp;"Oficio_Solicitud")</f>
        <v>1</v>
      </c>
      <c r="G16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424 DGC</v>
      </c>
      <c r="H16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6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6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6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6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64" s="75">
        <f>COUNTIF(Documentos!A:A,A164&amp;"Proposicion")</f>
        <v>1</v>
      </c>
      <c r="N16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243 DGC</v>
      </c>
      <c r="O16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6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6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6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6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64" s="67">
        <f>COUNTIF(Documentos!A:A,A164&amp;"Decreto")</f>
        <v>1</v>
      </c>
      <c r="U16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679 DGC</v>
      </c>
      <c r="V16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6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65" spans="1:26" x14ac:dyDescent="0.25">
      <c r="A165" s="19">
        <v>163</v>
      </c>
      <c r="B165" s="121"/>
      <c r="C165" s="12"/>
      <c r="D165" s="12"/>
      <c r="E165" s="6"/>
      <c r="F165" s="65">
        <f>COUNTIF(Documentos!A:A,A165&amp;"Oficio_Solicitud")</f>
        <v>1</v>
      </c>
      <c r="G16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428 DGC</v>
      </c>
      <c r="H16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6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6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6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6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65" s="75">
        <f>COUNTIF(Documentos!A:A,A165&amp;"Proposicion")</f>
        <v>1</v>
      </c>
      <c r="N16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274 DGC</v>
      </c>
      <c r="O16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6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6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6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6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65" s="67">
        <f>COUNTIF(Documentos!A:A,A165&amp;"Decreto")</f>
        <v>1</v>
      </c>
      <c r="U16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675 DGC</v>
      </c>
      <c r="V16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6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66" spans="1:26" ht="33.75" x14ac:dyDescent="0.25">
      <c r="A166" s="19">
        <v>164</v>
      </c>
      <c r="B166" s="121" t="s">
        <v>1110</v>
      </c>
      <c r="C166" s="12"/>
      <c r="D166" s="12"/>
      <c r="E166" s="6"/>
      <c r="F166" s="65">
        <f>COUNTIF(Documentos!A:A,A166&amp;"Oficio_Solicitud")</f>
        <v>1</v>
      </c>
      <c r="G16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3591 DV</v>
      </c>
      <c r="H16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6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6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6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6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66" s="75">
        <f>COUNTIF(Documentos!A:A,A166&amp;"Proposicion")</f>
        <v>1</v>
      </c>
      <c r="N16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308 DV</v>
      </c>
      <c r="O16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6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6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6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6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66" s="67">
        <f>COUNTIF(Documentos!A:A,A166&amp;"Decreto")</f>
        <v>0</v>
      </c>
      <c r="U16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6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6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67" spans="1:26" x14ac:dyDescent="0.25">
      <c r="A167" s="19">
        <v>165</v>
      </c>
      <c r="B167" s="122"/>
      <c r="C167" s="13"/>
      <c r="D167" s="13"/>
      <c r="E167" s="6"/>
      <c r="F167" s="65">
        <f>COUNTIF(Documentos!A:A,A167&amp;"Oficio_Solicitud")</f>
        <v>1</v>
      </c>
      <c r="G16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288 DOP</v>
      </c>
      <c r="H16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6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6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6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6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67" s="75">
        <f>COUNTIF(Documentos!A:A,A167&amp;"Proposicion")</f>
        <v>1</v>
      </c>
      <c r="N16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235 DOP</v>
      </c>
      <c r="O16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6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6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6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6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67" s="67">
        <f>COUNTIF(Documentos!A:A,A167&amp;"Decreto")</f>
        <v>1</v>
      </c>
      <c r="U16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672 DOP</v>
      </c>
      <c r="V16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6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68" spans="1:26" x14ac:dyDescent="0.25">
      <c r="A168" s="19">
        <v>166</v>
      </c>
      <c r="B168" s="122"/>
      <c r="C168" s="13"/>
      <c r="D168" s="13"/>
      <c r="E168" s="6"/>
      <c r="F168" s="65">
        <f>COUNTIF(Documentos!A:A,A168&amp;"Oficio_Solicitud")</f>
        <v>1</v>
      </c>
      <c r="G16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195 DAP_FETCovid19</v>
      </c>
      <c r="H16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6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6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6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6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68" s="75">
        <f>COUNTIF(Documentos!A:A,A168&amp;"Proposicion")</f>
        <v>1</v>
      </c>
      <c r="N16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248 DAP_FETCovid19</v>
      </c>
      <c r="O16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6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6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6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6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68" s="67">
        <f>COUNTIF(Documentos!A:A,A168&amp;"Decreto")</f>
        <v>0</v>
      </c>
      <c r="U16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6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6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69" spans="1:26" x14ac:dyDescent="0.25">
      <c r="A169" s="19">
        <v>167</v>
      </c>
      <c r="B169" s="122"/>
      <c r="C169" s="13"/>
      <c r="D169" s="13"/>
      <c r="E169" s="6"/>
      <c r="F169" s="65">
        <f>COUNTIF(Documentos!A:A,A169&amp;"Oficio_Solicitud")</f>
        <v>1</v>
      </c>
      <c r="G16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196 DAP</v>
      </c>
      <c r="H16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6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6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6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6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69" s="75">
        <f>COUNTIF(Documentos!A:A,A169&amp;"Proposicion")</f>
        <v>1</v>
      </c>
      <c r="N16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247 DAP</v>
      </c>
      <c r="O16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6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6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6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6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69" s="67">
        <f>COUNTIF(Documentos!A:A,A169&amp;"Decreto")</f>
        <v>0</v>
      </c>
      <c r="U16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6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6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70" spans="1:26" ht="22.5" x14ac:dyDescent="0.25">
      <c r="A170" s="19">
        <v>168</v>
      </c>
      <c r="B170" s="122" t="s">
        <v>1119</v>
      </c>
      <c r="C170" s="13"/>
      <c r="D170" s="13"/>
      <c r="E170" s="6"/>
      <c r="F170" s="65">
        <f>COUNTIF(Documentos!A:A,A170&amp;"Oficio_Solicitud")</f>
        <v>1</v>
      </c>
      <c r="G17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937 APR_FETCovid19correo</v>
      </c>
      <c r="H17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7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7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7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7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70" s="75">
        <f>COUNTIF(Documentos!A:A,A170&amp;"Proposicion")</f>
        <v>1</v>
      </c>
      <c r="N17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287 APR_FETCovid19</v>
      </c>
      <c r="O17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7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7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7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7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70" s="67">
        <f>COUNTIF(Documentos!A:A,A170&amp;"Decreto")</f>
        <v>1</v>
      </c>
      <c r="U17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768 APR_FETCovid19</v>
      </c>
      <c r="V17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7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71" spans="1:26" x14ac:dyDescent="0.25">
      <c r="A171" s="19">
        <v>169</v>
      </c>
      <c r="B171" s="122"/>
      <c r="C171" s="13"/>
      <c r="D171" s="13"/>
      <c r="E171" s="6"/>
      <c r="F171" s="65">
        <f>COUNTIF(Documentos!A:A,A171&amp;"Oficio_Solicitud")</f>
        <v>1</v>
      </c>
      <c r="G17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426 DA</v>
      </c>
      <c r="H17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7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7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7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7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71" s="75">
        <f>COUNTIF(Documentos!A:A,A171&amp;"Proposicion")</f>
        <v>1</v>
      </c>
      <c r="N17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296 DA</v>
      </c>
      <c r="O17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7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7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7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7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71" s="67">
        <f>COUNTIF(Documentos!A:A,A171&amp;"Decreto")</f>
        <v>1</v>
      </c>
      <c r="U17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772 DA</v>
      </c>
      <c r="V17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7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72" spans="1:26" x14ac:dyDescent="0.25">
      <c r="A172" s="19">
        <v>170</v>
      </c>
      <c r="B172" s="122"/>
      <c r="C172" s="13"/>
      <c r="D172" s="13"/>
      <c r="E172" s="6"/>
      <c r="F172" s="65">
        <f>COUNTIF(Documentos!A:A,A172&amp;"Oficio_Solicitud")</f>
        <v>1</v>
      </c>
      <c r="G17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297 DOP_FETCovid19</v>
      </c>
      <c r="H17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7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7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7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7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72" s="75">
        <f>COUNTIF(Documentos!A:A,A172&amp;"Proposicion")</f>
        <v>1</v>
      </c>
      <c r="N17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246 DOP_FETCovid19</v>
      </c>
      <c r="O17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7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7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7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7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72" s="67">
        <f>COUNTIF(Documentos!A:A,A172&amp;"Decreto")</f>
        <v>0</v>
      </c>
      <c r="U17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7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7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73" spans="1:26" x14ac:dyDescent="0.25">
      <c r="A173" s="19">
        <v>171</v>
      </c>
      <c r="B173" s="122"/>
      <c r="C173" s="13"/>
      <c r="D173" s="13"/>
      <c r="E173" s="6"/>
      <c r="F173" s="65">
        <f>COUNTIF(Documentos!A:A,A173&amp;"Oficio_Solicitud")</f>
        <v>1</v>
      </c>
      <c r="G17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3646 DV-DV_FETCovid19</v>
      </c>
      <c r="H17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7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7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7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7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73" s="75">
        <f>COUNTIF(Documentos!A:A,A173&amp;"Proposicion")</f>
        <v>1</v>
      </c>
      <c r="N17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273 DV-DV_FETCovid19</v>
      </c>
      <c r="O17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7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7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7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7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73" s="67">
        <f>COUNTIF(Documentos!A:A,A173&amp;"Decreto")</f>
        <v>1</v>
      </c>
      <c r="U17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697 DV-DV_FETCovid19</v>
      </c>
      <c r="V17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7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74" spans="1:26" x14ac:dyDescent="0.25">
      <c r="A174" s="19">
        <v>172</v>
      </c>
      <c r="B174" s="122"/>
      <c r="C174" s="13"/>
      <c r="D174" s="13"/>
      <c r="E174" s="6"/>
      <c r="F174" s="65">
        <f>COUNTIF(Documentos!A:A,A174&amp;"Oficio_Solicitud")</f>
        <v>1</v>
      </c>
      <c r="G17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936 DOH_FETCovid19</v>
      </c>
      <c r="H17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7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7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7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7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74" s="75">
        <f>COUNTIF(Documentos!A:A,A174&amp;"Proposicion")</f>
        <v>1</v>
      </c>
      <c r="N17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286 DOH_FETCovid19</v>
      </c>
      <c r="O17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7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7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7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7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74" s="67">
        <f>COUNTIF(Documentos!A:A,A174&amp;"Decreto")</f>
        <v>1</v>
      </c>
      <c r="U17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678 DOH_FETCovid19</v>
      </c>
      <c r="V17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7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75" spans="1:26" x14ac:dyDescent="0.25">
      <c r="A175" s="19">
        <v>173</v>
      </c>
      <c r="B175" s="122" t="s">
        <v>1120</v>
      </c>
      <c r="C175" s="13"/>
      <c r="D175" s="13"/>
      <c r="E175" s="6"/>
      <c r="F175" s="65">
        <f>COUNTIF(Documentos!A:A,A175&amp;"Oficio_Solicitud")</f>
        <v>1</v>
      </c>
      <c r="G17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3535 DV</v>
      </c>
      <c r="H17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7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7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7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7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75" s="75">
        <f>COUNTIF(Documentos!A:A,A175&amp;"Proposicion")</f>
        <v>1</v>
      </c>
      <c r="N17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255 DV</v>
      </c>
      <c r="O17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7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7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7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7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75" s="67">
        <f>COUNTIF(Documentos!A:A,A175&amp;"Decreto")</f>
        <v>1</v>
      </c>
      <c r="U17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801 DV</v>
      </c>
      <c r="V17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7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76" spans="1:26" x14ac:dyDescent="0.25">
      <c r="A176" s="19">
        <v>174</v>
      </c>
      <c r="B176" s="122"/>
      <c r="C176" s="13"/>
      <c r="D176" s="13"/>
      <c r="E176" s="6"/>
      <c r="F176" s="65">
        <f>COUNTIF(Documentos!A:A,A176&amp;"Oficio_Solicitud")</f>
        <v>1</v>
      </c>
      <c r="G17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946 DOH_FETCovid19correo</v>
      </c>
      <c r="H17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7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7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7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7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76" s="75">
        <f>COUNTIF(Documentos!A:A,A176&amp;"Proposicion")</f>
        <v>1</v>
      </c>
      <c r="N17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318 DOH_FETCovid19</v>
      </c>
      <c r="O17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7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7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7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7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76" s="67">
        <f>COUNTIF(Documentos!A:A,A176&amp;"Decreto")</f>
        <v>1</v>
      </c>
      <c r="U17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827 DOH_FETCovid19</v>
      </c>
      <c r="V17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7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77" spans="1:26" ht="33.75" x14ac:dyDescent="0.25">
      <c r="A177" s="19">
        <v>175</v>
      </c>
      <c r="B177" s="122" t="s">
        <v>1121</v>
      </c>
      <c r="C177" s="13"/>
      <c r="D177" s="13"/>
      <c r="E177" s="6"/>
      <c r="F177" s="65">
        <f>COUNTIF(Documentos!A:A,A177&amp;"Oficio_Solicitud")</f>
        <v>1</v>
      </c>
      <c r="G17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947 DOH</v>
      </c>
      <c r="H17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7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7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7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7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77" s="75">
        <f>COUNTIF(Documentos!A:A,A177&amp;"Proposicion")</f>
        <v>1</v>
      </c>
      <c r="N17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297 DOH</v>
      </c>
      <c r="O17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7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7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7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7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77" s="67">
        <f>COUNTIF(Documentos!A:A,A177&amp;"Decreto")</f>
        <v>1</v>
      </c>
      <c r="U17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766 DOH</v>
      </c>
      <c r="V17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7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78" spans="1:26" x14ac:dyDescent="0.25">
      <c r="A178" s="19">
        <v>176</v>
      </c>
      <c r="B178" s="122"/>
      <c r="C178" s="13"/>
      <c r="D178" s="13"/>
      <c r="E178" s="6"/>
      <c r="F178" s="65">
        <f>COUNTIF(Documentos!A:A,A178&amp;"Oficio_Solicitud")</f>
        <v>1</v>
      </c>
      <c r="G17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73 MOP-MOP_FETCovid19</v>
      </c>
      <c r="H17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7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7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7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7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78" s="75">
        <f>COUNTIF(Documentos!A:A,A178&amp;"Proposicion")</f>
        <v>1</v>
      </c>
      <c r="N17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273 MOP-MOP_FETCovid19</v>
      </c>
      <c r="O17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7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7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7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7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78" s="67">
        <f>COUNTIF(Documentos!A:A,A178&amp;"Decreto")</f>
        <v>1</v>
      </c>
      <c r="U17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699 MOP-MOP_FETCovid19</v>
      </c>
      <c r="V17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7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79" spans="1:26" ht="22.5" x14ac:dyDescent="0.25">
      <c r="A179" s="19">
        <v>177</v>
      </c>
      <c r="B179" s="122" t="s">
        <v>1122</v>
      </c>
      <c r="C179" s="13"/>
      <c r="D179" s="13"/>
      <c r="E179" s="6"/>
      <c r="F179" s="65">
        <f>COUNTIF(Documentos!A:A,A179&amp;"Oficio_Solicitud")</f>
        <v>1</v>
      </c>
      <c r="G17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3894 DV</v>
      </c>
      <c r="H17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7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7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7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7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79" s="75">
        <f>COUNTIF(Documentos!A:A,A179&amp;"Proposicion")</f>
        <v>1</v>
      </c>
      <c r="N17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374 DV</v>
      </c>
      <c r="O17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7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7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7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7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79" s="67">
        <f>COUNTIF(Documentos!A:A,A179&amp;"Decreto")</f>
        <v>0</v>
      </c>
      <c r="U17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7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7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80" spans="1:26" x14ac:dyDescent="0.25">
      <c r="A180" s="19">
        <v>178</v>
      </c>
      <c r="B180" s="122"/>
      <c r="C180" s="13"/>
      <c r="D180" s="13"/>
      <c r="E180" s="6"/>
      <c r="F180" s="65">
        <f>COUNTIF(Documentos!A:A,A180&amp;"Oficio_Solicitud")</f>
        <v>0</v>
      </c>
      <c r="G18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18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8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8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8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8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80" s="75">
        <f>COUNTIF(Documentos!A:A,A180&amp;"Proposicion")</f>
        <v>0</v>
      </c>
      <c r="N18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8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8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8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8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8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80" s="67">
        <f>COUNTIF(Documentos!A:A,A180&amp;"Decreto")</f>
        <v>0</v>
      </c>
      <c r="U18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8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8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81" spans="1:26" x14ac:dyDescent="0.25">
      <c r="A181" s="19">
        <v>179</v>
      </c>
      <c r="B181" s="122"/>
      <c r="C181" s="13"/>
      <c r="D181" s="13"/>
      <c r="E181" s="6"/>
      <c r="F181" s="65">
        <f>COUNTIF(Documentos!A:A,A181&amp;"Oficio_Solicitud")</f>
        <v>1</v>
      </c>
      <c r="G18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318 DOP</v>
      </c>
      <c r="H18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8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8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8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8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81" s="75">
        <f>COUNTIF(Documentos!A:A,A181&amp;"Proposicion")</f>
        <v>1</v>
      </c>
      <c r="N18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307 DOP</v>
      </c>
      <c r="O18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8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8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8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8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81" s="67">
        <f>COUNTIF(Documentos!A:A,A181&amp;"Decreto")</f>
        <v>1</v>
      </c>
      <c r="U18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823 DOP</v>
      </c>
      <c r="V18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8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82" spans="1:26" x14ac:dyDescent="0.25">
      <c r="A182" s="19">
        <v>180</v>
      </c>
      <c r="B182" s="122"/>
      <c r="C182" s="13"/>
      <c r="D182" s="13"/>
      <c r="E182" s="6"/>
      <c r="F182" s="65">
        <f>COUNTIF(Documentos!A:A,A182&amp;"Oficio_Solicitud")</f>
        <v>1</v>
      </c>
      <c r="G18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217 DAP</v>
      </c>
      <c r="H18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8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8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8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8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82" s="75">
        <f>COUNTIF(Documentos!A:A,A182&amp;"Proposicion")</f>
        <v>1</v>
      </c>
      <c r="N18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312 DAP</v>
      </c>
      <c r="O18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8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8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8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8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82" s="67">
        <f>COUNTIF(Documentos!A:A,A182&amp;"Decreto")</f>
        <v>2</v>
      </c>
      <c r="U18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853 DAP</v>
      </c>
      <c r="V18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856 DAP</v>
      </c>
      <c r="Z18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83" spans="1:26" x14ac:dyDescent="0.25">
      <c r="A183" s="19">
        <v>181</v>
      </c>
      <c r="B183" s="122"/>
      <c r="C183" s="13"/>
      <c r="D183" s="13"/>
      <c r="E183" s="6"/>
      <c r="F183" s="65">
        <f>COUNTIF(Documentos!A:A,A183&amp;"Oficio_Solicitud")</f>
        <v>1</v>
      </c>
      <c r="G18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953 DOH</v>
      </c>
      <c r="H18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8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8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8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8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83" s="75">
        <f>COUNTIF(Documentos!A:A,A183&amp;"Proposicion")</f>
        <v>1</v>
      </c>
      <c r="N18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301 DOH</v>
      </c>
      <c r="O18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8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8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8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8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83" s="67">
        <f>COUNTIF(Documentos!A:A,A183&amp;"Decreto")</f>
        <v>2</v>
      </c>
      <c r="U18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758 DOH</v>
      </c>
      <c r="V18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760 DOH</v>
      </c>
      <c r="Z18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84" spans="1:26" ht="22.5" x14ac:dyDescent="0.25">
      <c r="A184" s="19">
        <v>182</v>
      </c>
      <c r="B184" s="122" t="s">
        <v>1072</v>
      </c>
      <c r="C184" s="13"/>
      <c r="D184" s="13"/>
      <c r="E184" s="6"/>
      <c r="F184" s="65">
        <f>COUNTIF(Documentos!A:A,A184&amp;"Oficio_Solicitud")</f>
        <v>0</v>
      </c>
      <c r="G18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18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8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8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8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8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84" s="75">
        <f>COUNTIF(Documentos!A:A,A184&amp;"Proposicion")</f>
        <v>0</v>
      </c>
      <c r="N18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8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8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8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8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8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84" s="67">
        <f>COUNTIF(Documentos!A:A,A184&amp;"Decreto")</f>
        <v>0</v>
      </c>
      <c r="U18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8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8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85" spans="1:26" x14ac:dyDescent="0.25">
      <c r="A185" s="19">
        <v>183</v>
      </c>
      <c r="B185" s="122"/>
      <c r="C185" s="13"/>
      <c r="D185" s="13"/>
      <c r="E185" s="6"/>
      <c r="F185" s="65">
        <f>COUNTIF(Documentos!A:A,A185&amp;"Oficio_Solicitud")</f>
        <v>1</v>
      </c>
      <c r="G18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990 APRcorreo</v>
      </c>
      <c r="H18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8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8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8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8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85" s="75">
        <f>COUNTIF(Documentos!A:A,A185&amp;"Proposicion")</f>
        <v>1</v>
      </c>
      <c r="N18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331 APR</v>
      </c>
      <c r="O18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8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8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8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8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85" s="67">
        <f>COUNTIF(Documentos!A:A,A185&amp;"Decreto")</f>
        <v>1</v>
      </c>
      <c r="U18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839 APR</v>
      </c>
      <c r="V18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8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86" spans="1:26" x14ac:dyDescent="0.25">
      <c r="A186" s="19">
        <v>184</v>
      </c>
      <c r="B186" s="122"/>
      <c r="C186" s="13"/>
      <c r="D186" s="13"/>
      <c r="E186" s="6"/>
      <c r="F186" s="65">
        <f>COUNTIF(Documentos!A:A,A186&amp;"Oficio_Solicitud")</f>
        <v>1</v>
      </c>
      <c r="G18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174 DAP</v>
      </c>
      <c r="H18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8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8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8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8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86" s="75">
        <f>COUNTIF(Documentos!A:A,A186&amp;"Proposicion")</f>
        <v>1</v>
      </c>
      <c r="N18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232 DAP</v>
      </c>
      <c r="O18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8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8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8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8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86" s="67">
        <f>COUNTIF(Documentos!A:A,A186&amp;"Decreto")</f>
        <v>1</v>
      </c>
      <c r="U18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1064 DAP</v>
      </c>
      <c r="V18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8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87" spans="1:26" ht="135" x14ac:dyDescent="0.25">
      <c r="A187" s="19">
        <v>185</v>
      </c>
      <c r="B187" s="122" t="s">
        <v>1123</v>
      </c>
      <c r="C187" s="13"/>
      <c r="D187" s="13"/>
      <c r="E187" s="6"/>
      <c r="F187" s="65">
        <f>COUNTIF(Documentos!A:A,A187&amp;"Oficio_Solicitud")</f>
        <v>1</v>
      </c>
      <c r="G18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4279 DV</v>
      </c>
      <c r="H18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8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8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8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8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87" s="75">
        <f>COUNTIF(Documentos!A:A,A187&amp;"Proposicion")</f>
        <v>1</v>
      </c>
      <c r="N18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450 DV</v>
      </c>
      <c r="O18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8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8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8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8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87" s="67">
        <f>COUNTIF(Documentos!A:A,A187&amp;"Decreto")</f>
        <v>1</v>
      </c>
      <c r="U18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1287 DV</v>
      </c>
      <c r="V18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8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88" spans="1:26" x14ac:dyDescent="0.25">
      <c r="A188" s="19">
        <v>186</v>
      </c>
      <c r="B188" s="122"/>
      <c r="C188" s="13"/>
      <c r="D188" s="13"/>
      <c r="E188" s="6"/>
      <c r="F188" s="65">
        <f>COUNTIF(Documentos!A:A,A188&amp;"Oficio_Solicitud")</f>
        <v>1</v>
      </c>
      <c r="G18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1267 SISS</v>
      </c>
      <c r="H18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8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8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8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8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88" s="75">
        <f>COUNTIF(Documentos!A:A,A188&amp;"Proposicion")</f>
        <v>1</v>
      </c>
      <c r="N18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295 SISS</v>
      </c>
      <c r="O18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8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8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8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8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88" s="67">
        <f>COUNTIF(Documentos!A:A,A188&amp;"Decreto")</f>
        <v>1</v>
      </c>
      <c r="U18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1390 SISS</v>
      </c>
      <c r="V18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8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89" spans="1:26" x14ac:dyDescent="0.25">
      <c r="A189" s="19">
        <v>187</v>
      </c>
      <c r="B189" s="122"/>
      <c r="C189" s="13"/>
      <c r="D189" s="13"/>
      <c r="E189" s="6"/>
      <c r="F189" s="65">
        <f>COUNTIF(Documentos!A:A,A189&amp;"Oficio_Solicitud")</f>
        <v>1</v>
      </c>
      <c r="G18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321 DOP</v>
      </c>
      <c r="H18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8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8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8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8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89" s="75">
        <f>COUNTIF(Documentos!A:A,A189&amp;"Proposicion")</f>
        <v>1</v>
      </c>
      <c r="N18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297 DOP</v>
      </c>
      <c r="O18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8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8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8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8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89" s="67">
        <f>COUNTIF(Documentos!A:A,A189&amp;"Decreto")</f>
        <v>0</v>
      </c>
      <c r="U18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8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8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90" spans="1:26" ht="78.75" x14ac:dyDescent="0.25">
      <c r="A190" s="19">
        <v>188</v>
      </c>
      <c r="B190" s="122" t="s">
        <v>1124</v>
      </c>
      <c r="C190" s="13"/>
      <c r="D190" s="13"/>
      <c r="E190" s="6"/>
      <c r="F190" s="65">
        <f>COUNTIF(Documentos!A:A,A190&amp;"Oficio_Solicitud")</f>
        <v>1</v>
      </c>
      <c r="G19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183 DGA_FETCovid19</v>
      </c>
      <c r="H19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9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9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9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9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90" s="75">
        <f>COUNTIF(Documentos!A:A,A190&amp;"Proposicion")</f>
        <v>0</v>
      </c>
      <c r="N19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9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9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9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9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9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90" s="67">
        <f>COUNTIF(Documentos!A:A,A190&amp;"Decreto")</f>
        <v>0</v>
      </c>
      <c r="U19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9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9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91" spans="1:26" ht="56.25" x14ac:dyDescent="0.25">
      <c r="A191" s="19">
        <v>189</v>
      </c>
      <c r="B191" s="122" t="s">
        <v>1125</v>
      </c>
      <c r="C191" s="13"/>
      <c r="D191" s="13"/>
      <c r="E191" s="6"/>
      <c r="F191" s="65">
        <f>COUNTIF(Documentos!A:A,A191&amp;"Oficio_Solicitud")</f>
        <v>1</v>
      </c>
      <c r="G19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2891 DV</v>
      </c>
      <c r="H19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9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9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9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9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91" s="75">
        <f>COUNTIF(Documentos!A:A,A191&amp;"Proposicion")</f>
        <v>1</v>
      </c>
      <c r="N19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300 DV</v>
      </c>
      <c r="O19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9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9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9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9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91" s="67">
        <f>COUNTIF(Documentos!A:A,A191&amp;"Decreto")</f>
        <v>0</v>
      </c>
      <c r="U19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9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9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92" spans="1:26" x14ac:dyDescent="0.25">
      <c r="A192" s="19">
        <v>190</v>
      </c>
      <c r="B192" s="122" t="s">
        <v>1126</v>
      </c>
      <c r="C192" s="13"/>
      <c r="D192" s="13"/>
      <c r="E192" s="6"/>
      <c r="F192" s="65">
        <f>COUNTIF(Documentos!A:A,A192&amp;"Oficio_Solicitud")</f>
        <v>1</v>
      </c>
      <c r="G19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156 SOP</v>
      </c>
      <c r="H19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9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9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9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9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92" s="75">
        <f>COUNTIF(Documentos!A:A,A192&amp;"Proposicion")</f>
        <v>1</v>
      </c>
      <c r="N19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328 SOP</v>
      </c>
      <c r="O19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9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9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9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9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92" s="67">
        <f>COUNTIF(Documentos!A:A,A192&amp;"Decreto")</f>
        <v>1</v>
      </c>
      <c r="U19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951 SOP</v>
      </c>
      <c r="V19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9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93" spans="1:26" x14ac:dyDescent="0.25">
      <c r="A193" s="19">
        <v>191</v>
      </c>
      <c r="B193" s="122"/>
      <c r="C193" s="13"/>
      <c r="D193" s="13"/>
      <c r="E193" s="6"/>
      <c r="F193" s="65">
        <f>COUNTIF(Documentos!A:A,A193&amp;"Oficio_Solicitud")</f>
        <v>0</v>
      </c>
      <c r="G19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19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9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9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9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9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93" s="75">
        <f>COUNTIF(Documentos!A:A,A193&amp;"Proposicion")</f>
        <v>0</v>
      </c>
      <c r="N19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9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9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9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9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9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93" s="67">
        <f>COUNTIF(Documentos!A:A,A193&amp;"Decreto")</f>
        <v>0</v>
      </c>
      <c r="U19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9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9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94" spans="1:26" x14ac:dyDescent="0.25">
      <c r="A194" s="19">
        <v>192</v>
      </c>
      <c r="B194" s="122" t="s">
        <v>1127</v>
      </c>
      <c r="C194" s="13"/>
      <c r="D194" s="13"/>
      <c r="E194" s="6"/>
      <c r="F194" s="65">
        <f>COUNTIF(Documentos!A:A,A194&amp;"Oficio_Solicitud")</f>
        <v>1</v>
      </c>
      <c r="G19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190 DGA</v>
      </c>
      <c r="H19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9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9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9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9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94" s="75">
        <f>COUNTIF(Documentos!A:A,A194&amp;"Proposicion")</f>
        <v>1</v>
      </c>
      <c r="N19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190 DGA</v>
      </c>
      <c r="O19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9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9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9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9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94" s="67">
        <f>COUNTIF(Documentos!A:A,A194&amp;"Decreto")</f>
        <v>0</v>
      </c>
      <c r="U19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9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9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95" spans="1:26" ht="33.75" x14ac:dyDescent="0.25">
      <c r="A195" s="19">
        <v>193</v>
      </c>
      <c r="B195" s="122" t="s">
        <v>1128</v>
      </c>
      <c r="C195" s="13"/>
      <c r="D195" s="13"/>
      <c r="E195" s="6"/>
      <c r="F195" s="65">
        <f>COUNTIF(Documentos!A:A,A195&amp;"Oficio_Solicitud")</f>
        <v>1</v>
      </c>
      <c r="G19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3591 DV_FETCovid19</v>
      </c>
      <c r="H19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9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9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9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9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95" s="75">
        <f>COUNTIF(Documentos!A:A,A195&amp;"Proposicion")</f>
        <v>1</v>
      </c>
      <c r="N19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309 DV_FETCovid19</v>
      </c>
      <c r="O19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9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9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9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9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95" s="67">
        <f>COUNTIF(Documentos!A:A,A195&amp;"Decreto")</f>
        <v>0</v>
      </c>
      <c r="U19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9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9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96" spans="1:26" x14ac:dyDescent="0.25">
      <c r="A196" s="19">
        <v>194</v>
      </c>
      <c r="B196" s="121"/>
      <c r="C196" s="12"/>
      <c r="D196" s="12"/>
      <c r="E196" s="6"/>
      <c r="F196" s="65">
        <f>COUNTIF(Documentos!A:A,A196&amp;"Oficio_Solicitud")</f>
        <v>0</v>
      </c>
      <c r="G19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19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9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9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9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9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96" s="75">
        <f>COUNTIF(Documentos!A:A,A196&amp;"Proposicion")</f>
        <v>0</v>
      </c>
      <c r="N19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9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9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9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9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9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96" s="67">
        <f>COUNTIF(Documentos!A:A,A196&amp;"Decreto")</f>
        <v>0</v>
      </c>
      <c r="U19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9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9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97" spans="1:26" ht="33.75" x14ac:dyDescent="0.25">
      <c r="A197" s="19">
        <v>195</v>
      </c>
      <c r="B197" s="122" t="s">
        <v>1129</v>
      </c>
      <c r="C197" s="13"/>
      <c r="D197" s="13"/>
      <c r="E197" s="6"/>
      <c r="F197" s="65">
        <f>COUNTIF(Documentos!A:A,A197&amp;"Oficio_Solicitud")</f>
        <v>1</v>
      </c>
      <c r="G19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870 DV</v>
      </c>
      <c r="H19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9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9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9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9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97" s="75">
        <f>COUNTIF(Documentos!A:A,A197&amp;"Proposicion")</f>
        <v>1</v>
      </c>
      <c r="N19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83 DV</v>
      </c>
      <c r="O19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9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9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9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9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97" s="67">
        <f>COUNTIF(Documentos!A:A,A197&amp;"Decreto")</f>
        <v>1</v>
      </c>
      <c r="U19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639 DV</v>
      </c>
      <c r="V19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9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98" spans="1:26" ht="33.75" x14ac:dyDescent="0.25">
      <c r="A198" s="19">
        <v>196</v>
      </c>
      <c r="B198" s="122" t="s">
        <v>1130</v>
      </c>
      <c r="C198" s="13"/>
      <c r="D198" s="13"/>
      <c r="E198" s="6"/>
      <c r="F198" s="65">
        <f>COUNTIF(Documentos!A:A,A198&amp;"Oficio_Solicitud")</f>
        <v>1</v>
      </c>
      <c r="G19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4480 DV-DV_FETCovid19</v>
      </c>
      <c r="H19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9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9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9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9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98" s="75">
        <f>COUNTIF(Documentos!A:A,A198&amp;"Proposicion")</f>
        <v>0</v>
      </c>
      <c r="N19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19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9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9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9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9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98" s="67">
        <f>COUNTIF(Documentos!A:A,A198&amp;"Decreto")</f>
        <v>0</v>
      </c>
      <c r="U19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19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9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199" spans="1:26" ht="90" x14ac:dyDescent="0.25">
      <c r="A199" s="19">
        <v>197</v>
      </c>
      <c r="B199" s="122" t="s">
        <v>1131</v>
      </c>
      <c r="C199" s="13"/>
      <c r="D199" s="13"/>
      <c r="E199" s="6"/>
      <c r="F199" s="65">
        <f>COUNTIF(Documentos!A:A,A199&amp;"Oficio_Solicitud")</f>
        <v>1</v>
      </c>
      <c r="G19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4279 DV_FETCovid19</v>
      </c>
      <c r="H19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19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19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19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19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199" s="75">
        <f>COUNTIF(Documentos!A:A,A199&amp;"Proposicion")</f>
        <v>1</v>
      </c>
      <c r="N19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454 DV_FETCovid19</v>
      </c>
      <c r="O19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19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19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19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19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199" s="67">
        <f>COUNTIF(Documentos!A:A,A199&amp;"Decreto")</f>
        <v>1</v>
      </c>
      <c r="U19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1348 DV_FETCovid19</v>
      </c>
      <c r="V19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19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00" spans="1:26" x14ac:dyDescent="0.25">
      <c r="A200" s="19">
        <v>198</v>
      </c>
      <c r="B200" s="122"/>
      <c r="C200" s="13"/>
      <c r="D200" s="13"/>
      <c r="E200" s="6"/>
      <c r="F200" s="65">
        <f>COUNTIF(Documentos!A:A,A200&amp;"Oficio_Solicitud")</f>
        <v>1</v>
      </c>
      <c r="G20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1018 DOH</v>
      </c>
      <c r="H20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0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0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0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0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00" s="75">
        <f>COUNTIF(Documentos!A:A,A200&amp;"Proposicion")</f>
        <v>1</v>
      </c>
      <c r="N20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323 DOH</v>
      </c>
      <c r="O20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0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0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0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0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00" s="67">
        <f>COUNTIF(Documentos!A:A,A200&amp;"Decreto")</f>
        <v>1</v>
      </c>
      <c r="U20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900 DOH</v>
      </c>
      <c r="V20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0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01" spans="1:26" ht="22.5" x14ac:dyDescent="0.25">
      <c r="A201" s="19">
        <v>199</v>
      </c>
      <c r="B201" s="122" t="s">
        <v>1132</v>
      </c>
      <c r="C201" s="13">
        <v>44692</v>
      </c>
      <c r="D201" s="13"/>
      <c r="E201" s="6"/>
      <c r="F201" s="65">
        <f>COUNTIF(Documentos!A:A,A201&amp;"Oficio_Solicitud")</f>
        <v>1</v>
      </c>
      <c r="G20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184 DGA</v>
      </c>
      <c r="H20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0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0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0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0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01" s="75">
        <f>COUNTIF(Documentos!A:A,A201&amp;"Proposicion")</f>
        <v>1</v>
      </c>
      <c r="N20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184 DGA</v>
      </c>
      <c r="O20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0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0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0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0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01" s="67">
        <f>COUNTIF(Documentos!A:A,A201&amp;"Decreto")</f>
        <v>0</v>
      </c>
      <c r="U20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0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0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02" spans="1:26" x14ac:dyDescent="0.25">
      <c r="A202" s="19">
        <v>200</v>
      </c>
      <c r="B202" s="122"/>
      <c r="C202" s="13"/>
      <c r="D202" s="13"/>
      <c r="E202" s="6"/>
      <c r="F202" s="65">
        <f>COUNTIF(Documentos!A:A,A202&amp;"Oficio_Solicitud")</f>
        <v>1</v>
      </c>
      <c r="G20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4561 DV</v>
      </c>
      <c r="H20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0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0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0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0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02" s="75">
        <f>COUNTIF(Documentos!A:A,A202&amp;"Proposicion")</f>
        <v>1</v>
      </c>
      <c r="N20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380 DV</v>
      </c>
      <c r="O20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0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0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0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0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02" s="67">
        <f>COUNTIF(Documentos!A:A,A202&amp;"Decreto")</f>
        <v>1</v>
      </c>
      <c r="U20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1035 DV</v>
      </c>
      <c r="V20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0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03" spans="1:26" x14ac:dyDescent="0.25">
      <c r="A203" s="19">
        <v>201</v>
      </c>
      <c r="B203" s="122" t="s">
        <v>1133</v>
      </c>
      <c r="C203" s="13"/>
      <c r="D203" s="13"/>
      <c r="E203" s="6"/>
      <c r="F203" s="65">
        <f>COUNTIF(Documentos!A:A,A203&amp;"Oficio_Solicitud")</f>
        <v>0</v>
      </c>
      <c r="G20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0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0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0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0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0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03" s="75">
        <f>COUNTIF(Documentos!A:A,A203&amp;"Proposicion")</f>
        <v>0</v>
      </c>
      <c r="N20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0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0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0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0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0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03" s="67">
        <f>COUNTIF(Documentos!A:A,A203&amp;"Decreto")</f>
        <v>0</v>
      </c>
      <c r="U20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0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0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04" spans="1:26" x14ac:dyDescent="0.25">
      <c r="A204" s="19">
        <v>202</v>
      </c>
      <c r="B204" s="121"/>
      <c r="C204" s="12"/>
      <c r="D204" s="12"/>
      <c r="E204" s="6"/>
      <c r="F204" s="65">
        <f>COUNTIF(Documentos!A:A,A204&amp;"Oficio_Solicitud")</f>
        <v>1</v>
      </c>
      <c r="G20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505 DA_FETCovid19</v>
      </c>
      <c r="H20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0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0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0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0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04" s="75">
        <f>COUNTIF(Documentos!A:A,A204&amp;"Proposicion")</f>
        <v>1</v>
      </c>
      <c r="N20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348 DA_FETCovid19</v>
      </c>
      <c r="O20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0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0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0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0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04" s="67">
        <f>COUNTIF(Documentos!A:A,A204&amp;"Decreto")</f>
        <v>1</v>
      </c>
      <c r="U20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1031 DA_FETCovid19</v>
      </c>
      <c r="V20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0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05" spans="1:26" x14ac:dyDescent="0.25">
      <c r="A205" s="19">
        <v>203</v>
      </c>
      <c r="B205" s="122"/>
      <c r="C205" s="13"/>
      <c r="D205" s="13"/>
      <c r="E205" s="6"/>
      <c r="F205" s="65">
        <f>COUNTIF(Documentos!A:A,A205&amp;"Oficio_Solicitud")</f>
        <v>1</v>
      </c>
      <c r="G20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346 DOP_FETCovid19</v>
      </c>
      <c r="H20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0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0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0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0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05" s="75">
        <f>COUNTIF(Documentos!A:A,A205&amp;"Proposicion")</f>
        <v>1</v>
      </c>
      <c r="N20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322 DOP_FETCovid19</v>
      </c>
      <c r="O20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0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0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0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0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05" s="67">
        <f>COUNTIF(Documentos!A:A,A205&amp;"Decreto")</f>
        <v>1</v>
      </c>
      <c r="U20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887 DOP_FETCovid19</v>
      </c>
      <c r="V20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0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06" spans="1:26" x14ac:dyDescent="0.25">
      <c r="A206" s="19">
        <v>204</v>
      </c>
      <c r="B206" s="122"/>
      <c r="C206" s="13"/>
      <c r="D206" s="13"/>
      <c r="E206" s="6"/>
      <c r="F206" s="65">
        <f>COUNTIF(Documentos!A:A,A206&amp;"Oficio_Solicitud")</f>
        <v>1</v>
      </c>
      <c r="G20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256 DAP_FETCovid19</v>
      </c>
      <c r="H20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0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0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0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0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06" s="75">
        <f>COUNTIF(Documentos!A:A,A206&amp;"Proposicion")</f>
        <v>1</v>
      </c>
      <c r="N20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327 DAP_FETCovid19</v>
      </c>
      <c r="O20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0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0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0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0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06" s="67">
        <f>COUNTIF(Documentos!A:A,A206&amp;"Decreto")</f>
        <v>0</v>
      </c>
      <c r="U20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0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0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07" spans="1:26" ht="22.5" x14ac:dyDescent="0.25">
      <c r="A207" s="19">
        <v>205</v>
      </c>
      <c r="B207" s="123" t="s">
        <v>1134</v>
      </c>
      <c r="C207" s="14"/>
      <c r="D207" s="14"/>
      <c r="E207" s="6"/>
      <c r="F207" s="65">
        <f>COUNTIF(Documentos!A:A,A207&amp;"Oficio_Solicitud")</f>
        <v>1</v>
      </c>
      <c r="G20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260 DAP</v>
      </c>
      <c r="H20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0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0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0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0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07" s="75">
        <f>COUNTIF(Documentos!A:A,A207&amp;"Proposicion")</f>
        <v>1</v>
      </c>
      <c r="N20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336 DAP</v>
      </c>
      <c r="O20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0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0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0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0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07" s="67">
        <f>COUNTIF(Documentos!A:A,A207&amp;"Decreto")</f>
        <v>2</v>
      </c>
      <c r="U20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1027 DAP</v>
      </c>
      <c r="V20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1029 DAP</v>
      </c>
      <c r="Z20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08" spans="1:26" x14ac:dyDescent="0.25">
      <c r="A208" s="19">
        <v>206</v>
      </c>
      <c r="B208" s="122" t="s">
        <v>1135</v>
      </c>
      <c r="C208" s="13"/>
      <c r="D208" s="13"/>
      <c r="E208" s="6"/>
      <c r="F208" s="65">
        <f>COUNTIF(Documentos!A:A,A208&amp;"Oficio_Solicitud")</f>
        <v>0</v>
      </c>
      <c r="G20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0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0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0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0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0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08" s="75">
        <f>COUNTIF(Documentos!A:A,A208&amp;"Proposicion")</f>
        <v>0</v>
      </c>
      <c r="N20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0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0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0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0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0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08" s="67">
        <f>COUNTIF(Documentos!A:A,A208&amp;"Decreto")</f>
        <v>0</v>
      </c>
      <c r="U20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0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0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09" spans="1:26" x14ac:dyDescent="0.25">
      <c r="A209" s="19">
        <v>207</v>
      </c>
      <c r="B209" s="122"/>
      <c r="C209" s="13"/>
      <c r="D209" s="13"/>
      <c r="E209" s="6"/>
      <c r="F209" s="65">
        <f>COUNTIF(Documentos!A:A,A209&amp;"Oficio_Solicitud")</f>
        <v>1</v>
      </c>
      <c r="G20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363 DOP</v>
      </c>
      <c r="H20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0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0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0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0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09" s="75">
        <f>COUNTIF(Documentos!A:A,A209&amp;"Proposicion")</f>
        <v>1</v>
      </c>
      <c r="N20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347 DOP</v>
      </c>
      <c r="O20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0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0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0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0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09" s="67">
        <f>COUNTIF(Documentos!A:A,A209&amp;"Decreto")</f>
        <v>1</v>
      </c>
      <c r="U20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969 DOP</v>
      </c>
      <c r="V20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0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10" spans="1:26" ht="33.75" x14ac:dyDescent="0.25">
      <c r="A210" s="19">
        <v>208</v>
      </c>
      <c r="B210" s="122" t="s">
        <v>1136</v>
      </c>
      <c r="C210" s="13"/>
      <c r="D210" s="13"/>
      <c r="E210" s="6"/>
      <c r="F210" s="65">
        <f>COUNTIF(Documentos!A:A,A210&amp;"Oficio_Solicitud")</f>
        <v>1</v>
      </c>
      <c r="G21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1515 DV-SISS</v>
      </c>
      <c r="H21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1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1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1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1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10" s="75">
        <f>COUNTIF(Documentos!A:A,A210&amp;"Proposicion")</f>
        <v>1</v>
      </c>
      <c r="N21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354 DV-SISS</v>
      </c>
      <c r="O21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1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1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1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1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10" s="67">
        <f>COUNTIF(Documentos!A:A,A210&amp;"Decreto")</f>
        <v>1</v>
      </c>
      <c r="U21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925 DV-SISS</v>
      </c>
      <c r="V21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1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11" spans="1:26" ht="33.75" x14ac:dyDescent="0.25">
      <c r="A211" s="19">
        <v>209</v>
      </c>
      <c r="B211" s="122" t="s">
        <v>1137</v>
      </c>
      <c r="C211" s="13">
        <v>44720</v>
      </c>
      <c r="D211" s="13"/>
      <c r="E211" s="6"/>
      <c r="F211" s="65">
        <f>COUNTIF(Documentos!A:A,A211&amp;"Oficio_Solicitud")</f>
        <v>1</v>
      </c>
      <c r="G21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263 DAP</v>
      </c>
      <c r="H21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1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1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1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1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11" s="75">
        <f>COUNTIF(Documentos!A:A,A211&amp;"Proposicion")</f>
        <v>1</v>
      </c>
      <c r="N21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337 DAP</v>
      </c>
      <c r="O21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1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1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1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1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11" s="67">
        <f>COUNTIF(Documentos!A:A,A211&amp;"Decreto")</f>
        <v>0</v>
      </c>
      <c r="U21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1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1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12" spans="1:26" x14ac:dyDescent="0.25">
      <c r="A212" s="19">
        <v>210</v>
      </c>
      <c r="B212" s="122"/>
      <c r="C212" s="13"/>
      <c r="D212" s="13"/>
      <c r="E212" s="6"/>
      <c r="F212" s="65">
        <f>COUNTIF(Documentos!A:A,A212&amp;"Oficio_Solicitud")</f>
        <v>1</v>
      </c>
      <c r="G21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269 DAP_FETCovid19</v>
      </c>
      <c r="H21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1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1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1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1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12" s="75">
        <f>COUNTIF(Documentos!A:A,A212&amp;"Proposicion")</f>
        <v>1</v>
      </c>
      <c r="N21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378 DAP_FETCovid19</v>
      </c>
      <c r="O21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1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1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1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1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12" s="67">
        <f>COUNTIF(Documentos!A:A,A212&amp;"Decreto")</f>
        <v>2</v>
      </c>
      <c r="U21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974 DAP_FETCovid19</v>
      </c>
      <c r="V21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978 DAP_FETCovid19</v>
      </c>
      <c r="Z21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13" spans="1:26" ht="22.5" x14ac:dyDescent="0.25">
      <c r="A213" s="19">
        <v>211</v>
      </c>
      <c r="B213" s="122" t="s">
        <v>1138</v>
      </c>
      <c r="C213" s="13"/>
      <c r="D213" s="13"/>
      <c r="E213" s="6"/>
      <c r="F213" s="65">
        <f>COUNTIF(Documentos!A:A,A213&amp;"Oficio_Solicitud")</f>
        <v>1</v>
      </c>
      <c r="G21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220 DGA_FETCovid19</v>
      </c>
      <c r="H21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1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1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1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1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13" s="75">
        <f>COUNTIF(Documentos!A:A,A213&amp;"Proposicion")</f>
        <v>1</v>
      </c>
      <c r="N21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DGA_FETCovid19</v>
      </c>
      <c r="O21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1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1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1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1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13" s="67">
        <f>COUNTIF(Documentos!A:A,A213&amp;"Decreto")</f>
        <v>1</v>
      </c>
      <c r="U21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914 DGA_FETCovid19</v>
      </c>
      <c r="V21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1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14" spans="1:26" x14ac:dyDescent="0.25">
      <c r="A214" s="19">
        <v>212</v>
      </c>
      <c r="B214" s="122"/>
      <c r="C214" s="13"/>
      <c r="D214" s="13"/>
      <c r="E214" s="6"/>
      <c r="F214" s="65">
        <f>COUNTIF(Documentos!A:A,A214&amp;"Oficio_Solicitud")</f>
        <v>1</v>
      </c>
      <c r="G21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167 SOPcorreo</v>
      </c>
      <c r="H21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1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1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1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1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14" s="75">
        <f>COUNTIF(Documentos!A:A,A214&amp;"Proposicion")</f>
        <v>1</v>
      </c>
      <c r="N21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353 SOP</v>
      </c>
      <c r="O21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1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1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1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1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14" s="67">
        <f>COUNTIF(Documentos!A:A,A214&amp;"Decreto")</f>
        <v>0</v>
      </c>
      <c r="U21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1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1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15" spans="1:26" x14ac:dyDescent="0.25">
      <c r="A215" s="19">
        <v>213</v>
      </c>
      <c r="B215" s="122" t="s">
        <v>1139</v>
      </c>
      <c r="C215" s="13"/>
      <c r="D215" s="13"/>
      <c r="E215" s="6"/>
      <c r="F215" s="65">
        <f>COUNTIF(Documentos!A:A,A215&amp;"Oficio_Solicitud")</f>
        <v>1</v>
      </c>
      <c r="G21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223 DGA</v>
      </c>
      <c r="H21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1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1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1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1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15" s="75">
        <f>COUNTIF(Documentos!A:A,A215&amp;"Proposicion")</f>
        <v>1</v>
      </c>
      <c r="N21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DGA</v>
      </c>
      <c r="O21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1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1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1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1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15" s="67">
        <f>COUNTIF(Documentos!A:A,A215&amp;"Decreto")</f>
        <v>1</v>
      </c>
      <c r="U21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913 DGA</v>
      </c>
      <c r="V21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1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16" spans="1:26" x14ac:dyDescent="0.25">
      <c r="A216" s="19">
        <v>214</v>
      </c>
      <c r="B216" s="122"/>
      <c r="C216" s="13"/>
      <c r="D216" s="13"/>
      <c r="E216" s="6"/>
      <c r="F216" s="65">
        <f>COUNTIF(Documentos!A:A,A216&amp;"Oficio_Solicitud")</f>
        <v>1</v>
      </c>
      <c r="G21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1110 APR_FETCovid19</v>
      </c>
      <c r="H21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1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1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1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1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16" s="75">
        <f>COUNTIF(Documentos!A:A,A216&amp;"Proposicion")</f>
        <v>1</v>
      </c>
      <c r="N21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371 APR_FETCovid19</v>
      </c>
      <c r="O21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1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1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1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1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16" s="67">
        <f>COUNTIF(Documentos!A:A,A216&amp;"Decreto")</f>
        <v>0</v>
      </c>
      <c r="U21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1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1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17" spans="1:26" ht="22.5" x14ac:dyDescent="0.25">
      <c r="A217" s="19">
        <v>215</v>
      </c>
      <c r="B217" s="122" t="s">
        <v>1140</v>
      </c>
      <c r="C217" s="13"/>
      <c r="D217" s="13"/>
      <c r="E217" s="6"/>
      <c r="F217" s="65">
        <f>COUNTIF(Documentos!A:A,A217&amp;"Oficio_Solicitud")</f>
        <v>1</v>
      </c>
      <c r="G21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1141 APR_FETCovid19correo</v>
      </c>
      <c r="H21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1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1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1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1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17" s="75">
        <f>COUNTIF(Documentos!A:A,A217&amp;"Proposicion")</f>
        <v>1</v>
      </c>
      <c r="N21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379 APR_FETCovid19</v>
      </c>
      <c r="O21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1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1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1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1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17" s="67">
        <f>COUNTIF(Documentos!A:A,A217&amp;"Decreto")</f>
        <v>1</v>
      </c>
      <c r="U21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982 APR_FETCovid19</v>
      </c>
      <c r="V21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1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18" spans="1:26" x14ac:dyDescent="0.25">
      <c r="A218" s="19">
        <v>216</v>
      </c>
      <c r="B218" s="122" t="s">
        <v>1141</v>
      </c>
      <c r="C218" s="13">
        <v>44722</v>
      </c>
      <c r="D218" s="13"/>
      <c r="E218" s="6"/>
      <c r="F218" s="65">
        <f>COUNTIF(Documentos!A:A,A218&amp;"Oficio_Solicitud")</f>
        <v>1</v>
      </c>
      <c r="G21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274 DAP_FETCovid19</v>
      </c>
      <c r="H21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1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1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1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1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18" s="75">
        <f>COUNTIF(Documentos!A:A,A218&amp;"Proposicion")</f>
        <v>1</v>
      </c>
      <c r="N21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DAP_FETCovid19</v>
      </c>
      <c r="O21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1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1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1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1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18" s="67">
        <f>COUNTIF(Documentos!A:A,A218&amp;"Decreto")</f>
        <v>0</v>
      </c>
      <c r="U21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1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1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19" spans="1:26" x14ac:dyDescent="0.25">
      <c r="A219" s="19">
        <v>217</v>
      </c>
      <c r="B219" s="122" t="s">
        <v>1141</v>
      </c>
      <c r="C219" s="13">
        <v>44751</v>
      </c>
      <c r="D219" s="13"/>
      <c r="E219" s="6"/>
      <c r="F219" s="65">
        <f>COUNTIF(Documentos!A:A,A219&amp;"Oficio_Solicitud")</f>
        <v>1</v>
      </c>
      <c r="G21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183 DGOP_FETCovid19</v>
      </c>
      <c r="H21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1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1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1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1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19" s="75">
        <f>COUNTIF(Documentos!A:A,A219&amp;"Proposicion")</f>
        <v>1</v>
      </c>
      <c r="N21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DGOP_FETCovid19</v>
      </c>
      <c r="O21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1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1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1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1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19" s="67">
        <f>COUNTIF(Documentos!A:A,A219&amp;"Decreto")</f>
        <v>1</v>
      </c>
      <c r="U21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1574 DGOP_FETCovid19</v>
      </c>
      <c r="V21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1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20" spans="1:26" x14ac:dyDescent="0.25">
      <c r="A220" s="19">
        <v>218</v>
      </c>
      <c r="B220" s="122" t="s">
        <v>1142</v>
      </c>
      <c r="C220" s="13">
        <v>44732</v>
      </c>
      <c r="D220" s="13"/>
      <c r="E220" s="6"/>
      <c r="F220" s="65">
        <f>COUNTIF(Documentos!A:A,A220&amp;"Oficio_Solicitud")</f>
        <v>1</v>
      </c>
      <c r="G22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377 DOP</v>
      </c>
      <c r="H22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2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2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2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2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20" s="75">
        <f>COUNTIF(Documentos!A:A,A220&amp;"Proposicion")</f>
        <v>1</v>
      </c>
      <c r="N22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DOP</v>
      </c>
      <c r="O22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2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2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2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2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20" s="67">
        <f>COUNTIF(Documentos!A:A,A220&amp;"Decreto")</f>
        <v>0</v>
      </c>
      <c r="U22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2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2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21" spans="1:26" x14ac:dyDescent="0.25">
      <c r="A221" s="19">
        <v>219</v>
      </c>
      <c r="B221" s="122"/>
      <c r="C221" s="13"/>
      <c r="D221" s="13"/>
      <c r="E221" s="6"/>
      <c r="F221" s="65">
        <f>COUNTIF(Documentos!A:A,A221&amp;"Oficio_Solicitud")</f>
        <v>1</v>
      </c>
      <c r="G22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169 DGOP</v>
      </c>
      <c r="H22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2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2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2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2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21" s="75">
        <f>COUNTIF(Documentos!A:A,A221&amp;"Proposicion")</f>
        <v>1</v>
      </c>
      <c r="N22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387 DGOP</v>
      </c>
      <c r="O22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2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2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2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2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21" s="67">
        <f>COUNTIF(Documentos!A:A,A221&amp;"Decreto")</f>
        <v>0</v>
      </c>
      <c r="U22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2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2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22" spans="1:26" x14ac:dyDescent="0.25">
      <c r="A222" s="19">
        <v>220</v>
      </c>
      <c r="B222" s="122"/>
      <c r="C222" s="13"/>
      <c r="D222" s="13"/>
      <c r="E222" s="6"/>
      <c r="F222" s="65">
        <f>COUNTIF(Documentos!A:A,A222&amp;"Oficio_Solicitud")</f>
        <v>1</v>
      </c>
      <c r="G22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279 DAP_FETCovid19</v>
      </c>
      <c r="H22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2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2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2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2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22" s="75">
        <f>COUNTIF(Documentos!A:A,A222&amp;"Proposicion")</f>
        <v>1</v>
      </c>
      <c r="N22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335 DAP_FETCovid19</v>
      </c>
      <c r="O22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2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2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2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2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22" s="67">
        <f>COUNTIF(Documentos!A:A,A222&amp;"Decreto")</f>
        <v>0</v>
      </c>
      <c r="U22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2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2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23" spans="1:26" x14ac:dyDescent="0.25">
      <c r="A223" s="19">
        <v>221</v>
      </c>
      <c r="B223" s="122"/>
      <c r="C223" s="13"/>
      <c r="D223" s="13"/>
      <c r="E223" s="6"/>
      <c r="F223" s="65">
        <f>COUNTIF(Documentos!A:A,A223&amp;"Oficio_Solicitud")</f>
        <v>1</v>
      </c>
      <c r="G22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1228 DOH</v>
      </c>
      <c r="H22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2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2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2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2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23" s="75">
        <f>COUNTIF(Documentos!A:A,A223&amp;"Proposicion")</f>
        <v>1</v>
      </c>
      <c r="N22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350 DOH</v>
      </c>
      <c r="O22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2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2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2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2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23" s="67">
        <f>COUNTIF(Documentos!A:A,A223&amp;"Decreto")</f>
        <v>1</v>
      </c>
      <c r="U22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1056 DOH</v>
      </c>
      <c r="V22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2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24" spans="1:26" x14ac:dyDescent="0.25">
      <c r="A224" s="19">
        <v>222</v>
      </c>
      <c r="B224" s="122"/>
      <c r="C224" s="13"/>
      <c r="D224" s="13"/>
      <c r="E224" s="6"/>
      <c r="F224" s="65">
        <f>COUNTIF(Documentos!A:A,A224&amp;"Oficio_Solicitud")</f>
        <v>1</v>
      </c>
      <c r="G22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5067 DV_FETCovid19</v>
      </c>
      <c r="H22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2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2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2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2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24" s="75">
        <f>COUNTIF(Documentos!A:A,A224&amp;"Proposicion")</f>
        <v>0</v>
      </c>
      <c r="N22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2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2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2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2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2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24" s="67">
        <f>COUNTIF(Documentos!A:A,A224&amp;"Decreto")</f>
        <v>0</v>
      </c>
      <c r="U22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2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2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25" spans="1:26" ht="22.5" x14ac:dyDescent="0.25">
      <c r="A225" s="19">
        <v>223</v>
      </c>
      <c r="B225" s="122" t="s">
        <v>1143</v>
      </c>
      <c r="C225" s="13">
        <v>44772</v>
      </c>
      <c r="D225" s="13"/>
      <c r="E225" s="6"/>
      <c r="F225" s="65">
        <f>COUNTIF(Documentos!A:A,A225&amp;"Oficio_Solicitud")</f>
        <v>1</v>
      </c>
      <c r="G22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286 DAP</v>
      </c>
      <c r="H22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2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2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2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2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25" s="75">
        <f>COUNTIF(Documentos!A:A,A225&amp;"Proposicion")</f>
        <v>0</v>
      </c>
      <c r="N22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2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2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2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2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2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25" s="67">
        <f>COUNTIF(Documentos!A:A,A225&amp;"Decreto")</f>
        <v>0</v>
      </c>
      <c r="U22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2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2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26" spans="1:26" x14ac:dyDescent="0.25">
      <c r="A226" s="19">
        <v>224</v>
      </c>
      <c r="B226" s="122"/>
      <c r="C226" s="13"/>
      <c r="D226" s="13"/>
      <c r="E226" s="6"/>
      <c r="F226" s="65">
        <f>COUNTIF(Documentos!A:A,A226&amp;"Oficio_Solicitud")</f>
        <v>0</v>
      </c>
      <c r="G22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2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2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2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2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2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26" s="75">
        <f>COUNTIF(Documentos!A:A,A226&amp;"Proposicion")</f>
        <v>0</v>
      </c>
      <c r="N22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2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2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2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2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2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26" s="67">
        <f>COUNTIF(Documentos!A:A,A226&amp;"Decreto")</f>
        <v>0</v>
      </c>
      <c r="U22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2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2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27" spans="1:26" x14ac:dyDescent="0.25">
      <c r="A227" s="19">
        <v>225</v>
      </c>
      <c r="B227" s="122" t="s">
        <v>1144</v>
      </c>
      <c r="C227" s="13">
        <v>44721</v>
      </c>
      <c r="D227" s="13"/>
      <c r="E227" s="6"/>
      <c r="F227" s="65">
        <f>COUNTIF(Documentos!A:A,A227&amp;"Oficio_Solicitud")</f>
        <v>1</v>
      </c>
      <c r="G22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171 SOP_FETCovid19</v>
      </c>
      <c r="H22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2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2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2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2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27" s="75">
        <f>COUNTIF(Documentos!A:A,A227&amp;"Proposicion")</f>
        <v>1</v>
      </c>
      <c r="N22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SOP_FETCovid19</v>
      </c>
      <c r="O22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2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2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2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2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27" s="67">
        <f>COUNTIF(Documentos!A:A,A227&amp;"Decreto")</f>
        <v>0</v>
      </c>
      <c r="U22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2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2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28" spans="1:26" x14ac:dyDescent="0.25">
      <c r="A228" s="19">
        <v>226</v>
      </c>
      <c r="B228" s="122"/>
      <c r="C228" s="13"/>
      <c r="D228" s="13"/>
      <c r="E228" s="6"/>
      <c r="F228" s="65">
        <f>COUNTIF(Documentos!A:A,A228&amp;"Oficio_Solicitud")</f>
        <v>1</v>
      </c>
      <c r="G22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167 SOP</v>
      </c>
      <c r="H22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2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2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2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2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28" s="75">
        <f>COUNTIF(Documentos!A:A,A228&amp;"Proposicion")</f>
        <v>0</v>
      </c>
      <c r="N22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2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2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2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2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2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28" s="67">
        <f>COUNTIF(Documentos!A:A,A228&amp;"Decreto")</f>
        <v>0</v>
      </c>
      <c r="U22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2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2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29" spans="1:26" x14ac:dyDescent="0.25">
      <c r="A229" s="19">
        <v>227</v>
      </c>
      <c r="B229" s="122" t="s">
        <v>1144</v>
      </c>
      <c r="C229" s="13">
        <v>44721</v>
      </c>
      <c r="D229" s="13"/>
      <c r="E229" s="6"/>
      <c r="F229" s="65">
        <f>COUNTIF(Documentos!A:A,A229&amp;"Oficio_Solicitud")</f>
        <v>1</v>
      </c>
      <c r="G22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172 SOP_FETCovid19</v>
      </c>
      <c r="H22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2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2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2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2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29" s="75">
        <f>COUNTIF(Documentos!A:A,A229&amp;"Proposicion")</f>
        <v>1</v>
      </c>
      <c r="N22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SOP_FETCovid19</v>
      </c>
      <c r="O22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2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2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2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2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29" s="67">
        <f>COUNTIF(Documentos!A:A,A229&amp;"Decreto")</f>
        <v>0</v>
      </c>
      <c r="U22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2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2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30" spans="1:26" x14ac:dyDescent="0.25">
      <c r="A230" s="19">
        <v>228</v>
      </c>
      <c r="B230" s="122" t="s">
        <v>1144</v>
      </c>
      <c r="C230" s="13">
        <v>44721</v>
      </c>
      <c r="D230" s="13"/>
      <c r="E230" s="6"/>
      <c r="F230" s="65">
        <f>COUNTIF(Documentos!A:A,A230&amp;"Oficio_Solicitud")</f>
        <v>1</v>
      </c>
      <c r="G23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173 SOP_FETCovid19</v>
      </c>
      <c r="H23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3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3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3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3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30" s="75">
        <f>COUNTIF(Documentos!A:A,A230&amp;"Proposicion")</f>
        <v>1</v>
      </c>
      <c r="N23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SOP_FETCovid19</v>
      </c>
      <c r="O23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3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3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3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3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30" s="67">
        <f>COUNTIF(Documentos!A:A,A230&amp;"Decreto")</f>
        <v>0</v>
      </c>
      <c r="U23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3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3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31" spans="1:26" x14ac:dyDescent="0.25">
      <c r="A231" s="19">
        <v>229</v>
      </c>
      <c r="B231" s="122" t="s">
        <v>1141</v>
      </c>
      <c r="C231" s="13">
        <v>44723</v>
      </c>
      <c r="D231" s="13"/>
      <c r="E231" s="6"/>
      <c r="F231" s="65">
        <f>COUNTIF(Documentos!A:A,A231&amp;"Oficio_Solicitud")</f>
        <v>1</v>
      </c>
      <c r="G23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1265 APR_FETCovid19</v>
      </c>
      <c r="H23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3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3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3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3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31" s="75">
        <f>COUNTIF(Documentos!A:A,A231&amp;"Proposicion")</f>
        <v>1</v>
      </c>
      <c r="N23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APR_FETCovid19</v>
      </c>
      <c r="O23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3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3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3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3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31" s="67">
        <f>COUNTIF(Documentos!A:A,A231&amp;"Decreto")</f>
        <v>0</v>
      </c>
      <c r="U23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3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3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32" spans="1:26" ht="22.5" x14ac:dyDescent="0.25">
      <c r="A232" s="19">
        <v>230</v>
      </c>
      <c r="B232" s="122" t="s">
        <v>1145</v>
      </c>
      <c r="C232" s="13"/>
      <c r="D232" s="13"/>
      <c r="E232" s="6"/>
      <c r="F232" s="65">
        <f>COUNTIF(Documentos!A:A,A232&amp;"Oficio_Solicitud")</f>
        <v>1</v>
      </c>
      <c r="G23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4480 DV_FETCovid19</v>
      </c>
      <c r="H23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3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3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3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3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32" s="75">
        <f>COUNTIF(Documentos!A:A,A232&amp;"Proposicion")</f>
        <v>1</v>
      </c>
      <c r="N23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352 DV_FETCovid19</v>
      </c>
      <c r="O23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3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3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3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3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32" s="67">
        <f>COUNTIF(Documentos!A:A,A232&amp;"Decreto")</f>
        <v>1</v>
      </c>
      <c r="U23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1030 DV_FETCovid19</v>
      </c>
      <c r="V23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3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33" spans="1:26" ht="22.5" x14ac:dyDescent="0.25">
      <c r="A233" s="19">
        <v>231</v>
      </c>
      <c r="B233" s="123" t="s">
        <v>1146</v>
      </c>
      <c r="C233" s="14"/>
      <c r="D233" s="14"/>
      <c r="E233" s="6"/>
      <c r="F233" s="65">
        <f>COUNTIF(Documentos!A:A,A233&amp;"Oficio_Solicitud")</f>
        <v>1</v>
      </c>
      <c r="G23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4480 DV-DGC</v>
      </c>
      <c r="H23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3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3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3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3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33" s="75">
        <f>COUNTIF(Documentos!A:A,A233&amp;"Proposicion")</f>
        <v>1</v>
      </c>
      <c r="N23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351 DV-DGC</v>
      </c>
      <c r="O23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3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3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3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3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33" s="67">
        <f>COUNTIF(Documentos!A:A,A233&amp;"Decreto")</f>
        <v>0</v>
      </c>
      <c r="U23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3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3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34" spans="1:26" x14ac:dyDescent="0.25">
      <c r="A234" s="19">
        <v>232</v>
      </c>
      <c r="B234" s="122"/>
      <c r="C234" s="13"/>
      <c r="D234" s="13"/>
      <c r="E234" s="6"/>
      <c r="F234" s="65">
        <f>COUNTIF(Documentos!A:A,A234&amp;"Oficio_Solicitud")</f>
        <v>1</v>
      </c>
      <c r="G23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28 DP-DV</v>
      </c>
      <c r="H23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3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3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3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3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34" s="75">
        <f>COUNTIF(Documentos!A:A,A234&amp;"Proposicion")</f>
        <v>1</v>
      </c>
      <c r="N23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362 DP-DV</v>
      </c>
      <c r="O23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3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3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3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3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34" s="67">
        <f>COUNTIF(Documentos!A:A,A234&amp;"Decreto")</f>
        <v>2</v>
      </c>
      <c r="U23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971 DP-DV</v>
      </c>
      <c r="V23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972 DP-DV</v>
      </c>
      <c r="Z23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35" spans="1:26" x14ac:dyDescent="0.25">
      <c r="A235" s="19">
        <v>233</v>
      </c>
      <c r="B235" s="122" t="s">
        <v>1147</v>
      </c>
      <c r="C235" s="13"/>
      <c r="D235" s="13"/>
      <c r="E235" s="6"/>
      <c r="F235" s="65">
        <f>COUNTIF(Documentos!A:A,A235&amp;"Oficio_Solicitud")</f>
        <v>1</v>
      </c>
      <c r="G23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 DP</v>
      </c>
      <c r="H23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3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3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3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3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35" s="75">
        <f>COUNTIF(Documentos!A:A,A235&amp;"Proposicion")</f>
        <v>0</v>
      </c>
      <c r="N23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3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3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3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3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3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35" s="67">
        <f>COUNTIF(Documentos!A:A,A235&amp;"Decreto")</f>
        <v>0</v>
      </c>
      <c r="U23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3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3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36" spans="1:26" x14ac:dyDescent="0.25">
      <c r="A236" s="19">
        <v>234</v>
      </c>
      <c r="B236" s="122" t="s">
        <v>1147</v>
      </c>
      <c r="C236" s="13"/>
      <c r="D236" s="13"/>
      <c r="E236" s="6"/>
      <c r="F236" s="65">
        <f>COUNTIF(Documentos!A:A,A236&amp;"Oficio_Solicitud")</f>
        <v>1</v>
      </c>
      <c r="G23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349 DP</v>
      </c>
      <c r="H23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3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3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3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3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36" s="75">
        <f>COUNTIF(Documentos!A:A,A236&amp;"Proposicion")</f>
        <v>0</v>
      </c>
      <c r="N23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3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3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3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3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3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36" s="67">
        <f>COUNTIF(Documentos!A:A,A236&amp;"Decreto")</f>
        <v>0</v>
      </c>
      <c r="U23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3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3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37" spans="1:26" x14ac:dyDescent="0.25">
      <c r="A237" s="19">
        <v>235</v>
      </c>
      <c r="B237" s="122" t="s">
        <v>1147</v>
      </c>
      <c r="C237" s="13"/>
      <c r="D237" s="13"/>
      <c r="E237" s="6"/>
      <c r="F237" s="65">
        <f>COUNTIF(Documentos!A:A,A237&amp;"Oficio_Solicitud")</f>
        <v>1</v>
      </c>
      <c r="G23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582 DA</v>
      </c>
      <c r="H23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3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3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3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3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37" s="75">
        <f>COUNTIF(Documentos!A:A,A237&amp;"Proposicion")</f>
        <v>0</v>
      </c>
      <c r="N23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3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3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3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3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3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37" s="67">
        <f>COUNTIF(Documentos!A:A,A237&amp;"Decreto")</f>
        <v>0</v>
      </c>
      <c r="U23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3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3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38" spans="1:26" x14ac:dyDescent="0.25">
      <c r="A238" s="19">
        <v>236</v>
      </c>
      <c r="B238" s="122" t="s">
        <v>1147</v>
      </c>
      <c r="C238" s="13"/>
      <c r="D238" s="13"/>
      <c r="E238" s="6"/>
      <c r="F238" s="65">
        <f>COUNTIF(Documentos!A:A,A238&amp;"Oficio_Solicitud")</f>
        <v>1</v>
      </c>
      <c r="G23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580 DA</v>
      </c>
      <c r="H23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3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3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3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3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38" s="75">
        <f>COUNTIF(Documentos!A:A,A238&amp;"Proposicion")</f>
        <v>1</v>
      </c>
      <c r="N23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DA</v>
      </c>
      <c r="O23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3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3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3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3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38" s="67">
        <f>COUNTIF(Documentos!A:A,A238&amp;"Decreto")</f>
        <v>1</v>
      </c>
      <c r="U23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943 DA</v>
      </c>
      <c r="V23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3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39" spans="1:26" x14ac:dyDescent="0.25">
      <c r="A239" s="19">
        <v>237</v>
      </c>
      <c r="B239" s="122"/>
      <c r="C239" s="13"/>
      <c r="D239" s="13"/>
      <c r="E239" s="6"/>
      <c r="F239" s="65">
        <f>COUNTIF(Documentos!A:A,A239&amp;"Oficio_Solicitud")</f>
        <v>1</v>
      </c>
      <c r="G23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583 DA_02,correo</v>
      </c>
      <c r="H23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3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3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3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3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39" s="75">
        <f>COUNTIF(Documentos!A:A,A239&amp;"Proposicion")</f>
        <v>1</v>
      </c>
      <c r="N23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400 DA</v>
      </c>
      <c r="O23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3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3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3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3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39" s="67">
        <f>COUNTIF(Documentos!A:A,A239&amp;"Decreto")</f>
        <v>1</v>
      </c>
      <c r="U23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1113 DA</v>
      </c>
      <c r="V23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3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40" spans="1:26" x14ac:dyDescent="0.25">
      <c r="A240" s="19">
        <v>238</v>
      </c>
      <c r="B240" s="122"/>
      <c r="C240" s="13"/>
      <c r="D240" s="13"/>
      <c r="E240" s="6"/>
      <c r="F240" s="65">
        <f>COUNTIF(Documentos!A:A,A240&amp;"Oficio_Solicitud")</f>
        <v>1</v>
      </c>
      <c r="G24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181 DGOP_FETCovid19</v>
      </c>
      <c r="H24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4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4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4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4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40" s="75">
        <f>COUNTIF(Documentos!A:A,A240&amp;"Proposicion")</f>
        <v>1</v>
      </c>
      <c r="N24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DGOP_FETCovid19</v>
      </c>
      <c r="O24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4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4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4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4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40" s="67">
        <f>COUNTIF(Documentos!A:A,A240&amp;"Decreto")</f>
        <v>1</v>
      </c>
      <c r="U24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835 DGOP_FETCovid19</v>
      </c>
      <c r="V24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4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41" spans="1:26" x14ac:dyDescent="0.25">
      <c r="A241" s="19">
        <v>239</v>
      </c>
      <c r="B241" s="122" t="s">
        <v>1141</v>
      </c>
      <c r="C241" s="13">
        <v>44732</v>
      </c>
      <c r="D241" s="13"/>
      <c r="E241" s="6"/>
      <c r="F241" s="65">
        <f>COUNTIF(Documentos!A:A,A241&amp;"Oficio_Solicitud")</f>
        <v>1</v>
      </c>
      <c r="G24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386 DOP_FETCovid19</v>
      </c>
      <c r="H24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4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4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4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4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41" s="75">
        <f>COUNTIF(Documentos!A:A,A241&amp;"Proposicion")</f>
        <v>1</v>
      </c>
      <c r="N24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DOP_FETCovid19</v>
      </c>
      <c r="O24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4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4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4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4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41" s="67">
        <f>COUNTIF(Documentos!A:A,A241&amp;"Decreto")</f>
        <v>0</v>
      </c>
      <c r="U24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4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4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42" spans="1:26" x14ac:dyDescent="0.25">
      <c r="A242" s="19">
        <v>240</v>
      </c>
      <c r="B242" s="122"/>
      <c r="C242" s="13"/>
      <c r="D242" s="13"/>
      <c r="E242" s="6"/>
      <c r="F242" s="65">
        <f>COUNTIF(Documentos!A:A,A242&amp;"Oficio_Solicitud")</f>
        <v>1</v>
      </c>
      <c r="G24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346 DCyF_FETCovid19</v>
      </c>
      <c r="H24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4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4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4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4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42" s="75">
        <f>COUNTIF(Documentos!A:A,A242&amp;"Proposicion")</f>
        <v>1</v>
      </c>
      <c r="N24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373 DCyF_FETCovid19</v>
      </c>
      <c r="O24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4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4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4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4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42" s="67">
        <f>COUNTIF(Documentos!A:A,A242&amp;"Decreto")</f>
        <v>1</v>
      </c>
      <c r="U24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1574 DCyF_FETCovid19</v>
      </c>
      <c r="V24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4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43" spans="1:26" x14ac:dyDescent="0.25">
      <c r="A243" s="19">
        <v>241</v>
      </c>
      <c r="B243" s="122"/>
      <c r="C243" s="13"/>
      <c r="D243" s="13"/>
      <c r="E243" s="6"/>
      <c r="F243" s="65">
        <f>COUNTIF(Documentos!A:A,A243&amp;"Oficio_Solicitud")</f>
        <v>1</v>
      </c>
      <c r="G24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525 DGCcorreo</v>
      </c>
      <c r="H24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4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4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4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4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43" s="75">
        <f>COUNTIF(Documentos!A:A,A243&amp;"Proposicion")</f>
        <v>1</v>
      </c>
      <c r="N24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407 DGC</v>
      </c>
      <c r="O24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4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4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4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4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43" s="67">
        <f>COUNTIF(Documentos!A:A,A243&amp;"Decreto")</f>
        <v>1</v>
      </c>
      <c r="U24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1229 DGC</v>
      </c>
      <c r="V24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4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44" spans="1:26" x14ac:dyDescent="0.25">
      <c r="A244" s="19">
        <v>242</v>
      </c>
      <c r="B244" s="122"/>
      <c r="C244" s="13"/>
      <c r="D244" s="13"/>
      <c r="E244" s="6"/>
      <c r="F244" s="65">
        <f>COUNTIF(Documentos!A:A,A244&amp;"Oficio_Solicitud")</f>
        <v>1</v>
      </c>
      <c r="G24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403 DOP_FETCovid19</v>
      </c>
      <c r="H24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4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4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4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4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44" s="75">
        <f>COUNTIF(Documentos!A:A,A244&amp;"Proposicion")</f>
        <v>1</v>
      </c>
      <c r="N24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377 DOP_FETCovid19</v>
      </c>
      <c r="O24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4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4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4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4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44" s="67">
        <f>COUNTIF(Documentos!A:A,A244&amp;"Decreto")</f>
        <v>0</v>
      </c>
      <c r="U24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4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4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45" spans="1:26" x14ac:dyDescent="0.25">
      <c r="A245" s="19">
        <v>243</v>
      </c>
      <c r="B245" s="122" t="s">
        <v>1148</v>
      </c>
      <c r="C245" s="13"/>
      <c r="D245" s="13"/>
      <c r="E245" s="6"/>
      <c r="F245" s="65">
        <f>COUNTIF(Documentos!A:A,A245&amp;"Oficio_Solicitud")</f>
        <v>1</v>
      </c>
      <c r="G24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3535 DV</v>
      </c>
      <c r="H24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4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4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4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4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45" s="75">
        <f>COUNTIF(Documentos!A:A,A245&amp;"Proposicion")</f>
        <v>1</v>
      </c>
      <c r="N24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255 DV</v>
      </c>
      <c r="O24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4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4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4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4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45" s="67">
        <f>COUNTIF(Documentos!A:A,A245&amp;"Decreto")</f>
        <v>1</v>
      </c>
      <c r="U24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800 DV</v>
      </c>
      <c r="V24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4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46" spans="1:26" ht="45" x14ac:dyDescent="0.25">
      <c r="A246" s="19">
        <v>244</v>
      </c>
      <c r="B246" s="122" t="s">
        <v>1149</v>
      </c>
      <c r="C246" s="13"/>
      <c r="D246" s="13"/>
      <c r="E246" s="6"/>
      <c r="F246" s="65">
        <f>COUNTIF(Documentos!A:A,A246&amp;"Oficio_Solicitud")</f>
        <v>1</v>
      </c>
      <c r="G24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5312 DV</v>
      </c>
      <c r="H24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4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4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4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4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46" s="75">
        <f>COUNTIF(Documentos!A:A,A246&amp;"Proposicion")</f>
        <v>1</v>
      </c>
      <c r="N24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397 DV</v>
      </c>
      <c r="O24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4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4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4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4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46" s="67">
        <f>COUNTIF(Documentos!A:A,A246&amp;"Decreto")</f>
        <v>1</v>
      </c>
      <c r="U24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1115 DV</v>
      </c>
      <c r="V24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4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47" spans="1:26" x14ac:dyDescent="0.25">
      <c r="A247" s="19">
        <v>245</v>
      </c>
      <c r="B247" s="122"/>
      <c r="C247" s="13"/>
      <c r="D247" s="13"/>
      <c r="E247" s="6"/>
      <c r="F247" s="65">
        <f>COUNTIF(Documentos!A:A,A247&amp;"Oficio_Solicitud")</f>
        <v>1</v>
      </c>
      <c r="G24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1624 DA-SISS</v>
      </c>
      <c r="H24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4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4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4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4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47" s="75">
        <f>COUNTIF(Documentos!A:A,A247&amp;"Proposicion")</f>
        <v>1</v>
      </c>
      <c r="N24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410 DA-SISS</v>
      </c>
      <c r="O24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4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4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4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4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47" s="67">
        <f>COUNTIF(Documentos!A:A,A247&amp;"Decreto")</f>
        <v>1</v>
      </c>
      <c r="U24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1153 DA-SISS</v>
      </c>
      <c r="V24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4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48" spans="1:26" x14ac:dyDescent="0.25">
      <c r="A248" s="19">
        <v>246</v>
      </c>
      <c r="B248" s="122"/>
      <c r="C248" s="13"/>
      <c r="D248" s="13"/>
      <c r="E248" s="6"/>
      <c r="F248" s="65">
        <f>COUNTIF(Documentos!A:A,A248&amp;"Oficio_Solicitud")</f>
        <v>19</v>
      </c>
      <c r="G24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171 MOP-MOP_FETCovid19</v>
      </c>
      <c r="H24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172 MOP-MOP_FETCovid19</v>
      </c>
      <c r="I24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OF 173 MOP-MOP_FETCovid19</v>
      </c>
      <c r="J24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OF 181 MOP-MOP_FETCovid19</v>
      </c>
      <c r="K24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OF 183 MOP-MOP_FETCovid19</v>
      </c>
      <c r="L24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OF 165 MOP-MOP_FETCovid19</v>
      </c>
      <c r="M248" s="75">
        <f>COUNTIF(Documentos!A:A,A248&amp;"Proposicion")</f>
        <v>1</v>
      </c>
      <c r="N24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MOP-MOP_FETCovid19</v>
      </c>
      <c r="O24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4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4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4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4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48" s="67">
        <f>COUNTIF(Documentos!A:A,A248&amp;"Decreto")</f>
        <v>1</v>
      </c>
      <c r="U24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835 MOP-MOP_FETCovid19</v>
      </c>
      <c r="V24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4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49" spans="1:26" x14ac:dyDescent="0.25">
      <c r="A249" s="19">
        <v>247</v>
      </c>
      <c r="B249" s="122"/>
      <c r="C249" s="13"/>
      <c r="D249" s="13"/>
      <c r="E249" s="6"/>
      <c r="F249" s="65">
        <f>COUNTIF(Documentos!A:A,A249&amp;"Oficio_Solicitud")</f>
        <v>1</v>
      </c>
      <c r="G24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1294 APRcorreo</v>
      </c>
      <c r="H24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4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4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4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4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49" s="75">
        <f>COUNTIF(Documentos!A:A,A249&amp;"Proposicion")</f>
        <v>1</v>
      </c>
      <c r="N24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385 APR</v>
      </c>
      <c r="O24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4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4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4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4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49" s="67">
        <f>COUNTIF(Documentos!A:A,A249&amp;"Decreto")</f>
        <v>2</v>
      </c>
      <c r="U24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1058 APR</v>
      </c>
      <c r="V24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1062 APR</v>
      </c>
      <c r="Z24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50" spans="1:26" ht="22.5" x14ac:dyDescent="0.25">
      <c r="A250" s="19">
        <v>248</v>
      </c>
      <c r="B250" s="122" t="s">
        <v>1150</v>
      </c>
      <c r="C250" s="13"/>
      <c r="D250" s="13"/>
      <c r="E250" s="6"/>
      <c r="F250" s="65">
        <f>COUNTIF(Documentos!A:A,A250&amp;"Oficio_Solicitud")</f>
        <v>1</v>
      </c>
      <c r="G25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236 DGA_FETCovid19</v>
      </c>
      <c r="H25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5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5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5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5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50" s="75">
        <f>COUNTIF(Documentos!A:A,A250&amp;"Proposicion")</f>
        <v>1</v>
      </c>
      <c r="N25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DGA_FETCovid19</v>
      </c>
      <c r="O25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5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5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5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5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50" s="67">
        <f>COUNTIF(Documentos!A:A,A250&amp;"Decreto")</f>
        <v>1</v>
      </c>
      <c r="U25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913 DGA_FETCovid19</v>
      </c>
      <c r="V25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5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51" spans="1:26" x14ac:dyDescent="0.25">
      <c r="A251" s="19">
        <v>249</v>
      </c>
      <c r="B251" s="122" t="s">
        <v>1254</v>
      </c>
      <c r="C251" s="17"/>
      <c r="D251" s="13">
        <v>44732</v>
      </c>
      <c r="E251" s="6"/>
      <c r="F251" s="65">
        <f>COUNTIF(Documentos!A:A,A251&amp;"Oficio_Solicitud")</f>
        <v>1</v>
      </c>
      <c r="G25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29 DP</v>
      </c>
      <c r="H25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5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5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5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5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51" s="75">
        <f>COUNTIF(Documentos!A:A,A251&amp;"Proposicion")</f>
        <v>1</v>
      </c>
      <c r="N25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DP</v>
      </c>
      <c r="O25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5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5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5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5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51" s="67">
        <f>COUNTIF(Documentos!A:A,A251&amp;"Decreto")</f>
        <v>0</v>
      </c>
      <c r="U25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5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5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52" spans="1:26" x14ac:dyDescent="0.25">
      <c r="A252" s="19">
        <v>250</v>
      </c>
      <c r="B252" s="122"/>
      <c r="C252" s="13"/>
      <c r="D252" s="13"/>
      <c r="E252" s="6"/>
      <c r="F252" s="65">
        <f>COUNTIF(Documentos!A:A,A252&amp;"Oficio_Solicitud")</f>
        <v>1</v>
      </c>
      <c r="G25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165 DGOP_FETCovid19</v>
      </c>
      <c r="H25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5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5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5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5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52" s="75">
        <f>COUNTIF(Documentos!A:A,A252&amp;"Proposicion")</f>
        <v>1</v>
      </c>
      <c r="N25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372 DGOP_FETCovid19</v>
      </c>
      <c r="O25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5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5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5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5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52" s="67">
        <f>COUNTIF(Documentos!A:A,A252&amp;"Decreto")</f>
        <v>0</v>
      </c>
      <c r="U25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5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5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53" spans="1:26" ht="22.5" x14ac:dyDescent="0.25">
      <c r="A253" s="19">
        <v>251</v>
      </c>
      <c r="B253" s="122" t="s">
        <v>1122</v>
      </c>
      <c r="C253" s="13"/>
      <c r="D253" s="13"/>
      <c r="E253" s="6"/>
      <c r="F253" s="65">
        <f>COUNTIF(Documentos!A:A,A253&amp;"Oficio_Solicitud")</f>
        <v>1</v>
      </c>
      <c r="G25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5256 DV</v>
      </c>
      <c r="H25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5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5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5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5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53" s="75">
        <f>COUNTIF(Documentos!A:A,A253&amp;"Proposicion")</f>
        <v>1</v>
      </c>
      <c r="N25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383 DV</v>
      </c>
      <c r="O25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5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5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5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5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53" s="67">
        <f>COUNTIF(Documentos!A:A,A253&amp;"Decreto")</f>
        <v>0</v>
      </c>
      <c r="U25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5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5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54" spans="1:26" x14ac:dyDescent="0.25">
      <c r="A254" s="19">
        <v>252</v>
      </c>
      <c r="B254" s="122"/>
      <c r="C254" s="13"/>
      <c r="D254" s="13"/>
      <c r="E254" s="6"/>
      <c r="F254" s="65">
        <f>COUNTIF(Documentos!A:A,A254&amp;"Oficio_Solicitud")</f>
        <v>1</v>
      </c>
      <c r="G25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1363 DOH_FETCovid19</v>
      </c>
      <c r="H25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5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5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5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5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54" s="75">
        <f>COUNTIF(Documentos!A:A,A254&amp;"Proposicion")</f>
        <v>1</v>
      </c>
      <c r="N25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395 DOH_FETCovid19</v>
      </c>
      <c r="O25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5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5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5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5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54" s="67">
        <f>COUNTIF(Documentos!A:A,A254&amp;"Decreto")</f>
        <v>0</v>
      </c>
      <c r="U25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5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5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55" spans="1:26" x14ac:dyDescent="0.25">
      <c r="A255" s="19">
        <v>253</v>
      </c>
      <c r="B255" s="122"/>
      <c r="C255" s="13"/>
      <c r="D255" s="13"/>
      <c r="E255" s="6"/>
      <c r="F255" s="65">
        <f>COUNTIF(Documentos!A:A,A255&amp;"Oficio_Solicitud")</f>
        <v>1</v>
      </c>
      <c r="G25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1377 DOH_FETCovid19correo</v>
      </c>
      <c r="H25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5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5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5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5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55" s="75">
        <f>COUNTIF(Documentos!A:A,A255&amp;"Proposicion")</f>
        <v>1</v>
      </c>
      <c r="N25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442 DOH_FETCovid19</v>
      </c>
      <c r="O25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5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5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5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5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55" s="67">
        <f>COUNTIF(Documentos!A:A,A255&amp;"Decreto")</f>
        <v>1</v>
      </c>
      <c r="U25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1182 DOH_FETCovid19</v>
      </c>
      <c r="V25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5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56" spans="1:26" x14ac:dyDescent="0.25">
      <c r="A256" s="19">
        <v>254</v>
      </c>
      <c r="B256" s="122"/>
      <c r="C256" s="13"/>
      <c r="D256" s="13"/>
      <c r="E256" s="6"/>
      <c r="F256" s="65">
        <f>COUNTIF(Documentos!A:A,A256&amp;"Oficio_Solicitud")</f>
        <v>1</v>
      </c>
      <c r="G25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1359 APR_FETCovid19correo</v>
      </c>
      <c r="H25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5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5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5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5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56" s="75">
        <f>COUNTIF(Documentos!A:A,A256&amp;"Proposicion")</f>
        <v>1</v>
      </c>
      <c r="N25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419 APR_FETCovid19</v>
      </c>
      <c r="O25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5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5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5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5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56" s="67">
        <f>COUNTIF(Documentos!A:A,A256&amp;"Decreto")</f>
        <v>1</v>
      </c>
      <c r="U25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1171 APR_FETCovid19</v>
      </c>
      <c r="V25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5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57" spans="1:26" x14ac:dyDescent="0.25">
      <c r="A257" s="19">
        <v>255</v>
      </c>
      <c r="B257" s="122"/>
      <c r="C257" s="13"/>
      <c r="D257" s="13"/>
      <c r="E257" s="6"/>
      <c r="F257" s="65">
        <f>COUNTIF(Documentos!A:A,A257&amp;"Oficio_Solicitud")</f>
        <v>1</v>
      </c>
      <c r="G25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1362 APRcorreo</v>
      </c>
      <c r="H25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5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5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5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5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57" s="75">
        <f>COUNTIF(Documentos!A:A,A257&amp;"Proposicion")</f>
        <v>1</v>
      </c>
      <c r="N25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412 APR</v>
      </c>
      <c r="O25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5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5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5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5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57" s="67">
        <f>COUNTIF(Documentos!A:A,A257&amp;"Decreto")</f>
        <v>1</v>
      </c>
      <c r="U25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1084 APR</v>
      </c>
      <c r="V25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5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58" spans="1:26" x14ac:dyDescent="0.25">
      <c r="A258" s="19">
        <v>256</v>
      </c>
      <c r="B258" s="122"/>
      <c r="C258" s="13"/>
      <c r="D258" s="13"/>
      <c r="E258" s="6"/>
      <c r="F258" s="65">
        <f>COUNTIF(Documentos!A:A,A258&amp;"Oficio_Solicitud")</f>
        <v>1</v>
      </c>
      <c r="G25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583 DA_01+correo</v>
      </c>
      <c r="H25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5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5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5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5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58" s="75">
        <f>COUNTIF(Documentos!A:A,A258&amp;"Proposicion")</f>
        <v>1</v>
      </c>
      <c r="N25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384 DA</v>
      </c>
      <c r="O25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5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5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5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5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58" s="67">
        <f>COUNTIF(Documentos!A:A,A258&amp;"Decreto")</f>
        <v>1</v>
      </c>
      <c r="U25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980 DA</v>
      </c>
      <c r="V25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5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59" spans="1:26" x14ac:dyDescent="0.25">
      <c r="A259" s="19">
        <v>257</v>
      </c>
      <c r="B259" s="122"/>
      <c r="C259" s="13"/>
      <c r="D259" s="13"/>
      <c r="E259" s="6"/>
      <c r="F259" s="65">
        <f>COUNTIF(Documentos!A:A,A259&amp;"Oficio_Solicitud")</f>
        <v>1</v>
      </c>
      <c r="G25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73 MOP_FETCovid19</v>
      </c>
      <c r="H25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5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5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5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5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59" s="75">
        <f>COUNTIF(Documentos!A:A,A259&amp;"Proposicion")</f>
        <v>1</v>
      </c>
      <c r="N25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273 MOP_FETCovid19</v>
      </c>
      <c r="O25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5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5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5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5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59" s="67">
        <f>COUNTIF(Documentos!A:A,A259&amp;"Decreto")</f>
        <v>1</v>
      </c>
      <c r="U25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697 MOP_FETCovid19</v>
      </c>
      <c r="V25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5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60" spans="1:26" x14ac:dyDescent="0.25">
      <c r="A260" s="19">
        <v>258</v>
      </c>
      <c r="B260" s="122"/>
      <c r="C260" s="13"/>
      <c r="D260" s="13"/>
      <c r="E260" s="6"/>
      <c r="F260" s="65">
        <f>COUNTIF(Documentos!A:A,A260&amp;"Oficio_Solicitud")</f>
        <v>0</v>
      </c>
      <c r="G26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6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6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6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6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6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60" s="75">
        <f>COUNTIF(Documentos!A:A,A260&amp;"Proposicion")</f>
        <v>1</v>
      </c>
      <c r="N26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340 DV</v>
      </c>
      <c r="O26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6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6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6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6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60" s="67">
        <f>COUNTIF(Documentos!A:A,A260&amp;"Decreto")</f>
        <v>0</v>
      </c>
      <c r="U26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6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6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61" spans="1:26" ht="22.5" x14ac:dyDescent="0.25">
      <c r="A261" s="19">
        <v>259</v>
      </c>
      <c r="B261" s="122" t="s">
        <v>1151</v>
      </c>
      <c r="C261" s="13">
        <v>44716</v>
      </c>
      <c r="D261" s="13"/>
      <c r="E261" s="6"/>
      <c r="F261" s="65">
        <f>COUNTIF(Documentos!A:A,A261&amp;"Oficio_Solicitud")</f>
        <v>0</v>
      </c>
      <c r="G26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6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6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6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6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6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61" s="75">
        <f>COUNTIF(Documentos!A:A,A261&amp;"Proposicion")</f>
        <v>1</v>
      </c>
      <c r="N26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357 MOP</v>
      </c>
      <c r="O26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6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6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6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6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61" s="67">
        <f>COUNTIF(Documentos!A:A,A261&amp;"Decreto")</f>
        <v>0</v>
      </c>
      <c r="U26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6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6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62" spans="1:26" ht="22.5" x14ac:dyDescent="0.25">
      <c r="A262" s="19">
        <v>260</v>
      </c>
      <c r="B262" s="122" t="s">
        <v>1152</v>
      </c>
      <c r="C262" s="13">
        <v>44724</v>
      </c>
      <c r="D262" s="13"/>
      <c r="E262" s="6"/>
      <c r="F262" s="65">
        <f>COUNTIF(Documentos!A:A,A262&amp;"Oficio_Solicitud")</f>
        <v>1</v>
      </c>
      <c r="G26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309 DAP</v>
      </c>
      <c r="H26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6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6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6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6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62" s="75">
        <f>COUNTIF(Documentos!A:A,A262&amp;"Proposicion")</f>
        <v>1</v>
      </c>
      <c r="N26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381 DAP</v>
      </c>
      <c r="O26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6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6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6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6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62" s="67">
        <f>COUNTIF(Documentos!A:A,A262&amp;"Decreto")</f>
        <v>0</v>
      </c>
      <c r="U26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6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6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63" spans="1:26" x14ac:dyDescent="0.25">
      <c r="A263" s="19">
        <v>261</v>
      </c>
      <c r="B263" s="122" t="s">
        <v>1153</v>
      </c>
      <c r="C263" s="13"/>
      <c r="D263" s="13"/>
      <c r="E263" s="6"/>
      <c r="F263" s="65">
        <f>COUNTIF(Documentos!A:A,A263&amp;"Oficio_Solicitud")</f>
        <v>1</v>
      </c>
      <c r="G26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623 DA</v>
      </c>
      <c r="H26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6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6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6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6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63" s="75">
        <f>COUNTIF(Documentos!A:A,A263&amp;"Proposicion")</f>
        <v>1</v>
      </c>
      <c r="N26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378 DA</v>
      </c>
      <c r="O26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6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6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6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6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63" s="67">
        <f>COUNTIF(Documentos!A:A,A263&amp;"Decreto")</f>
        <v>0</v>
      </c>
      <c r="U26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6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6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64" spans="1:26" x14ac:dyDescent="0.25">
      <c r="A264" s="19">
        <v>262</v>
      </c>
      <c r="B264" s="122"/>
      <c r="C264" s="13"/>
      <c r="D264" s="13"/>
      <c r="E264" s="6"/>
      <c r="F264" s="65">
        <f>COUNTIF(Documentos!A:A,A264&amp;"Oficio_Solicitud")</f>
        <v>1</v>
      </c>
      <c r="G26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432 DOP_FETCovid19</v>
      </c>
      <c r="H26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6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6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6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6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64" s="75">
        <f>COUNTIF(Documentos!A:A,A264&amp;"Proposicion")</f>
        <v>1</v>
      </c>
      <c r="N26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402 DOP_FETCovid19</v>
      </c>
      <c r="O26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6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6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6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6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64" s="67">
        <f>COUNTIF(Documentos!A:A,A264&amp;"Decreto")</f>
        <v>1</v>
      </c>
      <c r="U26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1114 DOP_FETCovid19</v>
      </c>
      <c r="V26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6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65" spans="1:26" ht="67.5" x14ac:dyDescent="0.25">
      <c r="A265" s="19">
        <v>263</v>
      </c>
      <c r="B265" s="121" t="s">
        <v>1154</v>
      </c>
      <c r="C265" s="12"/>
      <c r="D265" s="12"/>
      <c r="E265" s="6"/>
      <c r="F265" s="65">
        <f>COUNTIF(Documentos!A:A,A265&amp;"Oficio_Solicitud")</f>
        <v>1</v>
      </c>
      <c r="G26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5539 DV</v>
      </c>
      <c r="H26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6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6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6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6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65" s="75">
        <f>COUNTIF(Documentos!A:A,A265&amp;"Proposicion")</f>
        <v>1</v>
      </c>
      <c r="N26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4200204 DV</v>
      </c>
      <c r="O26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6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6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6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6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65" s="67">
        <f>COUNTIF(Documentos!A:A,A265&amp;"Decreto")</f>
        <v>0</v>
      </c>
      <c r="U26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6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6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66" spans="1:26" ht="56.25" x14ac:dyDescent="0.25">
      <c r="A266" s="19">
        <v>264</v>
      </c>
      <c r="B266" s="121" t="s">
        <v>1155</v>
      </c>
      <c r="C266" s="12"/>
      <c r="D266" s="12"/>
      <c r="E266" s="6"/>
      <c r="F266" s="65">
        <f>COUNTIF(Documentos!A:A,A266&amp;"Oficio_Solicitud")</f>
        <v>1</v>
      </c>
      <c r="G26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5539 DV_FETCovid19</v>
      </c>
      <c r="H26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6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6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6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6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66" s="75">
        <f>COUNTIF(Documentos!A:A,A266&amp;"Proposicion")</f>
        <v>1</v>
      </c>
      <c r="N26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4210254 DV_FETCovid19</v>
      </c>
      <c r="O26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6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6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6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6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66" s="67">
        <f>COUNTIF(Documentos!A:A,A266&amp;"Decreto")</f>
        <v>0</v>
      </c>
      <c r="U26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6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6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67" spans="1:26" x14ac:dyDescent="0.25">
      <c r="A267" s="19">
        <v>265</v>
      </c>
      <c r="B267" s="122"/>
      <c r="C267" s="13"/>
      <c r="D267" s="13"/>
      <c r="E267" s="6"/>
      <c r="F267" s="65">
        <f>COUNTIF(Documentos!A:A,A267&amp;"Oficio_Solicitud")</f>
        <v>1</v>
      </c>
      <c r="G26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435 DOP</v>
      </c>
      <c r="H26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6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6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6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6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67" s="75">
        <f>COUNTIF(Documentos!A:A,A267&amp;"Proposicion")</f>
        <v>1</v>
      </c>
      <c r="N26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401 DOP</v>
      </c>
      <c r="O26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6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6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6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6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67" s="67">
        <f>COUNTIF(Documentos!A:A,A267&amp;"Decreto")</f>
        <v>0</v>
      </c>
      <c r="U26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6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6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68" spans="1:26" x14ac:dyDescent="0.25">
      <c r="A268" s="19">
        <v>266</v>
      </c>
      <c r="B268" s="122"/>
      <c r="C268" s="13"/>
      <c r="D268" s="13"/>
      <c r="E268" s="6"/>
      <c r="F268" s="65">
        <f>COUNTIF(Documentos!A:A,A268&amp;"Oficio_Solicitud")</f>
        <v>0</v>
      </c>
      <c r="G26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6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6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6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6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6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68" s="75">
        <f>COUNTIF(Documentos!A:A,A268&amp;"Proposicion")</f>
        <v>0</v>
      </c>
      <c r="N26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6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6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6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6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6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68" s="67">
        <f>COUNTIF(Documentos!A:A,A268&amp;"Decreto")</f>
        <v>0</v>
      </c>
      <c r="U26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6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6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69" spans="1:26" x14ac:dyDescent="0.25">
      <c r="A269" s="19">
        <v>267</v>
      </c>
      <c r="B269" s="122"/>
      <c r="C269" s="13"/>
      <c r="D269" s="13"/>
      <c r="E269" s="6"/>
      <c r="F269" s="65">
        <f>COUNTIF(Documentos!A:A,A269&amp;"Oficio_Solicitud")</f>
        <v>1</v>
      </c>
      <c r="G26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325 DAP</v>
      </c>
      <c r="H26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6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6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6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6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69" s="75">
        <f>COUNTIF(Documentos!A:A,A269&amp;"Proposicion")</f>
        <v>1</v>
      </c>
      <c r="N26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405 DAP</v>
      </c>
      <c r="O26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6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6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6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6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69" s="67">
        <f>COUNTIF(Documentos!A:A,A269&amp;"Decreto")</f>
        <v>0</v>
      </c>
      <c r="U26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6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6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70" spans="1:26" x14ac:dyDescent="0.25">
      <c r="A270" s="19">
        <v>268</v>
      </c>
      <c r="B270" s="122"/>
      <c r="C270" s="13"/>
      <c r="D270" s="13"/>
      <c r="E270" s="6"/>
      <c r="F270" s="65">
        <f>COUNTIF(Documentos!A:A,A270&amp;"Oficio_Solicitud")</f>
        <v>1</v>
      </c>
      <c r="G27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440 DOP_FETCovid19</v>
      </c>
      <c r="H27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7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7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7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7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70" s="75">
        <f>COUNTIF(Documentos!A:A,A270&amp;"Proposicion")</f>
        <v>1</v>
      </c>
      <c r="N27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399 DOP_FETCovid19</v>
      </c>
      <c r="O27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7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7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7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7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70" s="67">
        <f>COUNTIF(Documentos!A:A,A270&amp;"Decreto")</f>
        <v>1</v>
      </c>
      <c r="U27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1114 DOP_FETCovid19</v>
      </c>
      <c r="V27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7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71" spans="1:26" x14ac:dyDescent="0.25">
      <c r="A271" s="19">
        <v>269</v>
      </c>
      <c r="B271" s="122"/>
      <c r="C271" s="13"/>
      <c r="D271" s="13"/>
      <c r="E271" s="6"/>
      <c r="F271" s="65">
        <f>COUNTIF(Documentos!A:A,A271&amp;"Oficio_Solicitud")</f>
        <v>1</v>
      </c>
      <c r="G27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513 DGC</v>
      </c>
      <c r="H27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7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7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7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7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71" s="75">
        <f>COUNTIF(Documentos!A:A,A271&amp;"Proposicion")</f>
        <v>1</v>
      </c>
      <c r="N27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380 DGC</v>
      </c>
      <c r="O27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7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7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7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7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71" s="67">
        <f>COUNTIF(Documentos!A:A,A271&amp;"Decreto")</f>
        <v>0</v>
      </c>
      <c r="U27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7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7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72" spans="1:26" x14ac:dyDescent="0.25">
      <c r="A272" s="19">
        <v>270</v>
      </c>
      <c r="B272" s="122" t="s">
        <v>1139</v>
      </c>
      <c r="C272" s="13"/>
      <c r="D272" s="13"/>
      <c r="E272" s="6"/>
      <c r="F272" s="65">
        <f>COUNTIF(Documentos!A:A,A272&amp;"Oficio_Solicitud")</f>
        <v>3</v>
      </c>
      <c r="G27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220 DOH_FETCovid19-DGA_FETCovid19</v>
      </c>
      <c r="H27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223 DOH_FETCovid19-DGA_FETCovid19</v>
      </c>
      <c r="I27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OF 236 DOH_FETCovid19-DGA_FETCovid19</v>
      </c>
      <c r="J27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7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7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72" s="75">
        <f>COUNTIF(Documentos!A:A,A272&amp;"Proposicion")</f>
        <v>1</v>
      </c>
      <c r="N27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DOH_FETCovid19-DGA_FETCovid19</v>
      </c>
      <c r="O27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7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7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7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7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72" s="67">
        <f>COUNTIF(Documentos!A:A,A272&amp;"Decreto")</f>
        <v>1</v>
      </c>
      <c r="U27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913 DOH_FETCovid19-DGA_FETCovid19</v>
      </c>
      <c r="V27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7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73" spans="1:26" x14ac:dyDescent="0.25">
      <c r="A273" s="19">
        <v>271</v>
      </c>
      <c r="B273" s="122"/>
      <c r="C273" s="13"/>
      <c r="D273" s="13"/>
      <c r="E273" s="6"/>
      <c r="F273" s="65">
        <f>COUNTIF(Documentos!A:A,A273&amp;"Oficio_Solicitud")</f>
        <v>1</v>
      </c>
      <c r="G27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326 DAP_FETCovid19</v>
      </c>
      <c r="H27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7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7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7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7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73" s="75">
        <f>COUNTIF(Documentos!A:A,A273&amp;"Proposicion")</f>
        <v>1</v>
      </c>
      <c r="N27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411 DAP_FETCovid19</v>
      </c>
      <c r="O27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7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7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7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7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73" s="67">
        <f>COUNTIF(Documentos!A:A,A273&amp;"Decreto")</f>
        <v>1</v>
      </c>
      <c r="U27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973 DAP_FETCovid19</v>
      </c>
      <c r="V27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7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74" spans="1:26" x14ac:dyDescent="0.25">
      <c r="A274" s="19">
        <v>272</v>
      </c>
      <c r="B274" s="122"/>
      <c r="C274" s="13"/>
      <c r="D274" s="13"/>
      <c r="E274" s="6"/>
      <c r="F274" s="65">
        <f>COUNTIF(Documentos!A:A,A274&amp;"Oficio_Solicitud")</f>
        <v>1</v>
      </c>
      <c r="G27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564 DGC</v>
      </c>
      <c r="H27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7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7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7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7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74" s="75">
        <f>COUNTIF(Documentos!A:A,A274&amp;"Proposicion")</f>
        <v>1</v>
      </c>
      <c r="N27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408 DGC</v>
      </c>
      <c r="O27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7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7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7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7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74" s="67">
        <f>COUNTIF(Documentos!A:A,A274&amp;"Decreto")</f>
        <v>0</v>
      </c>
      <c r="U27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7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7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75" spans="1:26" x14ac:dyDescent="0.25">
      <c r="A275" s="19">
        <v>273</v>
      </c>
      <c r="B275" s="122"/>
      <c r="C275" s="13"/>
      <c r="D275" s="13"/>
      <c r="E275" s="6"/>
      <c r="F275" s="65">
        <f>COUNTIF(Documentos!A:A,A275&amp;"Oficio_Solicitud")</f>
        <v>1</v>
      </c>
      <c r="G27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1470 DOH</v>
      </c>
      <c r="H27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7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7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7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7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75" s="75">
        <f>COUNTIF(Documentos!A:A,A275&amp;"Proposicion")</f>
        <v>1</v>
      </c>
      <c r="N27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456 DOH</v>
      </c>
      <c r="O27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7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7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7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7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75" s="67">
        <f>COUNTIF(Documentos!A:A,A275&amp;"Decreto")</f>
        <v>0</v>
      </c>
      <c r="U27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7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7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76" spans="1:26" ht="22.5" x14ac:dyDescent="0.25">
      <c r="A276" s="19">
        <v>274</v>
      </c>
      <c r="B276" s="122" t="s">
        <v>1156</v>
      </c>
      <c r="C276" s="13"/>
      <c r="D276" s="13"/>
      <c r="E276" s="6"/>
      <c r="F276" s="65">
        <f>COUNTIF(Documentos!A:A,A276&amp;"Oficio_Solicitud")</f>
        <v>1</v>
      </c>
      <c r="G27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1141 APRcorreo</v>
      </c>
      <c r="H27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7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7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7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7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76" s="75">
        <f>COUNTIF(Documentos!A:A,A276&amp;"Proposicion")</f>
        <v>1</v>
      </c>
      <c r="N27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379 APR</v>
      </c>
      <c r="O27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7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7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7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7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76" s="67">
        <f>COUNTIF(Documentos!A:A,A276&amp;"Decreto")</f>
        <v>1</v>
      </c>
      <c r="U27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981 APR</v>
      </c>
      <c r="V27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7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77" spans="1:26" ht="258.75" x14ac:dyDescent="0.25">
      <c r="A277" s="19">
        <v>275</v>
      </c>
      <c r="B277" s="122" t="s">
        <v>1157</v>
      </c>
      <c r="C277" s="13"/>
      <c r="D277" s="13"/>
      <c r="E277" s="6"/>
      <c r="F277" s="65">
        <f>COUNTIF(Documentos!A:A,A277&amp;"Oficio_Solicitud")</f>
        <v>1</v>
      </c>
      <c r="G27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6134 DV</v>
      </c>
      <c r="H27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7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7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7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7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77" s="75">
        <f>COUNTIF(Documentos!A:A,A277&amp;"Proposicion")</f>
        <v>1</v>
      </c>
      <c r="N27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443 DV</v>
      </c>
      <c r="O27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7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7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7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7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77" s="67">
        <f>COUNTIF(Documentos!A:A,A277&amp;"Decreto")</f>
        <v>1</v>
      </c>
      <c r="U27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1786 DV</v>
      </c>
      <c r="V27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7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78" spans="1:26" x14ac:dyDescent="0.25">
      <c r="A278" s="19">
        <v>276</v>
      </c>
      <c r="B278" s="122"/>
      <c r="C278" s="13"/>
      <c r="D278" s="13"/>
      <c r="E278" s="6"/>
      <c r="F278" s="65">
        <f>COUNTIF(Documentos!A:A,A278&amp;"Oficio_Solicitud")</f>
        <v>0</v>
      </c>
      <c r="G27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7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7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7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7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7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78" s="75">
        <f>COUNTIF(Documentos!A:A,A278&amp;"Proposicion")</f>
        <v>0</v>
      </c>
      <c r="N27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7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7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7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7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7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78" s="67">
        <f>COUNTIF(Documentos!A:A,A278&amp;"Decreto")</f>
        <v>0</v>
      </c>
      <c r="U27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7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7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79" spans="1:26" x14ac:dyDescent="0.25">
      <c r="A279" s="19">
        <v>277</v>
      </c>
      <c r="B279" s="122"/>
      <c r="C279" s="13"/>
      <c r="D279" s="13"/>
      <c r="E279" s="6"/>
      <c r="F279" s="65">
        <f>COUNTIF(Documentos!A:A,A279&amp;"Oficio_Solicitud")</f>
        <v>0</v>
      </c>
      <c r="G27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7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7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7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7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7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79" s="75">
        <f>COUNTIF(Documentos!A:A,A279&amp;"Proposicion")</f>
        <v>0</v>
      </c>
      <c r="N27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7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7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7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7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7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79" s="67">
        <f>COUNTIF(Documentos!A:A,A279&amp;"Decreto")</f>
        <v>0</v>
      </c>
      <c r="U27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7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7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80" spans="1:26" x14ac:dyDescent="0.25">
      <c r="A280" s="19">
        <v>278</v>
      </c>
      <c r="B280" s="122"/>
      <c r="C280" s="13"/>
      <c r="D280" s="13"/>
      <c r="E280" s="6"/>
      <c r="F280" s="65">
        <f>COUNTIF(Documentos!A:A,A280&amp;"Oficio_Solicitud")</f>
        <v>1</v>
      </c>
      <c r="G28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349 DAP_FETCovid19</v>
      </c>
      <c r="H28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8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8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8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8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80" s="75">
        <f>COUNTIF(Documentos!A:A,A280&amp;"Proposicion")</f>
        <v>1</v>
      </c>
      <c r="N28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453 DAP_FETCovid19</v>
      </c>
      <c r="O28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8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8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8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8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80" s="67">
        <f>COUNTIF(Documentos!A:A,A280&amp;"Decreto")</f>
        <v>1</v>
      </c>
      <c r="U28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1228 DAP_FETCovid19</v>
      </c>
      <c r="V28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8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81" spans="1:26" x14ac:dyDescent="0.25">
      <c r="A281" s="19">
        <v>279</v>
      </c>
      <c r="B281" s="122"/>
      <c r="C281" s="13"/>
      <c r="D281" s="13"/>
      <c r="E281" s="6"/>
      <c r="F281" s="65">
        <f>COUNTIF(Documentos!A:A,A281&amp;"Oficio_Solicitud")</f>
        <v>1</v>
      </c>
      <c r="G28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454 DOP</v>
      </c>
      <c r="H28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8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8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8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8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81" s="75">
        <f>COUNTIF(Documentos!A:A,A281&amp;"Proposicion")</f>
        <v>1</v>
      </c>
      <c r="N28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437 DOP</v>
      </c>
      <c r="O28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8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8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8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8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81" s="67">
        <f>COUNTIF(Documentos!A:A,A281&amp;"Decreto")</f>
        <v>0</v>
      </c>
      <c r="U28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8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8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82" spans="1:26" x14ac:dyDescent="0.25">
      <c r="A282" s="19">
        <v>280</v>
      </c>
      <c r="B282" s="122"/>
      <c r="C282" s="13"/>
      <c r="D282" s="13"/>
      <c r="E282" s="6"/>
      <c r="F282" s="65">
        <f>COUNTIF(Documentos!A:A,A282&amp;"Oficio_Solicitud")</f>
        <v>1</v>
      </c>
      <c r="G28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455 DOPcorreo</v>
      </c>
      <c r="H28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8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8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8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8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82" s="75">
        <f>COUNTIF(Documentos!A:A,A282&amp;"Proposicion")</f>
        <v>1</v>
      </c>
      <c r="N28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449 DOP</v>
      </c>
      <c r="O28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8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8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8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8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82" s="67">
        <f>COUNTIF(Documentos!A:A,A282&amp;"Decreto")</f>
        <v>2</v>
      </c>
      <c r="U28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1211 DOP</v>
      </c>
      <c r="V28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1218 DOP</v>
      </c>
      <c r="Z28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83" spans="1:26" ht="22.5" x14ac:dyDescent="0.25">
      <c r="A283" s="19">
        <v>281</v>
      </c>
      <c r="B283" s="123" t="s">
        <v>1158</v>
      </c>
      <c r="C283" s="14"/>
      <c r="D283" s="14"/>
      <c r="E283" s="6"/>
      <c r="F283" s="65">
        <f>COUNTIF(Documentos!A:A,A283&amp;"Oficio_Solicitud")</f>
        <v>3</v>
      </c>
      <c r="G28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4480 DV-DGC-DAP</v>
      </c>
      <c r="H28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1353 DV-DGC-DAP</v>
      </c>
      <c r="I28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OF 260 DV-DGC-DAP</v>
      </c>
      <c r="J28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8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8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83" s="75">
        <f>COUNTIF(Documentos!A:A,A283&amp;"Proposicion")</f>
        <v>4</v>
      </c>
      <c r="N28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336 DV-DGC-DAP</v>
      </c>
      <c r="O28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SOL 351 DV-DGC-DAP</v>
      </c>
      <c r="P28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SOL 351 DV-DGC-DAP</v>
      </c>
      <c r="Q28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SOL 336 DV-DGC-DAP</v>
      </c>
      <c r="R28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8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83" s="67">
        <f>COUNTIF(Documentos!A:A,A283&amp;"Decreto")</f>
        <v>2</v>
      </c>
      <c r="U28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1027 DV-DGC-DAP</v>
      </c>
      <c r="V28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1029 DV-DGC-DAP</v>
      </c>
      <c r="Z28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84" spans="1:26" ht="22.5" x14ac:dyDescent="0.25">
      <c r="A284" s="19">
        <v>282</v>
      </c>
      <c r="B284" s="123" t="s">
        <v>1159</v>
      </c>
      <c r="C284" s="14"/>
      <c r="D284" s="14"/>
      <c r="E284" s="6"/>
      <c r="F284" s="65">
        <f>COUNTIF(Documentos!A:A,A284&amp;"Oficio_Solicitud")</f>
        <v>0</v>
      </c>
      <c r="G28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8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8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8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8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8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84" s="75">
        <f>COUNTIF(Documentos!A:A,A284&amp;"Proposicion")</f>
        <v>0</v>
      </c>
      <c r="N28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8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8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8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8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8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84" s="67">
        <f>COUNTIF(Documentos!A:A,A284&amp;"Decreto")</f>
        <v>0</v>
      </c>
      <c r="U28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8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8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85" spans="1:26" x14ac:dyDescent="0.25">
      <c r="A285" s="19">
        <v>283</v>
      </c>
      <c r="B285" s="122"/>
      <c r="C285" s="13"/>
      <c r="D285" s="13"/>
      <c r="E285" s="6"/>
      <c r="F285" s="65">
        <f>COUNTIF(Documentos!A:A,A285&amp;"Oficio_Solicitud")</f>
        <v>0</v>
      </c>
      <c r="G28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8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8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8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8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8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85" s="75">
        <f>COUNTIF(Documentos!A:A,A285&amp;"Proposicion")</f>
        <v>1</v>
      </c>
      <c r="N28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366 DA-DA_FETCovid19-DOH_FETCovid19-DGC</v>
      </c>
      <c r="O28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8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8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8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8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85" s="67">
        <f>COUNTIF(Documentos!A:A,A285&amp;"Decreto")</f>
        <v>1</v>
      </c>
      <c r="U28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1031 DA-DA_FETCovid19-DOH_FETCovid19-DGC</v>
      </c>
      <c r="V28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8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86" spans="1:26" x14ac:dyDescent="0.25">
      <c r="A286" s="19">
        <v>284</v>
      </c>
      <c r="B286" s="122"/>
      <c r="C286" s="13"/>
      <c r="D286" s="13"/>
      <c r="E286" s="6"/>
      <c r="F286" s="65">
        <f>COUNTIF(Documentos!A:A,A286&amp;"Oficio_Solicitud")</f>
        <v>3</v>
      </c>
      <c r="G28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1516 DOHcorreo</v>
      </c>
      <c r="H28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1714 DOH</v>
      </c>
      <c r="I28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OF 1899 DOH</v>
      </c>
      <c r="J28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8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8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86" s="75">
        <f>COUNTIF(Documentos!A:A,A286&amp;"Proposicion")</f>
        <v>1</v>
      </c>
      <c r="N28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460 DOH</v>
      </c>
      <c r="O28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8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8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8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8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86" s="67">
        <f>COUNTIF(Documentos!A:A,A286&amp;"Decreto")</f>
        <v>1</v>
      </c>
      <c r="U28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1373 DOH</v>
      </c>
      <c r="V28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8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87" spans="1:26" x14ac:dyDescent="0.25">
      <c r="A287" s="19">
        <v>285</v>
      </c>
      <c r="B287" s="122"/>
      <c r="C287" s="13"/>
      <c r="D287" s="13"/>
      <c r="E287" s="6"/>
      <c r="F287" s="65">
        <f>COUNTIF(Documentos!A:A,A287&amp;"Oficio_Solicitud")</f>
        <v>1</v>
      </c>
      <c r="G28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1585 APR</v>
      </c>
      <c r="H28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8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8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8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8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87" s="75">
        <f>COUNTIF(Documentos!A:A,A287&amp;"Proposicion")</f>
        <v>1</v>
      </c>
      <c r="N28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451 APR</v>
      </c>
      <c r="O28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8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8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8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8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87" s="67">
        <f>COUNTIF(Documentos!A:A,A287&amp;"Decreto")</f>
        <v>0</v>
      </c>
      <c r="U28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8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8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88" spans="1:26" x14ac:dyDescent="0.25">
      <c r="A288" s="19">
        <v>286</v>
      </c>
      <c r="B288" s="122" t="s">
        <v>1160</v>
      </c>
      <c r="C288" s="13"/>
      <c r="D288" s="13"/>
      <c r="E288" s="6"/>
      <c r="F288" s="65">
        <f>COUNTIF(Documentos!A:A,A288&amp;"Oficio_Solicitud")</f>
        <v>2</v>
      </c>
      <c r="G28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1543 APR</v>
      </c>
      <c r="H28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1472 APR</v>
      </c>
      <c r="I28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8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8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8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88" s="75">
        <f>COUNTIF(Documentos!A:A,A288&amp;"Proposicion")</f>
        <v>1</v>
      </c>
      <c r="N28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435 APR</v>
      </c>
      <c r="O28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8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8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8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8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88" s="67">
        <f>COUNTIF(Documentos!A:A,A288&amp;"Decreto")</f>
        <v>0</v>
      </c>
      <c r="U28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8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8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89" spans="1:26" x14ac:dyDescent="0.25">
      <c r="A289" s="19">
        <v>287</v>
      </c>
      <c r="B289" s="122"/>
      <c r="C289" s="13"/>
      <c r="D289" s="13"/>
      <c r="E289" s="6"/>
      <c r="F289" s="65">
        <f>COUNTIF(Documentos!A:A,A289&amp;"Oficio_Solicitud")</f>
        <v>1</v>
      </c>
      <c r="G28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461 DOP_FETCovid19</v>
      </c>
      <c r="H28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8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8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8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8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89" s="75">
        <f>COUNTIF(Documentos!A:A,A289&amp;"Proposicion")</f>
        <v>1</v>
      </c>
      <c r="N28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446 DOP_FETCovid19</v>
      </c>
      <c r="O28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8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8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8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8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89" s="67">
        <f>COUNTIF(Documentos!A:A,A289&amp;"Decreto")</f>
        <v>0</v>
      </c>
      <c r="U28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8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8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90" spans="1:26" x14ac:dyDescent="0.25">
      <c r="A290" s="19">
        <v>288</v>
      </c>
      <c r="B290" s="122"/>
      <c r="C290" s="13"/>
      <c r="D290" s="13"/>
      <c r="E290" s="6"/>
      <c r="F290" s="65">
        <f>COUNTIF(Documentos!A:A,A290&amp;"Oficio_Solicitud")</f>
        <v>1</v>
      </c>
      <c r="G29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278 DGA_FETCovid19</v>
      </c>
      <c r="H29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9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9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9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9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90" s="75">
        <f>COUNTIF(Documentos!A:A,A290&amp;"Proposicion")</f>
        <v>1</v>
      </c>
      <c r="N29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447 DGA_FETCovid19</v>
      </c>
      <c r="O29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9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9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9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9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90" s="67">
        <f>COUNTIF(Documentos!A:A,A290&amp;"Decreto")</f>
        <v>0</v>
      </c>
      <c r="U29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9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9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91" spans="1:26" x14ac:dyDescent="0.25">
      <c r="A291" s="19">
        <v>289</v>
      </c>
      <c r="B291" s="122"/>
      <c r="C291" s="13"/>
      <c r="D291" s="13"/>
      <c r="E291" s="6"/>
      <c r="F291" s="65">
        <f>COUNTIF(Documentos!A:A,A291&amp;"Oficio_Solicitud")</f>
        <v>1</v>
      </c>
      <c r="G29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705 DA</v>
      </c>
      <c r="H29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9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9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9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9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91" s="75">
        <f>COUNTIF(Documentos!A:A,A291&amp;"Proposicion")</f>
        <v>1</v>
      </c>
      <c r="N29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448 DA</v>
      </c>
      <c r="O29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9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9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9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9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91" s="67">
        <f>COUNTIF(Documentos!A:A,A291&amp;"Decreto")</f>
        <v>1</v>
      </c>
      <c r="U29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1174 DA</v>
      </c>
      <c r="V29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9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92" spans="1:26" x14ac:dyDescent="0.25">
      <c r="A292" s="19">
        <v>290</v>
      </c>
      <c r="B292" s="122"/>
      <c r="C292" s="13"/>
      <c r="D292" s="13"/>
      <c r="E292" s="6"/>
      <c r="F292" s="65">
        <f>COUNTIF(Documentos!A:A,A292&amp;"Oficio_Solicitud")</f>
        <v>1</v>
      </c>
      <c r="G29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1605 DOH</v>
      </c>
      <c r="H29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9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9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9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9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92" s="75">
        <f>COUNTIF(Documentos!A:A,A292&amp;"Proposicion")</f>
        <v>1</v>
      </c>
      <c r="N29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452 DOH</v>
      </c>
      <c r="O29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9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9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9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9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92" s="67">
        <f>COUNTIF(Documentos!A:A,A292&amp;"Decreto")</f>
        <v>0</v>
      </c>
      <c r="U29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9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9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93" spans="1:26" x14ac:dyDescent="0.25">
      <c r="A293" s="19">
        <v>291</v>
      </c>
      <c r="B293" s="122"/>
      <c r="C293" s="13"/>
      <c r="D293" s="13"/>
      <c r="E293" s="6"/>
      <c r="F293" s="65">
        <f>COUNTIF(Documentos!A:A,A293&amp;"Oficio_Solicitud")</f>
        <v>1</v>
      </c>
      <c r="G29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276 DGA</v>
      </c>
      <c r="H29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9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9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9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9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93" s="75">
        <f>COUNTIF(Documentos!A:A,A293&amp;"Proposicion")</f>
        <v>1</v>
      </c>
      <c r="N29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455 DGA</v>
      </c>
      <c r="O29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9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9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9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9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93" s="67">
        <f>COUNTIF(Documentos!A:A,A293&amp;"Decreto")</f>
        <v>0</v>
      </c>
      <c r="U29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9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9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94" spans="1:26" ht="56.25" x14ac:dyDescent="0.25">
      <c r="A294" s="19">
        <v>292</v>
      </c>
      <c r="B294" s="121" t="s">
        <v>1161</v>
      </c>
      <c r="C294" s="12"/>
      <c r="D294" s="12"/>
      <c r="E294" s="6"/>
      <c r="F294" s="65">
        <f>COUNTIF(Documentos!A:A,A294&amp;"Oficio_Solicitud")</f>
        <v>1</v>
      </c>
      <c r="G29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6877 DV</v>
      </c>
      <c r="H29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9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9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9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9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94" s="75">
        <f>COUNTIF(Documentos!A:A,A294&amp;"Proposicion")</f>
        <v>1</v>
      </c>
      <c r="N29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485 DV</v>
      </c>
      <c r="O29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9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9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9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9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94" s="67">
        <f>COUNTIF(Documentos!A:A,A294&amp;"Decreto")</f>
        <v>0</v>
      </c>
      <c r="U29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9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9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95" spans="1:26" ht="45" x14ac:dyDescent="0.25">
      <c r="A295" s="19">
        <v>293</v>
      </c>
      <c r="B295" s="121" t="s">
        <v>1162</v>
      </c>
      <c r="C295" s="12"/>
      <c r="D295" s="12"/>
      <c r="E295" s="6"/>
      <c r="F295" s="65">
        <f>COUNTIF(Documentos!A:A,A295&amp;"Oficio_Solicitud")</f>
        <v>1</v>
      </c>
      <c r="G29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6877 DV_FETCovid19</v>
      </c>
      <c r="H29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9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9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9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9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95" s="75">
        <f>COUNTIF(Documentos!A:A,A295&amp;"Proposicion")</f>
        <v>1</v>
      </c>
      <c r="N29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481 DV_FETCovid19</v>
      </c>
      <c r="O29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9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9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9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9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95" s="67">
        <f>COUNTIF(Documentos!A:A,A295&amp;"Decreto")</f>
        <v>0</v>
      </c>
      <c r="U29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9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9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96" spans="1:26" x14ac:dyDescent="0.25">
      <c r="A296" s="19">
        <v>294</v>
      </c>
      <c r="B296" s="122"/>
      <c r="C296" s="13"/>
      <c r="D296" s="13"/>
      <c r="E296" s="6"/>
      <c r="F296" s="65">
        <f>COUNTIF(Documentos!A:A,A296&amp;"Oficio_Solicitud")</f>
        <v>1</v>
      </c>
      <c r="G29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290 DGA_FETCovid19</v>
      </c>
      <c r="H29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9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9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9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9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96" s="75">
        <f>COUNTIF(Documentos!A:A,A296&amp;"Proposicion")</f>
        <v>1</v>
      </c>
      <c r="N29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489 DGA_FETCovid19</v>
      </c>
      <c r="O29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9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9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9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9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96" s="67">
        <f>COUNTIF(Documentos!A:A,A296&amp;"Decreto")</f>
        <v>0</v>
      </c>
      <c r="U29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9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9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97" spans="1:26" x14ac:dyDescent="0.25">
      <c r="A297" s="19">
        <v>295</v>
      </c>
      <c r="B297" s="122"/>
      <c r="C297" s="13"/>
      <c r="D297" s="13"/>
      <c r="E297" s="6"/>
      <c r="F297" s="65">
        <f>COUNTIF(Documentos!A:A,A297&amp;"Oficio_Solicitud")</f>
        <v>0</v>
      </c>
      <c r="G29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9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9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9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9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9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97" s="75">
        <f>COUNTIF(Documentos!A:A,A297&amp;"Proposicion")</f>
        <v>1</v>
      </c>
      <c r="N29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357 MOP</v>
      </c>
      <c r="O29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9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9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9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9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97" s="67">
        <f>COUNTIF(Documentos!A:A,A297&amp;"Decreto")</f>
        <v>0</v>
      </c>
      <c r="U29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9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9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98" spans="1:26" x14ac:dyDescent="0.25">
      <c r="A298" s="19">
        <v>296</v>
      </c>
      <c r="B298" s="122"/>
      <c r="C298" s="13"/>
      <c r="D298" s="13"/>
      <c r="E298" s="6"/>
      <c r="F298" s="65">
        <f>COUNTIF(Documentos!A:A,A298&amp;"Oficio_Solicitud")</f>
        <v>1</v>
      </c>
      <c r="G29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440 DOP_FETCovid19</v>
      </c>
      <c r="H29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9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9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9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9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98" s="75">
        <f>COUNTIF(Documentos!A:A,A298&amp;"Proposicion")</f>
        <v>1</v>
      </c>
      <c r="N29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402 DOP_FETCovid19</v>
      </c>
      <c r="O29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9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9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9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9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98" s="67">
        <f>COUNTIF(Documentos!A:A,A298&amp;"Decreto")</f>
        <v>1</v>
      </c>
      <c r="U29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1114 DOP_FETCovid19</v>
      </c>
      <c r="V29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9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299" spans="1:26" x14ac:dyDescent="0.25">
      <c r="A299" s="19">
        <v>297</v>
      </c>
      <c r="B299" s="122"/>
      <c r="C299" s="13"/>
      <c r="D299" s="13"/>
      <c r="E299" s="6"/>
      <c r="F299" s="65">
        <f>COUNTIF(Documentos!A:A,A299&amp;"Oficio_Solicitud")</f>
        <v>0</v>
      </c>
      <c r="G29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29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29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29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29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29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299" s="75">
        <f>COUNTIF(Documentos!A:A,A299&amp;"Proposicion")</f>
        <v>0</v>
      </c>
      <c r="N29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29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29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29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29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29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299" s="67">
        <f>COUNTIF(Documentos!A:A,A299&amp;"Decreto")</f>
        <v>0</v>
      </c>
      <c r="U29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29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29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00" spans="1:26" x14ac:dyDescent="0.25">
      <c r="A300" s="19">
        <v>298</v>
      </c>
      <c r="B300" s="122"/>
      <c r="C300" s="13"/>
      <c r="D300" s="13"/>
      <c r="E300" s="6"/>
      <c r="F300" s="65">
        <f>COUNTIF(Documentos!A:A,A300&amp;"Oficio_Solicitud")</f>
        <v>0</v>
      </c>
      <c r="G30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0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0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0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0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0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00" s="75">
        <f>COUNTIF(Documentos!A:A,A300&amp;"Proposicion")</f>
        <v>0</v>
      </c>
      <c r="N30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30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0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0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0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0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00" s="67">
        <f>COUNTIF(Documentos!A:A,A300&amp;"Decreto")</f>
        <v>0</v>
      </c>
      <c r="U30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0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0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01" spans="1:26" x14ac:dyDescent="0.25">
      <c r="A301" s="19">
        <v>299</v>
      </c>
      <c r="B301" s="122"/>
      <c r="C301" s="13"/>
      <c r="D301" s="13"/>
      <c r="E301" s="6"/>
      <c r="F301" s="65">
        <f>COUNTIF(Documentos!A:A,A301&amp;"Oficio_Solicitud")</f>
        <v>1</v>
      </c>
      <c r="G30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386 DAP</v>
      </c>
      <c r="H30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0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0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0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0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01" s="75">
        <f>COUNTIF(Documentos!A:A,A301&amp;"Proposicion")</f>
        <v>1</v>
      </c>
      <c r="N30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482 DAP</v>
      </c>
      <c r="O30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0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0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0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0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01" s="67">
        <f>COUNTIF(Documentos!A:A,A301&amp;"Decreto")</f>
        <v>0</v>
      </c>
      <c r="U30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0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0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02" spans="1:26" x14ac:dyDescent="0.25">
      <c r="A302" s="19">
        <v>300</v>
      </c>
      <c r="B302" s="122"/>
      <c r="C302" s="13"/>
      <c r="D302" s="13"/>
      <c r="E302" s="6"/>
      <c r="F302" s="65">
        <f>COUNTIF(Documentos!A:A,A302&amp;"Oficio_Solicitud")</f>
        <v>1</v>
      </c>
      <c r="G30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6850 DV</v>
      </c>
      <c r="H30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0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0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0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0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02" s="75">
        <f>COUNTIF(Documentos!A:A,A302&amp;"Proposicion")</f>
        <v>1</v>
      </c>
      <c r="N30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474 DV</v>
      </c>
      <c r="O30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0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0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0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0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02" s="67">
        <f>COUNTIF(Documentos!A:A,A302&amp;"Decreto")</f>
        <v>1</v>
      </c>
      <c r="U30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1360 DV</v>
      </c>
      <c r="V30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0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03" spans="1:26" x14ac:dyDescent="0.25">
      <c r="A303" s="19">
        <v>301</v>
      </c>
      <c r="B303" s="122" t="s">
        <v>1163</v>
      </c>
      <c r="C303" s="13"/>
      <c r="D303" s="13"/>
      <c r="E303" s="6"/>
      <c r="F303" s="65">
        <f>COUNTIF(Documentos!A:A,A303&amp;"Oficio_Solicitud")</f>
        <v>1</v>
      </c>
      <c r="G30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362 DAP</v>
      </c>
      <c r="H30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0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0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0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0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03" s="75">
        <f>COUNTIF(Documentos!A:A,A303&amp;"Proposicion")</f>
        <v>0</v>
      </c>
      <c r="N30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30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0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0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0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0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03" s="67">
        <f>COUNTIF(Documentos!A:A,A303&amp;"Decreto")</f>
        <v>0</v>
      </c>
      <c r="U30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0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0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04" spans="1:26" x14ac:dyDescent="0.25">
      <c r="A304" s="19">
        <v>302</v>
      </c>
      <c r="B304" s="122"/>
      <c r="C304" s="13"/>
      <c r="D304" s="13"/>
      <c r="E304" s="6"/>
      <c r="F304" s="65">
        <f>COUNTIF(Documentos!A:A,A304&amp;"Oficio_Solicitud")</f>
        <v>1</v>
      </c>
      <c r="G30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784 DA</v>
      </c>
      <c r="H30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0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0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0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0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04" s="75">
        <f>COUNTIF(Documentos!A:A,A304&amp;"Proposicion")</f>
        <v>1</v>
      </c>
      <c r="N30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493 DA</v>
      </c>
      <c r="O30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0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0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0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0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04" s="67">
        <f>COUNTIF(Documentos!A:A,A304&amp;"Decreto")</f>
        <v>0</v>
      </c>
      <c r="U30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0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0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05" spans="1:26" x14ac:dyDescent="0.25">
      <c r="A305" s="19">
        <v>303</v>
      </c>
      <c r="B305" s="122"/>
      <c r="C305" s="13"/>
      <c r="D305" s="13"/>
      <c r="E305" s="6"/>
      <c r="F305" s="65">
        <f>COUNTIF(Documentos!A:A,A305&amp;"Oficio_Solicitud")</f>
        <v>1</v>
      </c>
      <c r="G30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297 DGA_FETCovid19</v>
      </c>
      <c r="H30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0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0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0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0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05" s="75">
        <f>COUNTIF(Documentos!A:A,A305&amp;"Proposicion")</f>
        <v>1</v>
      </c>
      <c r="N30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487 DGA_FETCovid19</v>
      </c>
      <c r="O30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0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0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0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0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05" s="67">
        <f>COUNTIF(Documentos!A:A,A305&amp;"Decreto")</f>
        <v>0</v>
      </c>
      <c r="U30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0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0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06" spans="1:26" ht="90" x14ac:dyDescent="0.25">
      <c r="A306" s="19">
        <v>304</v>
      </c>
      <c r="B306" s="122" t="s">
        <v>1164</v>
      </c>
      <c r="C306" s="13"/>
      <c r="D306" s="13"/>
      <c r="E306" s="6"/>
      <c r="F306" s="65">
        <f>COUNTIF(Documentos!A:A,A306&amp;"Oficio_Solicitud")</f>
        <v>1</v>
      </c>
      <c r="G30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1714 DOH</v>
      </c>
      <c r="H30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0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0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0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0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06" s="75">
        <f>COUNTIF(Documentos!A:A,A306&amp;"Proposicion")</f>
        <v>1</v>
      </c>
      <c r="N30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512 DOH</v>
      </c>
      <c r="O30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0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0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0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0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06" s="67">
        <f>COUNTIF(Documentos!A:A,A306&amp;"Decreto")</f>
        <v>0</v>
      </c>
      <c r="U30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0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0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07" spans="1:26" x14ac:dyDescent="0.25">
      <c r="A307" s="19">
        <v>305</v>
      </c>
      <c r="B307" s="122"/>
      <c r="C307" s="13"/>
      <c r="D307" s="13"/>
      <c r="E307" s="6"/>
      <c r="F307" s="65">
        <f>COUNTIF(Documentos!A:A,A307&amp;"Oficio_Solicitud")</f>
        <v>1</v>
      </c>
      <c r="G30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1359 APRcorreo</v>
      </c>
      <c r="H30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0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0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0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0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07" s="75">
        <f>COUNTIF(Documentos!A:A,A307&amp;"Proposicion")</f>
        <v>1</v>
      </c>
      <c r="N30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419 APR</v>
      </c>
      <c r="O30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0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0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0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0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07" s="67">
        <f>COUNTIF(Documentos!A:A,A307&amp;"Decreto")</f>
        <v>1</v>
      </c>
      <c r="U30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1169 APR</v>
      </c>
      <c r="V30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0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08" spans="1:26" x14ac:dyDescent="0.25">
      <c r="A308" s="19">
        <v>306</v>
      </c>
      <c r="B308" s="122"/>
      <c r="C308" s="13"/>
      <c r="D308" s="13"/>
      <c r="E308" s="6"/>
      <c r="F308" s="65">
        <f>COUNTIF(Documentos!A:A,A308&amp;"Oficio_Solicitud")</f>
        <v>1</v>
      </c>
      <c r="G30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387 DAP-DAP_FETCovid19</v>
      </c>
      <c r="H30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0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0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0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0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08" s="75">
        <f>COUNTIF(Documentos!A:A,A308&amp;"Proposicion")</f>
        <v>1</v>
      </c>
      <c r="N30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483 DAP-DAP_FETCovid19</v>
      </c>
      <c r="O30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0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0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0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0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08" s="67">
        <f>COUNTIF(Documentos!A:A,A308&amp;"Decreto")</f>
        <v>0</v>
      </c>
      <c r="U30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0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0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09" spans="1:26" x14ac:dyDescent="0.25">
      <c r="A309" s="19">
        <v>307</v>
      </c>
      <c r="B309" s="122"/>
      <c r="C309" s="13"/>
      <c r="D309" s="13"/>
      <c r="E309" s="6"/>
      <c r="F309" s="65">
        <f>COUNTIF(Documentos!A:A,A309&amp;"Oficio_Solicitud")</f>
        <v>1</v>
      </c>
      <c r="G30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1747 APR</v>
      </c>
      <c r="H30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0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0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0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0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09" s="75">
        <f>COUNTIF(Documentos!A:A,A309&amp;"Proposicion")</f>
        <v>1</v>
      </c>
      <c r="N30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499 APR</v>
      </c>
      <c r="O30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0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0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0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0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09" s="67">
        <f>COUNTIF(Documentos!A:A,A309&amp;"Decreto")</f>
        <v>0</v>
      </c>
      <c r="U30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0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0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10" spans="1:26" x14ac:dyDescent="0.25">
      <c r="A310" s="19">
        <v>308</v>
      </c>
      <c r="B310" s="122"/>
      <c r="C310" s="13"/>
      <c r="D310" s="13"/>
      <c r="E310" s="6"/>
      <c r="F310" s="65">
        <f>COUNTIF(Documentos!A:A,A310&amp;"Oficio_Solicitud")</f>
        <v>1</v>
      </c>
      <c r="G31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1748 APR_FETCovid19</v>
      </c>
      <c r="H31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1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1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1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1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10" s="75">
        <f>COUNTIF(Documentos!A:A,A310&amp;"Proposicion")</f>
        <v>1</v>
      </c>
      <c r="N31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498 APR_FETCovid19</v>
      </c>
      <c r="O31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1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1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1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1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10" s="67">
        <f>COUNTIF(Documentos!A:A,A310&amp;"Decreto")</f>
        <v>0</v>
      </c>
      <c r="U31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1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1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11" spans="1:26" x14ac:dyDescent="0.25">
      <c r="A311" s="19">
        <v>309</v>
      </c>
      <c r="B311" s="122"/>
      <c r="C311" s="13"/>
      <c r="D311" s="13"/>
      <c r="E311" s="6"/>
      <c r="F311" s="65">
        <f>COUNTIF(Documentos!A:A,A311&amp;"Oficio_Solicitud")</f>
        <v>1</v>
      </c>
      <c r="G31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1752 DOH</v>
      </c>
      <c r="H31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1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1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1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1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11" s="75">
        <f>COUNTIF(Documentos!A:A,A311&amp;"Proposicion")</f>
        <v>1</v>
      </c>
      <c r="N31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497 DOH</v>
      </c>
      <c r="O31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1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1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1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1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11" s="67">
        <f>COUNTIF(Documentos!A:A,A311&amp;"Decreto")</f>
        <v>0</v>
      </c>
      <c r="U31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1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1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12" spans="1:26" ht="112.5" x14ac:dyDescent="0.25">
      <c r="A312" s="19">
        <v>310</v>
      </c>
      <c r="B312" s="122" t="s">
        <v>1165</v>
      </c>
      <c r="C312" s="13"/>
      <c r="D312" s="13"/>
      <c r="E312" s="6"/>
      <c r="F312" s="65">
        <f>COUNTIF(Documentos!A:A,A312&amp;"Oficio_Solicitud")</f>
        <v>1</v>
      </c>
      <c r="G31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1751 APR</v>
      </c>
      <c r="H31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1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1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1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1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12" s="75">
        <f>COUNTIF(Documentos!A:A,A312&amp;"Proposicion")</f>
        <v>1</v>
      </c>
      <c r="N31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514 APR</v>
      </c>
      <c r="O31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1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1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1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1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12" s="67">
        <f>COUNTIF(Documentos!A:A,A312&amp;"Decreto")</f>
        <v>1</v>
      </c>
      <c r="U31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1353 APR</v>
      </c>
      <c r="V31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1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13" spans="1:26" x14ac:dyDescent="0.25">
      <c r="A313" s="19">
        <v>311</v>
      </c>
      <c r="B313" s="122"/>
      <c r="C313" s="13"/>
      <c r="D313" s="13"/>
      <c r="E313" s="6"/>
      <c r="F313" s="65">
        <f>COUNTIF(Documentos!A:A,A313&amp;"Oficio_Solicitud")</f>
        <v>1</v>
      </c>
      <c r="G31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1780 DOH</v>
      </c>
      <c r="H31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1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1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1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1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13" s="75">
        <f>COUNTIF(Documentos!A:A,A313&amp;"Proposicion")</f>
        <v>1</v>
      </c>
      <c r="N31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496 DOH</v>
      </c>
      <c r="O31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1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1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1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1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13" s="67">
        <f>COUNTIF(Documentos!A:A,A313&amp;"Decreto")</f>
        <v>0</v>
      </c>
      <c r="U31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1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1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14" spans="1:26" ht="45" x14ac:dyDescent="0.25">
      <c r="A314" s="19">
        <v>312</v>
      </c>
      <c r="B314" s="122" t="s">
        <v>1166</v>
      </c>
      <c r="C314" s="13"/>
      <c r="D314" s="13"/>
      <c r="E314" s="6"/>
      <c r="F314" s="65">
        <f>COUNTIF(Documentos!A:A,A314&amp;"Oficio_Solicitud")</f>
        <v>1</v>
      </c>
      <c r="G31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7209 DV</v>
      </c>
      <c r="H31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1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1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1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1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14" s="75">
        <f>COUNTIF(Documentos!A:A,A314&amp;"Proposicion")</f>
        <v>1</v>
      </c>
      <c r="N31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515 DV</v>
      </c>
      <c r="O31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1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1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1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1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14" s="67">
        <f>COUNTIF(Documentos!A:A,A314&amp;"Decreto")</f>
        <v>1</v>
      </c>
      <c r="U31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1313 DV</v>
      </c>
      <c r="V31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1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15" spans="1:26" ht="22.5" x14ac:dyDescent="0.25">
      <c r="A315" s="19">
        <v>313</v>
      </c>
      <c r="B315" s="122" t="s">
        <v>1167</v>
      </c>
      <c r="C315" s="13"/>
      <c r="D315" s="13"/>
      <c r="E315" s="6"/>
      <c r="F315" s="65">
        <f>COUNTIF(Documentos!A:A,A315&amp;"Oficio_Solicitud")</f>
        <v>1</v>
      </c>
      <c r="G31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401 DAP</v>
      </c>
      <c r="H31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1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1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1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1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15" s="75">
        <f>COUNTIF(Documentos!A:A,A315&amp;"Proposicion")</f>
        <v>1</v>
      </c>
      <c r="N31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511 DAP</v>
      </c>
      <c r="O31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1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1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1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1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15" s="67">
        <f>COUNTIF(Documentos!A:A,A315&amp;"Decreto")</f>
        <v>1</v>
      </c>
      <c r="U31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1311 DAP</v>
      </c>
      <c r="V31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1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16" spans="1:26" x14ac:dyDescent="0.25">
      <c r="A316" s="19">
        <v>314</v>
      </c>
      <c r="B316" s="122"/>
      <c r="C316" s="13"/>
      <c r="D316" s="13"/>
      <c r="E316" s="6"/>
      <c r="F316" s="65">
        <f>COUNTIF(Documentos!A:A,A316&amp;"Oficio_Solicitud")</f>
        <v>1</v>
      </c>
      <c r="G31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408 DAP_FETCovid19</v>
      </c>
      <c r="H31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1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1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1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1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16" s="75">
        <f>COUNTIF(Documentos!A:A,A316&amp;"Proposicion")</f>
        <v>1</v>
      </c>
      <c r="N31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510 DAP_FETCovid19</v>
      </c>
      <c r="O31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1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1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1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1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16" s="67">
        <f>COUNTIF(Documentos!A:A,A316&amp;"Decreto")</f>
        <v>1</v>
      </c>
      <c r="U31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1318 DAP_FETCovid19</v>
      </c>
      <c r="V31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1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17" spans="1:26" ht="45" x14ac:dyDescent="0.25">
      <c r="A317" s="19">
        <v>315</v>
      </c>
      <c r="B317" s="122" t="s">
        <v>1168</v>
      </c>
      <c r="C317" s="13"/>
      <c r="D317" s="13"/>
      <c r="E317" s="6"/>
      <c r="F317" s="65">
        <f>COUNTIF(Documentos!A:A,A317&amp;"Oficio_Solicitud")</f>
        <v>1</v>
      </c>
      <c r="G31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560 DOP</v>
      </c>
      <c r="H31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1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1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1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1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17" s="75">
        <f>COUNTIF(Documentos!A:A,A317&amp;"Proposicion")</f>
        <v>1</v>
      </c>
      <c r="N31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530 DOP</v>
      </c>
      <c r="O31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1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1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1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1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17" s="67">
        <f>COUNTIF(Documentos!A:A,A317&amp;"Decreto")</f>
        <v>2</v>
      </c>
      <c r="U31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1346 DOP</v>
      </c>
      <c r="V31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1347 DOP</v>
      </c>
      <c r="Z31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18" spans="1:26" ht="22.5" x14ac:dyDescent="0.25">
      <c r="A318" s="19">
        <v>316</v>
      </c>
      <c r="B318" s="122" t="s">
        <v>1169</v>
      </c>
      <c r="C318" s="13"/>
      <c r="D318" s="13"/>
      <c r="E318" s="6"/>
      <c r="F318" s="65">
        <f>COUNTIF(Documentos!A:A,A318&amp;"Oficio_Solicitud")</f>
        <v>0</v>
      </c>
      <c r="G31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1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1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1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1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1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18" s="75">
        <f>COUNTIF(Documentos!A:A,A318&amp;"Proposicion")</f>
        <v>1</v>
      </c>
      <c r="N31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451 MOP</v>
      </c>
      <c r="O31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1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1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1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1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18" s="67">
        <f>COUNTIF(Documentos!A:A,A318&amp;"Decreto")</f>
        <v>0</v>
      </c>
      <c r="U31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1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1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19" spans="1:26" ht="45" x14ac:dyDescent="0.25">
      <c r="A319" s="19">
        <v>317</v>
      </c>
      <c r="B319" s="122" t="s">
        <v>1170</v>
      </c>
      <c r="C319" s="13"/>
      <c r="D319" s="13"/>
      <c r="E319" s="6"/>
      <c r="F319" s="65">
        <f>COUNTIF(Documentos!A:A,A319&amp;"Oficio_Solicitud")</f>
        <v>0</v>
      </c>
      <c r="G31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1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1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1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1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1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19" s="75">
        <f>COUNTIF(Documentos!A:A,A319&amp;"Proposicion")</f>
        <v>1</v>
      </c>
      <c r="N31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450 DA</v>
      </c>
      <c r="O31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1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1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1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1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19" s="67">
        <f>COUNTIF(Documentos!A:A,A319&amp;"Decreto")</f>
        <v>0</v>
      </c>
      <c r="U31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1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1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20" spans="1:26" x14ac:dyDescent="0.25">
      <c r="A320" s="19">
        <v>318</v>
      </c>
      <c r="B320" s="122"/>
      <c r="C320" s="13"/>
      <c r="D320" s="13"/>
      <c r="E320" s="6"/>
      <c r="F320" s="65">
        <f>COUNTIF(Documentos!A:A,A320&amp;"Oficio_Solicitud")</f>
        <v>1</v>
      </c>
      <c r="G32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672 DGC</v>
      </c>
      <c r="H32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2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2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2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2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20" s="75">
        <f>COUNTIF(Documentos!A:A,A320&amp;"Proposicion")</f>
        <v>1</v>
      </c>
      <c r="N32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446 DGC</v>
      </c>
      <c r="O32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2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2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2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2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20" s="67">
        <f>COUNTIF(Documentos!A:A,A320&amp;"Decreto")</f>
        <v>1</v>
      </c>
      <c r="U32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1291 DGC</v>
      </c>
      <c r="V32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2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21" spans="1:26" ht="22.5" x14ac:dyDescent="0.25">
      <c r="A321" s="19">
        <v>319</v>
      </c>
      <c r="B321" s="122" t="s">
        <v>1171</v>
      </c>
      <c r="C321" s="13">
        <v>44783</v>
      </c>
      <c r="D321" s="13"/>
      <c r="E321" s="6"/>
      <c r="F321" s="65">
        <f>COUNTIF(Documentos!A:A,A321&amp;"Oficio_Solicitud")</f>
        <v>1</v>
      </c>
      <c r="G32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251 SOP-DOH</v>
      </c>
      <c r="H32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2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2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2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2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21" s="75">
        <f>COUNTIF(Documentos!A:A,A321&amp;"Proposicion")</f>
        <v>1</v>
      </c>
      <c r="N32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518 SOP-DOH</v>
      </c>
      <c r="O32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2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2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2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2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21" s="67">
        <f>COUNTIF(Documentos!A:A,A321&amp;"Decreto")</f>
        <v>0</v>
      </c>
      <c r="U32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2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2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22" spans="1:26" ht="22.5" x14ac:dyDescent="0.25">
      <c r="A322" s="19">
        <v>320</v>
      </c>
      <c r="B322" s="122" t="s">
        <v>1172</v>
      </c>
      <c r="C322" s="13"/>
      <c r="D322" s="13"/>
      <c r="E322" s="6"/>
      <c r="F322" s="65">
        <f>COUNTIF(Documentos!A:A,A322&amp;"Oficio_Solicitud")</f>
        <v>0</v>
      </c>
      <c r="G32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2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2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2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2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2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22" s="75">
        <f>COUNTIF(Documentos!A:A,A322&amp;"Proposicion")</f>
        <v>0</v>
      </c>
      <c r="N32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32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2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2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2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2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22" s="67">
        <f>COUNTIF(Documentos!A:A,A322&amp;"Decreto")</f>
        <v>0</v>
      </c>
      <c r="U32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2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2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23" spans="1:26" x14ac:dyDescent="0.25">
      <c r="A323" s="19">
        <v>321</v>
      </c>
      <c r="B323" s="122"/>
      <c r="C323" s="13"/>
      <c r="D323" s="13"/>
      <c r="E323" s="6"/>
      <c r="F323" s="65">
        <f>COUNTIF(Documentos!A:A,A323&amp;"Oficio_Solicitud")</f>
        <v>1</v>
      </c>
      <c r="G32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724 DGC</v>
      </c>
      <c r="H32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2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2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2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2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23" s="75">
        <f>COUNTIF(Documentos!A:A,A323&amp;"Proposicion")</f>
        <v>1</v>
      </c>
      <c r="N32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561 DGC</v>
      </c>
      <c r="O32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2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2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2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2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23" s="67">
        <f>COUNTIF(Documentos!A:A,A323&amp;"Decreto")</f>
        <v>1</v>
      </c>
      <c r="U32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1431 DGC</v>
      </c>
      <c r="V32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2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24" spans="1:26" ht="22.5" x14ac:dyDescent="0.25">
      <c r="A324" s="19">
        <v>322</v>
      </c>
      <c r="B324" s="122" t="s">
        <v>1173</v>
      </c>
      <c r="C324" s="13"/>
      <c r="D324" s="13"/>
      <c r="E324" s="6"/>
      <c r="F324" s="65">
        <f>COUNTIF(Documentos!A:A,A324&amp;"Oficio_Solicitud")</f>
        <v>1</v>
      </c>
      <c r="G32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106 INH</v>
      </c>
      <c r="H32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2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2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2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2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24" s="75">
        <f>COUNTIF(Documentos!A:A,A324&amp;"Proposicion")</f>
        <v>1</v>
      </c>
      <c r="N32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522 INH</v>
      </c>
      <c r="O32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2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2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2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2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24" s="67">
        <f>COUNTIF(Documentos!A:A,A324&amp;"Decreto")</f>
        <v>1</v>
      </c>
      <c r="U32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1278 INH</v>
      </c>
      <c r="V32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2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25" spans="1:26" x14ac:dyDescent="0.25">
      <c r="A325" s="19">
        <v>323</v>
      </c>
      <c r="B325" s="122"/>
      <c r="C325" s="13"/>
      <c r="D325" s="13"/>
      <c r="E325" s="6"/>
      <c r="F325" s="65">
        <f>COUNTIF(Documentos!A:A,A325&amp;"Oficio_Solicitud")</f>
        <v>1</v>
      </c>
      <c r="G32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456 DOH-DCyF</v>
      </c>
      <c r="H32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2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2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2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2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25" s="75">
        <f>COUNTIF(Documentos!A:A,A325&amp;"Proposicion")</f>
        <v>1</v>
      </c>
      <c r="N32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519 DOH-DCyF</v>
      </c>
      <c r="O32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2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2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2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2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25" s="67">
        <f>COUNTIF(Documentos!A:A,A325&amp;"Decreto")</f>
        <v>1</v>
      </c>
      <c r="U32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1294 DOH-DCyF</v>
      </c>
      <c r="V32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2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26" spans="1:26" x14ac:dyDescent="0.25">
      <c r="A326" s="19">
        <v>324</v>
      </c>
      <c r="B326" s="122"/>
      <c r="C326" s="13"/>
      <c r="D326" s="13"/>
      <c r="E326" s="6"/>
      <c r="F326" s="65">
        <f>COUNTIF(Documentos!A:A,A326&amp;"Oficio_Solicitud")</f>
        <v>1</v>
      </c>
      <c r="G32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456 DCyF</v>
      </c>
      <c r="H32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2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2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2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2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26" s="75">
        <f>COUNTIF(Documentos!A:A,A326&amp;"Proposicion")</f>
        <v>1</v>
      </c>
      <c r="N32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529 DCyF</v>
      </c>
      <c r="O32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2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2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2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2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26" s="67">
        <f>COUNTIF(Documentos!A:A,A326&amp;"Decreto")</f>
        <v>0</v>
      </c>
      <c r="U32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2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2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27" spans="1:26" ht="22.5" x14ac:dyDescent="0.25">
      <c r="A327" s="19">
        <v>325</v>
      </c>
      <c r="B327" s="122" t="s">
        <v>1174</v>
      </c>
      <c r="C327" s="13"/>
      <c r="D327" s="13"/>
      <c r="E327" s="6"/>
      <c r="F327" s="65">
        <f>COUNTIF(Documentos!A:A,A327&amp;"Oficio_Solicitud")</f>
        <v>1</v>
      </c>
      <c r="G32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6574 DV</v>
      </c>
      <c r="H32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2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2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2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2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27" s="75">
        <f>COUNTIF(Documentos!A:A,A327&amp;"Proposicion")</f>
        <v>1</v>
      </c>
      <c r="N32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493 DV</v>
      </c>
      <c r="O32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2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2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2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2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27" s="67">
        <f>COUNTIF(Documentos!A:A,A327&amp;"Decreto")</f>
        <v>0</v>
      </c>
      <c r="U32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2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2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28" spans="1:26" x14ac:dyDescent="0.25">
      <c r="A328" s="19">
        <v>326</v>
      </c>
      <c r="B328" s="122"/>
      <c r="C328" s="13"/>
      <c r="D328" s="13"/>
      <c r="E328" s="6"/>
      <c r="F328" s="65">
        <f>COUNTIF(Documentos!A:A,A328&amp;"Oficio_Solicitud")</f>
        <v>1</v>
      </c>
      <c r="G32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752 DGC</v>
      </c>
      <c r="H32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2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2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2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2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28" s="75">
        <f>COUNTIF(Documentos!A:A,A328&amp;"Proposicion")</f>
        <v>1</v>
      </c>
      <c r="N32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533 DGC</v>
      </c>
      <c r="O32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2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2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2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2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28" s="67">
        <f>COUNTIF(Documentos!A:A,A328&amp;"Decreto")</f>
        <v>0</v>
      </c>
      <c r="U32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2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2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29" spans="1:26" x14ac:dyDescent="0.25">
      <c r="A329" s="19">
        <v>327</v>
      </c>
      <c r="B329" s="122"/>
      <c r="C329" s="13"/>
      <c r="D329" s="13"/>
      <c r="E329" s="6"/>
      <c r="F329" s="65">
        <f>COUNTIF(Documentos!A:A,A329&amp;"Oficio_Solicitud")</f>
        <v>1</v>
      </c>
      <c r="G32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584 DOP</v>
      </c>
      <c r="H32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2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2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2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2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29" s="75">
        <f>COUNTIF(Documentos!A:A,A329&amp;"Proposicion")</f>
        <v>2</v>
      </c>
      <c r="N32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523 DOP</v>
      </c>
      <c r="O32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SOL 528 DOP</v>
      </c>
      <c r="P32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2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2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2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29" s="67">
        <f>COUNTIF(Documentos!A:A,A329&amp;"Decreto")</f>
        <v>1</v>
      </c>
      <c r="U32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1414 DOP</v>
      </c>
      <c r="V32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2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30" spans="1:26" ht="45" x14ac:dyDescent="0.25">
      <c r="A330" s="19">
        <v>328</v>
      </c>
      <c r="B330" s="121" t="s">
        <v>1175</v>
      </c>
      <c r="C330" s="12"/>
      <c r="D330" s="12"/>
      <c r="E330" s="6"/>
      <c r="F330" s="65">
        <f>COUNTIF(Documentos!A:A,A330&amp;"Oficio_Solicitud")</f>
        <v>1</v>
      </c>
      <c r="G33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7613 DV</v>
      </c>
      <c r="H33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3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3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3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3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30" s="75">
        <f>COUNTIF(Documentos!A:A,A330&amp;"Proposicion")</f>
        <v>1</v>
      </c>
      <c r="N33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555 DV</v>
      </c>
      <c r="O33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3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3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3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3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30" s="67">
        <f>COUNTIF(Documentos!A:A,A330&amp;"Decreto")</f>
        <v>0</v>
      </c>
      <c r="U33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3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3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31" spans="1:26" ht="67.5" x14ac:dyDescent="0.25">
      <c r="A331" s="19">
        <v>329</v>
      </c>
      <c r="B331" s="121" t="s">
        <v>1176</v>
      </c>
      <c r="C331" s="12"/>
      <c r="D331" s="12"/>
      <c r="E331" s="6"/>
      <c r="F331" s="65">
        <f>COUNTIF(Documentos!A:A,A331&amp;"Oficio_Solicitud")</f>
        <v>1</v>
      </c>
      <c r="G33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7613 DV_FETCovid19</v>
      </c>
      <c r="H33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3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3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3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3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31" s="75">
        <f>COUNTIF(Documentos!A:A,A331&amp;"Proposicion")</f>
        <v>1</v>
      </c>
      <c r="N33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556 DV_FETCovid19</v>
      </c>
      <c r="O33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3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3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3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3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31" s="67">
        <f>COUNTIF(Documentos!A:A,A331&amp;"Decreto")</f>
        <v>0</v>
      </c>
      <c r="U33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3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3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32" spans="1:26" ht="78.75" x14ac:dyDescent="0.25">
      <c r="A332" s="19">
        <v>330</v>
      </c>
      <c r="B332" s="122" t="s">
        <v>1177</v>
      </c>
      <c r="C332" s="13"/>
      <c r="D332" s="13"/>
      <c r="E332" s="6"/>
      <c r="F332" s="65">
        <f>COUNTIF(Documentos!A:A,A332&amp;"Oficio_Solicitud")</f>
        <v>1</v>
      </c>
      <c r="G33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1899 DOH</v>
      </c>
      <c r="H33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3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3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3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3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32" s="75">
        <f>COUNTIF(Documentos!A:A,A332&amp;"Proposicion")</f>
        <v>1</v>
      </c>
      <c r="N33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558 DOH</v>
      </c>
      <c r="O33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3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3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3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3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32" s="67">
        <f>COUNTIF(Documentos!A:A,A332&amp;"Decreto")</f>
        <v>1</v>
      </c>
      <c r="U33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1499 DOH</v>
      </c>
      <c r="V33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3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33" spans="1:26" x14ac:dyDescent="0.25">
      <c r="A333" s="19">
        <v>331</v>
      </c>
      <c r="B333" s="122"/>
      <c r="C333" s="13"/>
      <c r="D333" s="13"/>
      <c r="E333" s="6"/>
      <c r="F333" s="65">
        <f>COUNTIF(Documentos!A:A,A333&amp;"Oficio_Solicitud")</f>
        <v>1</v>
      </c>
      <c r="G33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42 DP</v>
      </c>
      <c r="H33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3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3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3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3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33" s="75">
        <f>COUNTIF(Documentos!A:A,A333&amp;"Proposicion")</f>
        <v>2</v>
      </c>
      <c r="N33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534 DP</v>
      </c>
      <c r="O33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SOL 546 DP</v>
      </c>
      <c r="P33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3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3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3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33" s="67">
        <f>COUNTIF(Documentos!A:A,A333&amp;"Decreto")</f>
        <v>1</v>
      </c>
      <c r="U33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1334 DP</v>
      </c>
      <c r="V33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3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34" spans="1:26" x14ac:dyDescent="0.25">
      <c r="A334" s="19">
        <v>332</v>
      </c>
      <c r="B334" s="122"/>
      <c r="C334" s="13"/>
      <c r="D334" s="13"/>
      <c r="E334" s="6"/>
      <c r="F334" s="65">
        <f>COUNTIF(Documentos!A:A,A334&amp;"Oficio_Solicitud")</f>
        <v>1</v>
      </c>
      <c r="G33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2336 DOH-SISS</v>
      </c>
      <c r="H33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3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3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3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3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34" s="75">
        <f>COUNTIF(Documentos!A:A,A334&amp;"Proposicion")</f>
        <v>1</v>
      </c>
      <c r="N33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532 DOH-SISS</v>
      </c>
      <c r="O33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3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3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3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3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34" s="67">
        <f>COUNTIF(Documentos!A:A,A334&amp;"Decreto")</f>
        <v>1</v>
      </c>
      <c r="U33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1407 DOH-SISS</v>
      </c>
      <c r="V33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3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35" spans="1:26" ht="168.75" x14ac:dyDescent="0.25">
      <c r="A335" s="19">
        <v>333</v>
      </c>
      <c r="B335" s="121" t="s">
        <v>1178</v>
      </c>
      <c r="C335" s="12"/>
      <c r="D335" s="12"/>
      <c r="E335" s="6"/>
      <c r="F335" s="65">
        <f>COUNTIF(Documentos!A:A,A335&amp;"Oficio_Solicitud")</f>
        <v>1</v>
      </c>
      <c r="G33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7638 DV</v>
      </c>
      <c r="H33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3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3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3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3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35" s="75">
        <f>COUNTIF(Documentos!A:A,A335&amp;"Proposicion")</f>
        <v>1</v>
      </c>
      <c r="N33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582 DV</v>
      </c>
      <c r="O33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3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3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3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3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35" s="67">
        <f>COUNTIF(Documentos!A:A,A335&amp;"Decreto")</f>
        <v>1</v>
      </c>
      <c r="U33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1733 DV</v>
      </c>
      <c r="V33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3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36" spans="1:26" ht="180" x14ac:dyDescent="0.25">
      <c r="A336" s="19">
        <v>334</v>
      </c>
      <c r="B336" s="121" t="s">
        <v>1179</v>
      </c>
      <c r="C336" s="12"/>
      <c r="D336" s="12"/>
      <c r="E336" s="6"/>
      <c r="F336" s="65">
        <f>COUNTIF(Documentos!A:A,A336&amp;"Oficio_Solicitud")</f>
        <v>1</v>
      </c>
      <c r="G33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7638 DV_FETCovid19</v>
      </c>
      <c r="H33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3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3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3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3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36" s="75">
        <f>COUNTIF(Documentos!A:A,A336&amp;"Proposicion")</f>
        <v>1</v>
      </c>
      <c r="N33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570 DV_FETCovid19</v>
      </c>
      <c r="O33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3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3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3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3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36" s="67">
        <f>COUNTIF(Documentos!A:A,A336&amp;"Decreto")</f>
        <v>1</v>
      </c>
      <c r="U33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1718 DV_FETCovid19</v>
      </c>
      <c r="V33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3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37" spans="1:26" ht="22.5" x14ac:dyDescent="0.25">
      <c r="A337" s="19">
        <v>335</v>
      </c>
      <c r="B337" s="121" t="s">
        <v>1180</v>
      </c>
      <c r="C337" s="12"/>
      <c r="D337" s="12"/>
      <c r="E337" s="6"/>
      <c r="F337" s="65">
        <f>COUNTIF(Documentos!A:A,A337&amp;"Oficio_Solicitud")</f>
        <v>1</v>
      </c>
      <c r="G33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6669 DV</v>
      </c>
      <c r="H33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3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3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3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3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37" s="75">
        <f>COUNTIF(Documentos!A:A,A337&amp;"Proposicion")</f>
        <v>1</v>
      </c>
      <c r="N33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504 DV</v>
      </c>
      <c r="O33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3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3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3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3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37" s="67">
        <f>COUNTIF(Documentos!A:A,A337&amp;"Decreto")</f>
        <v>0</v>
      </c>
      <c r="U33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3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3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38" spans="1:26" ht="45" x14ac:dyDescent="0.25">
      <c r="A338" s="19">
        <v>336</v>
      </c>
      <c r="B338" s="122" t="s">
        <v>1181</v>
      </c>
      <c r="C338" s="13"/>
      <c r="D338" s="13"/>
      <c r="E338" s="6"/>
      <c r="F338" s="65">
        <f>COUNTIF(Documentos!A:A,A338&amp;"Oficio_Solicitud")</f>
        <v>1</v>
      </c>
      <c r="G33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1919 DOH</v>
      </c>
      <c r="H33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3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3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3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3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38" s="75">
        <f>COUNTIF(Documentos!A:A,A338&amp;"Proposicion")</f>
        <v>1</v>
      </c>
      <c r="N33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541 DOH</v>
      </c>
      <c r="O33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3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3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3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3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38" s="67">
        <f>COUNTIF(Documentos!A:A,A338&amp;"Decreto")</f>
        <v>0</v>
      </c>
      <c r="U33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3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3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39" spans="1:26" ht="45" x14ac:dyDescent="0.25">
      <c r="A339" s="19">
        <v>337</v>
      </c>
      <c r="B339" s="122" t="s">
        <v>1181</v>
      </c>
      <c r="C339" s="13"/>
      <c r="D339" s="13"/>
      <c r="E339" s="6"/>
      <c r="F339" s="65">
        <f>COUNTIF(Documentos!A:A,A339&amp;"Oficio_Solicitud")</f>
        <v>1</v>
      </c>
      <c r="G33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1920 APR</v>
      </c>
      <c r="H33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3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3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3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3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39" s="75">
        <f>COUNTIF(Documentos!A:A,A339&amp;"Proposicion")</f>
        <v>1</v>
      </c>
      <c r="N33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538 APR</v>
      </c>
      <c r="O33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3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3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3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3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39" s="67">
        <f>COUNTIF(Documentos!A:A,A339&amp;"Decreto")</f>
        <v>0</v>
      </c>
      <c r="U33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3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3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40" spans="1:26" x14ac:dyDescent="0.25">
      <c r="A340" s="19">
        <v>338</v>
      </c>
      <c r="B340" s="122"/>
      <c r="C340" s="13"/>
      <c r="D340" s="13"/>
      <c r="E340" s="6"/>
      <c r="F340" s="65">
        <f>COUNTIF(Documentos!A:A,A340&amp;"Oficio_Solicitud")</f>
        <v>1</v>
      </c>
      <c r="G34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514 DOP</v>
      </c>
      <c r="H34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4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4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4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4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40" s="75">
        <f>COUNTIF(Documentos!A:A,A340&amp;"Proposicion")</f>
        <v>1</v>
      </c>
      <c r="N34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506 DOP</v>
      </c>
      <c r="O34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4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4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4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4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40" s="67">
        <f>COUNTIF(Documentos!A:A,A340&amp;"Decreto")</f>
        <v>0</v>
      </c>
      <c r="U34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4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4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41" spans="1:26" x14ac:dyDescent="0.25">
      <c r="A341" s="19">
        <v>339</v>
      </c>
      <c r="B341" s="122"/>
      <c r="C341" s="13"/>
      <c r="D341" s="13"/>
      <c r="E341" s="6"/>
      <c r="F341" s="65">
        <f>COUNTIF(Documentos!A:A,A341&amp;"Oficio_Solicitud")</f>
        <v>0</v>
      </c>
      <c r="G34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4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4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4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4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4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41" s="75">
        <f>COUNTIF(Documentos!A:A,A341&amp;"Proposicion")</f>
        <v>0</v>
      </c>
      <c r="N34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34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4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4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4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4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41" s="67">
        <f>COUNTIF(Documentos!A:A,A341&amp;"Decreto")</f>
        <v>0</v>
      </c>
      <c r="U34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4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4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42" spans="1:26" ht="45" x14ac:dyDescent="0.25">
      <c r="A342" s="19">
        <v>340</v>
      </c>
      <c r="B342" s="122" t="s">
        <v>1181</v>
      </c>
      <c r="C342" s="13"/>
      <c r="D342" s="13"/>
      <c r="E342" s="6"/>
      <c r="F342" s="65">
        <f>COUNTIF(Documentos!A:A,A342&amp;"Oficio_Solicitud")</f>
        <v>1</v>
      </c>
      <c r="G34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1946 DOH_FETCovid19</v>
      </c>
      <c r="H34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4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4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4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4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42" s="75">
        <f>COUNTIF(Documentos!A:A,A342&amp;"Proposicion")</f>
        <v>1</v>
      </c>
      <c r="N34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536 DOH_FETCovid19</v>
      </c>
      <c r="O34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4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4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4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4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42" s="67">
        <f>COUNTIF(Documentos!A:A,A342&amp;"Decreto")</f>
        <v>0</v>
      </c>
      <c r="U34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4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4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43" spans="1:26" ht="22.5" x14ac:dyDescent="0.25">
      <c r="A343" s="19">
        <v>341</v>
      </c>
      <c r="B343" s="122" t="s">
        <v>1182</v>
      </c>
      <c r="C343" s="13"/>
      <c r="D343" s="13"/>
      <c r="E343" s="6"/>
      <c r="F343" s="65">
        <f>COUNTIF(Documentos!A:A,A343&amp;"Oficio_Solicitud")</f>
        <v>1</v>
      </c>
      <c r="G34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1950 DOH_FETCovid19</v>
      </c>
      <c r="H34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4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4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4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4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43" s="75">
        <f>COUNTIF(Documentos!A:A,A343&amp;"Proposicion")</f>
        <v>1</v>
      </c>
      <c r="N34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575 DOH_FETCovid19</v>
      </c>
      <c r="O34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4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4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4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4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43" s="67">
        <f>COUNTIF(Documentos!A:A,A343&amp;"Decreto")</f>
        <v>1</v>
      </c>
      <c r="U34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1551 DOH_FETCovid19</v>
      </c>
      <c r="V34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4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44" spans="1:26" ht="22.5" x14ac:dyDescent="0.25">
      <c r="A344" s="19">
        <v>342</v>
      </c>
      <c r="B344" s="122" t="s">
        <v>1183</v>
      </c>
      <c r="C344" s="13"/>
      <c r="D344" s="13"/>
      <c r="E344" s="6"/>
      <c r="F344" s="65">
        <f>COUNTIF(Documentos!A:A,A344&amp;"Oficio_Solicitud")</f>
        <v>0</v>
      </c>
      <c r="G34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4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4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4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4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4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44" s="75">
        <f>COUNTIF(Documentos!A:A,A344&amp;"Proposicion")</f>
        <v>0</v>
      </c>
      <c r="N34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34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4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4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4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4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44" s="67">
        <f>COUNTIF(Documentos!A:A,A344&amp;"Decreto")</f>
        <v>0</v>
      </c>
      <c r="U34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4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4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45" spans="1:26" x14ac:dyDescent="0.25">
      <c r="A345" s="19">
        <v>343</v>
      </c>
      <c r="B345" s="122"/>
      <c r="C345" s="13"/>
      <c r="D345" s="13"/>
      <c r="E345" s="6"/>
      <c r="F345" s="65">
        <f>COUNTIF(Documentos!A:A,A345&amp;"Oficio_Solicitud")</f>
        <v>1</v>
      </c>
      <c r="G34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871 DA</v>
      </c>
      <c r="H34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4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4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4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4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45" s="75">
        <f>COUNTIF(Documentos!A:A,A345&amp;"Proposicion")</f>
        <v>1</v>
      </c>
      <c r="N34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560 DA</v>
      </c>
      <c r="O34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4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4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4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4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45" s="67">
        <f>COUNTIF(Documentos!A:A,A345&amp;"Decreto")</f>
        <v>2</v>
      </c>
      <c r="U34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1344 DA</v>
      </c>
      <c r="V34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1345 DA</v>
      </c>
      <c r="Z34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46" spans="1:26" x14ac:dyDescent="0.25">
      <c r="A346" s="19">
        <v>344</v>
      </c>
      <c r="B346" s="122"/>
      <c r="C346" s="13"/>
      <c r="D346" s="13"/>
      <c r="E346" s="6"/>
      <c r="F346" s="65">
        <f>COUNTIF(Documentos!A:A,A346&amp;"Oficio_Solicitud")</f>
        <v>1</v>
      </c>
      <c r="G34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589 DOP</v>
      </c>
      <c r="H34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4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4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4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4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46" s="75">
        <f>COUNTIF(Documentos!A:A,A346&amp;"Proposicion")</f>
        <v>1</v>
      </c>
      <c r="N34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540 DOP</v>
      </c>
      <c r="O34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4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4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4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4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46" s="67">
        <f>COUNTIF(Documentos!A:A,A346&amp;"Decreto")</f>
        <v>0</v>
      </c>
      <c r="U34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4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4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47" spans="1:26" ht="22.5" x14ac:dyDescent="0.25">
      <c r="A347" s="19">
        <v>345</v>
      </c>
      <c r="B347" s="121" t="s">
        <v>1184</v>
      </c>
      <c r="C347" s="12"/>
      <c r="D347" s="12"/>
      <c r="E347" s="6"/>
      <c r="F347" s="65">
        <f>COUNTIF(Documentos!A:A,A347&amp;"Oficio_Solicitud")</f>
        <v>1</v>
      </c>
      <c r="G34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7731 DV</v>
      </c>
      <c r="H34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4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4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4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4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47" s="75">
        <f>COUNTIF(Documentos!A:A,A347&amp;"Proposicion")</f>
        <v>1</v>
      </c>
      <c r="N34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522 DV</v>
      </c>
      <c r="O34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4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4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4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4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47" s="67">
        <f>COUNTIF(Documentos!A:A,A347&amp;"Decreto")</f>
        <v>0</v>
      </c>
      <c r="U34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4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4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48" spans="1:26" ht="78.75" x14ac:dyDescent="0.25">
      <c r="A348" s="19">
        <v>346</v>
      </c>
      <c r="B348" s="122" t="s">
        <v>1185</v>
      </c>
      <c r="C348" s="13"/>
      <c r="D348" s="13"/>
      <c r="E348" s="6"/>
      <c r="F348" s="65">
        <f>COUNTIF(Documentos!A:A,A348&amp;"Oficio_Solicitud")</f>
        <v>1</v>
      </c>
      <c r="G34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688 SOP-DGC</v>
      </c>
      <c r="H34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4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4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4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4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48" s="75">
        <f>COUNTIF(Documentos!A:A,A348&amp;"Proposicion")</f>
        <v>1</v>
      </c>
      <c r="N34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499 SOP-DGC</v>
      </c>
      <c r="O34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4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4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4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4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48" s="67">
        <f>COUNTIF(Documentos!A:A,A348&amp;"Decreto")</f>
        <v>1</v>
      </c>
      <c r="U34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1751 SOP-DGC</v>
      </c>
      <c r="V34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4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49" spans="1:26" ht="78.75" x14ac:dyDescent="0.25">
      <c r="A349" s="19">
        <v>347</v>
      </c>
      <c r="B349" s="122" t="s">
        <v>1186</v>
      </c>
      <c r="C349" s="13"/>
      <c r="D349" s="13"/>
      <c r="E349" s="6"/>
      <c r="F349" s="65">
        <f>COUNTIF(Documentos!A:A,A349&amp;"Oficio_Solicitud")</f>
        <v>1</v>
      </c>
      <c r="G34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1956 APR</v>
      </c>
      <c r="H34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4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4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4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4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49" s="75">
        <f>COUNTIF(Documentos!A:A,A349&amp;"Proposicion")</f>
        <v>1</v>
      </c>
      <c r="N34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594 APR</v>
      </c>
      <c r="O34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4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4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4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4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49" s="67">
        <f>COUNTIF(Documentos!A:A,A349&amp;"Decreto")</f>
        <v>2</v>
      </c>
      <c r="U34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1672 APR</v>
      </c>
      <c r="V34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1676 APR</v>
      </c>
      <c r="Z34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50" spans="1:26" ht="33.75" x14ac:dyDescent="0.25">
      <c r="A350" s="19">
        <v>348</v>
      </c>
      <c r="B350" s="122" t="s">
        <v>1187</v>
      </c>
      <c r="C350" s="13"/>
      <c r="D350" s="13"/>
      <c r="E350" s="6"/>
      <c r="F350" s="65">
        <f>COUNTIF(Documentos!A:A,A350&amp;"Oficio_Solicitud")</f>
        <v>1</v>
      </c>
      <c r="G35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1959 APR</v>
      </c>
      <c r="H35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5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5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5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5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50" s="75">
        <f>COUNTIF(Documentos!A:A,A350&amp;"Proposicion")</f>
        <v>1</v>
      </c>
      <c r="N35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584 APR</v>
      </c>
      <c r="O35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5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5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5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5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50" s="67">
        <f>COUNTIF(Documentos!A:A,A350&amp;"Decreto")</f>
        <v>1</v>
      </c>
      <c r="U35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1742 APR</v>
      </c>
      <c r="V35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5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51" spans="1:26" ht="33.75" x14ac:dyDescent="0.25">
      <c r="A351" s="19">
        <v>349</v>
      </c>
      <c r="B351" s="122" t="s">
        <v>1188</v>
      </c>
      <c r="C351" s="13"/>
      <c r="D351" s="13"/>
      <c r="E351" s="6"/>
      <c r="F351" s="65">
        <f>COUNTIF(Documentos!A:A,A351&amp;"Oficio_Solicitud")</f>
        <v>1</v>
      </c>
      <c r="G35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1961 APR_FETCovid19</v>
      </c>
      <c r="H35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5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5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5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5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51" s="75">
        <f>COUNTIF(Documentos!A:A,A351&amp;"Proposicion")</f>
        <v>1</v>
      </c>
      <c r="N35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576 APR_FETCovid19</v>
      </c>
      <c r="O35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5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5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5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5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51" s="67">
        <f>COUNTIF(Documentos!A:A,A351&amp;"Decreto")</f>
        <v>1</v>
      </c>
      <c r="U35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1488 APR_FETCovid19</v>
      </c>
      <c r="V35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5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52" spans="1:26" x14ac:dyDescent="0.25">
      <c r="A352" s="19">
        <v>350</v>
      </c>
      <c r="B352" s="122"/>
      <c r="C352" s="13"/>
      <c r="D352" s="13"/>
      <c r="E352" s="6"/>
      <c r="F352" s="65">
        <f>COUNTIF(Documentos!A:A,A352&amp;"Oficio_Solicitud")</f>
        <v>1</v>
      </c>
      <c r="G35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432 DAP</v>
      </c>
      <c r="H35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5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5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5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5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52" s="75">
        <f>COUNTIF(Documentos!A:A,A352&amp;"Proposicion")</f>
        <v>1</v>
      </c>
      <c r="N35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543 DAP</v>
      </c>
      <c r="O35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5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5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5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5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52" s="67">
        <f>COUNTIF(Documentos!A:A,A352&amp;"Decreto")</f>
        <v>1</v>
      </c>
      <c r="U35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1415 DAP</v>
      </c>
      <c r="V35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5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53" spans="1:26" x14ac:dyDescent="0.25">
      <c r="A353" s="19">
        <v>351</v>
      </c>
      <c r="B353" s="122"/>
      <c r="C353" s="13"/>
      <c r="D353" s="13"/>
      <c r="E353" s="6"/>
      <c r="F353" s="65">
        <f>COUNTIF(Documentos!A:A,A353&amp;"Oficio_Solicitud")</f>
        <v>1</v>
      </c>
      <c r="G35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434 DAP_FETCovid19</v>
      </c>
      <c r="H35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5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5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5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5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53" s="75">
        <f>COUNTIF(Documentos!A:A,A353&amp;"Proposicion")</f>
        <v>1</v>
      </c>
      <c r="N35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552 DAP_FETCovid19</v>
      </c>
      <c r="O35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5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5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5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5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53" s="67">
        <f>COUNTIF(Documentos!A:A,A353&amp;"Decreto")</f>
        <v>0</v>
      </c>
      <c r="U35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5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5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54" spans="1:26" x14ac:dyDescent="0.25">
      <c r="A354" s="19">
        <v>352</v>
      </c>
      <c r="B354" s="122" t="s">
        <v>1189</v>
      </c>
      <c r="C354" s="13"/>
      <c r="D354" s="13"/>
      <c r="E354" s="6"/>
      <c r="F354" s="65">
        <f>COUNTIF(Documentos!A:A,A354&amp;"Oficio_Solicitud")</f>
        <v>1</v>
      </c>
      <c r="G35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1987 APR_FETCovid19</v>
      </c>
      <c r="H35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5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5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5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5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54" s="75">
        <f>COUNTIF(Documentos!A:A,A354&amp;"Proposicion")</f>
        <v>1</v>
      </c>
      <c r="N35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554 APR_FETCovid19</v>
      </c>
      <c r="O35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5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5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5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5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54" s="67">
        <f>COUNTIF(Documentos!A:A,A354&amp;"Decreto")</f>
        <v>0</v>
      </c>
      <c r="U35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5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5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55" spans="1:26" x14ac:dyDescent="0.25">
      <c r="A355" s="19">
        <v>353</v>
      </c>
      <c r="B355" s="122" t="s">
        <v>1190</v>
      </c>
      <c r="C355" s="13"/>
      <c r="D355" s="13"/>
      <c r="E355" s="6"/>
      <c r="F355" s="65">
        <f>COUNTIF(Documentos!A:A,A355&amp;"Oficio_Solicitud")</f>
        <v>1</v>
      </c>
      <c r="G35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3811 DOH-FISC</v>
      </c>
      <c r="H35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5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5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5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5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55" s="75">
        <f>COUNTIF(Documentos!A:A,A355&amp;"Proposicion")</f>
        <v>1</v>
      </c>
      <c r="N35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537 DOH-FISC</v>
      </c>
      <c r="O35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5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5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5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5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55" s="67">
        <f>COUNTIF(Documentos!A:A,A355&amp;"Decreto")</f>
        <v>1</v>
      </c>
      <c r="U35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1445 DOH-FISC</v>
      </c>
      <c r="V35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5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56" spans="1:26" x14ac:dyDescent="0.25">
      <c r="A356" s="19">
        <v>354</v>
      </c>
      <c r="B356" s="122" t="s">
        <v>1190</v>
      </c>
      <c r="C356" s="13"/>
      <c r="D356" s="13"/>
      <c r="E356" s="6"/>
      <c r="F356" s="65">
        <f>COUNTIF(Documentos!A:A,A356&amp;"Oficio_Solicitud")</f>
        <v>1</v>
      </c>
      <c r="G35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278 DGOP-DOH</v>
      </c>
      <c r="H35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5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5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5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5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56" s="75">
        <f>COUNTIF(Documentos!A:A,A356&amp;"Proposicion")</f>
        <v>1</v>
      </c>
      <c r="N35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544 DGOP-DOH</v>
      </c>
      <c r="O35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5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5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5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5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56" s="67">
        <f>COUNTIF(Documentos!A:A,A356&amp;"Decreto")</f>
        <v>1</v>
      </c>
      <c r="U35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1445 DGOP-DOH</v>
      </c>
      <c r="V35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5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57" spans="1:26" ht="112.5" x14ac:dyDescent="0.25">
      <c r="A357" s="19">
        <v>355</v>
      </c>
      <c r="B357" s="122" t="s">
        <v>1191</v>
      </c>
      <c r="C357" s="13"/>
      <c r="D357" s="13"/>
      <c r="E357" s="6"/>
      <c r="F357" s="65">
        <f>COUNTIF(Documentos!A:A,A357&amp;"Oficio_Solicitud")</f>
        <v>1</v>
      </c>
      <c r="G35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265 SOP</v>
      </c>
      <c r="H35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5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5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5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5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57" s="75">
        <f>COUNTIF(Documentos!A:A,A357&amp;"Proposicion")</f>
        <v>1</v>
      </c>
      <c r="N35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572 SOP</v>
      </c>
      <c r="O35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5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5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5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5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57" s="67">
        <f>COUNTIF(Documentos!A:A,A357&amp;"Decreto")</f>
        <v>0</v>
      </c>
      <c r="U35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5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5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58" spans="1:26" ht="281.25" x14ac:dyDescent="0.25">
      <c r="A358" s="19">
        <v>356</v>
      </c>
      <c r="B358" s="121" t="s">
        <v>1192</v>
      </c>
      <c r="C358" s="12">
        <v>44829</v>
      </c>
      <c r="D358" s="12"/>
      <c r="E358" s="6"/>
      <c r="F358" s="65">
        <f>COUNTIF(Documentos!A:A,A358&amp;"Oficio_Solicitud")</f>
        <v>1</v>
      </c>
      <c r="G35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7868 DV</v>
      </c>
      <c r="H35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5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5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5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5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58" s="75">
        <f>COUNTIF(Documentos!A:A,A358&amp;"Proposicion")</f>
        <v>1</v>
      </c>
      <c r="N35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583 DV</v>
      </c>
      <c r="O35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5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5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5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5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58" s="67">
        <f>COUNTIF(Documentos!A:A,A358&amp;"Decreto")</f>
        <v>1</v>
      </c>
      <c r="U35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2427 DV</v>
      </c>
      <c r="V35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5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59" spans="1:26" x14ac:dyDescent="0.25">
      <c r="A359" s="19">
        <v>357</v>
      </c>
      <c r="B359" s="122" t="s">
        <v>1193</v>
      </c>
      <c r="C359" s="13"/>
      <c r="D359" s="13"/>
      <c r="E359" s="6"/>
      <c r="F359" s="65">
        <f>COUNTIF(Documentos!A:A,A359&amp;"Oficio_Solicitud")</f>
        <v>1</v>
      </c>
      <c r="G35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1992 APR</v>
      </c>
      <c r="H35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5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5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5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5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59" s="75">
        <f>COUNTIF(Documentos!A:A,A359&amp;"Proposicion")</f>
        <v>1</v>
      </c>
      <c r="N35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553 APR</v>
      </c>
      <c r="O35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5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5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5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5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59" s="67">
        <f>COUNTIF(Documentos!A:A,A359&amp;"Decreto")</f>
        <v>0</v>
      </c>
      <c r="U35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5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5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60" spans="1:26" x14ac:dyDescent="0.25">
      <c r="A360" s="19">
        <v>358</v>
      </c>
      <c r="B360" s="122"/>
      <c r="C360" s="13"/>
      <c r="D360" s="13"/>
      <c r="E360" s="6"/>
      <c r="F360" s="65">
        <f>COUNTIF(Documentos!A:A,A360&amp;"Oficio_Solicitud")</f>
        <v>1</v>
      </c>
      <c r="G36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449 DAP</v>
      </c>
      <c r="H36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6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6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6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6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60" s="75">
        <f>COUNTIF(Documentos!A:A,A360&amp;"Proposicion")</f>
        <v>1</v>
      </c>
      <c r="N36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559 DAP</v>
      </c>
      <c r="O36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6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6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6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6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60" s="67">
        <f>COUNTIF(Documentos!A:A,A360&amp;"Decreto")</f>
        <v>0</v>
      </c>
      <c r="U36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6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6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61" spans="1:26" x14ac:dyDescent="0.25">
      <c r="A361" s="19">
        <v>359</v>
      </c>
      <c r="B361" s="122"/>
      <c r="C361" s="13"/>
      <c r="D361" s="13"/>
      <c r="E361" s="6"/>
      <c r="F361" s="65">
        <f>COUNTIF(Documentos!A:A,A361&amp;"Oficio_Solicitud")</f>
        <v>1</v>
      </c>
      <c r="G36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782 DGC-DOH</v>
      </c>
      <c r="H36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6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6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6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6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61" s="75">
        <f>COUNTIF(Documentos!A:A,A361&amp;"Proposicion")</f>
        <v>1</v>
      </c>
      <c r="N36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574 DGC-DOH</v>
      </c>
      <c r="O36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6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6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6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6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61" s="67">
        <f>COUNTIF(Documentos!A:A,A361&amp;"Decreto")</f>
        <v>1</v>
      </c>
      <c r="U36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1430 DGC-DOH</v>
      </c>
      <c r="V36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6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62" spans="1:26" x14ac:dyDescent="0.25">
      <c r="A362" s="19">
        <v>360</v>
      </c>
      <c r="B362" s="122"/>
      <c r="C362" s="13"/>
      <c r="D362" s="13"/>
      <c r="E362" s="6"/>
      <c r="F362" s="65">
        <f>COUNTIF(Documentos!A:A,A362&amp;"Oficio_Solicitud")</f>
        <v>1</v>
      </c>
      <c r="G36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333 DOH-DGA</v>
      </c>
      <c r="H36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6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6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6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6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62" s="75">
        <f>COUNTIF(Documentos!A:A,A362&amp;"Proposicion")</f>
        <v>1</v>
      </c>
      <c r="N36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567 DOH-DGA</v>
      </c>
      <c r="O36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6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6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6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6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62" s="67">
        <f>COUNTIF(Documentos!A:A,A362&amp;"Decreto")</f>
        <v>1</v>
      </c>
      <c r="U36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1532 DOH-DGA</v>
      </c>
      <c r="V36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6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63" spans="1:26" x14ac:dyDescent="0.25">
      <c r="A363" s="19">
        <v>361</v>
      </c>
      <c r="B363" s="122"/>
      <c r="C363" s="13"/>
      <c r="D363" s="13"/>
      <c r="E363" s="6"/>
      <c r="F363" s="65">
        <f>COUNTIF(Documentos!A:A,A363&amp;"Oficio_Solicitud")</f>
        <v>1</v>
      </c>
      <c r="G36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335 DGA_FETCovid19</v>
      </c>
      <c r="H36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6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6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6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6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63" s="75">
        <f>COUNTIF(Documentos!A:A,A363&amp;"Proposicion")</f>
        <v>1</v>
      </c>
      <c r="N36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566 DGA_FETCovid19</v>
      </c>
      <c r="O36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6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6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6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6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63" s="67">
        <f>COUNTIF(Documentos!A:A,A363&amp;"Decreto")</f>
        <v>0</v>
      </c>
      <c r="U36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6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6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64" spans="1:26" x14ac:dyDescent="0.25">
      <c r="A364" s="19">
        <v>362</v>
      </c>
      <c r="B364" s="122"/>
      <c r="C364" s="13"/>
      <c r="D364" s="13"/>
      <c r="E364" s="6"/>
      <c r="F364" s="65">
        <f>COUNTIF(Documentos!A:A,A364&amp;"Oficio_Solicitud")</f>
        <v>1</v>
      </c>
      <c r="G36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3759 FISC</v>
      </c>
      <c r="H36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6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6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6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6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64" s="75">
        <f>COUNTIF(Documentos!A:A,A364&amp;"Proposicion")</f>
        <v>1</v>
      </c>
      <c r="N36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535 FISC</v>
      </c>
      <c r="O36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6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6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6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6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64" s="67">
        <f>COUNTIF(Documentos!A:A,A364&amp;"Decreto")</f>
        <v>0</v>
      </c>
      <c r="U36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6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6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65" spans="1:26" x14ac:dyDescent="0.25">
      <c r="A365" s="19">
        <v>363</v>
      </c>
      <c r="B365" s="122"/>
      <c r="C365" s="13"/>
      <c r="D365" s="13"/>
      <c r="E365" s="6"/>
      <c r="F365" s="65">
        <f>COUNTIF(Documentos!A:A,A365&amp;"Oficio_Solicitud")</f>
        <v>0</v>
      </c>
      <c r="G36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6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6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6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6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6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65" s="75">
        <f>COUNTIF(Documentos!A:A,A365&amp;"Proposicion")</f>
        <v>0</v>
      </c>
      <c r="N36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36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6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6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6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6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65" s="67">
        <f>COUNTIF(Documentos!A:A,A365&amp;"Decreto")</f>
        <v>0</v>
      </c>
      <c r="U36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6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6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66" spans="1:26" ht="56.25" x14ac:dyDescent="0.25">
      <c r="A366" s="19">
        <v>364</v>
      </c>
      <c r="B366" s="122" t="s">
        <v>1194</v>
      </c>
      <c r="C366" s="13"/>
      <c r="D366" s="13"/>
      <c r="E366" s="6"/>
      <c r="F366" s="65">
        <f>COUNTIF(Documentos!A:A,A366&amp;"Oficio_Solicitud")</f>
        <v>1</v>
      </c>
      <c r="G36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7381 DV-APR</v>
      </c>
      <c r="H36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6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6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6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6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66" s="75">
        <f>COUNTIF(Documentos!A:A,A366&amp;"Proposicion")</f>
        <v>1</v>
      </c>
      <c r="N36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548 DV-APR</v>
      </c>
      <c r="O36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6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6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6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6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66" s="67">
        <f>COUNTIF(Documentos!A:A,A366&amp;"Decreto")</f>
        <v>1</v>
      </c>
      <c r="U36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1533 DV-APR</v>
      </c>
      <c r="V36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6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67" spans="1:26" x14ac:dyDescent="0.25">
      <c r="A367" s="19">
        <v>365</v>
      </c>
      <c r="B367" s="122"/>
      <c r="C367" s="13"/>
      <c r="D367" s="13"/>
      <c r="E367" s="6"/>
      <c r="F367" s="65">
        <f>COUNTIF(Documentos!A:A,A367&amp;"Oficio_Solicitud")</f>
        <v>1</v>
      </c>
      <c r="G36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755 DGC</v>
      </c>
      <c r="H36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6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6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6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6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67" s="75">
        <f>COUNTIF(Documentos!A:A,A367&amp;"Proposicion")</f>
        <v>1</v>
      </c>
      <c r="N36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533 DGCb</v>
      </c>
      <c r="O36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6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6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6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6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67" s="67">
        <f>COUNTIF(Documentos!A:A,A367&amp;"Decreto")</f>
        <v>0</v>
      </c>
      <c r="U36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6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6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68" spans="1:26" x14ac:dyDescent="0.25">
      <c r="A368" s="19">
        <v>366</v>
      </c>
      <c r="B368" s="122" t="s">
        <v>1195</v>
      </c>
      <c r="C368" s="13"/>
      <c r="D368" s="13"/>
      <c r="E368" s="6"/>
      <c r="F368" s="65">
        <f>COUNTIF(Documentos!A:A,A368&amp;"Oficio_Solicitud")</f>
        <v>1</v>
      </c>
      <c r="G36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381 DAP</v>
      </c>
      <c r="H36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6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6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6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6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68" s="75">
        <f>COUNTIF(Documentos!A:A,A368&amp;"Proposicion")</f>
        <v>1</v>
      </c>
      <c r="N36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458 DAP</v>
      </c>
      <c r="O36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6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6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6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6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68" s="67">
        <f>COUNTIF(Documentos!A:A,A368&amp;"Decreto")</f>
        <v>0</v>
      </c>
      <c r="U36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6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6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69" spans="1:26" ht="22.5" x14ac:dyDescent="0.25">
      <c r="A369" s="19">
        <v>367</v>
      </c>
      <c r="B369" s="122" t="s">
        <v>1196</v>
      </c>
      <c r="C369" s="13"/>
      <c r="D369" s="13"/>
      <c r="E369" s="6"/>
      <c r="F369" s="65">
        <f>COUNTIF(Documentos!A:A,A369&amp;"Oficio_Solicitud")</f>
        <v>1</v>
      </c>
      <c r="G36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241 SOP</v>
      </c>
      <c r="H36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6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6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6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6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69" s="75">
        <f>COUNTIF(Documentos!A:A,A369&amp;"Proposicion")</f>
        <v>1</v>
      </c>
      <c r="N36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492 SOP</v>
      </c>
      <c r="O36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6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6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6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6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69" s="67">
        <f>COUNTIF(Documentos!A:A,A369&amp;"Decreto")</f>
        <v>0</v>
      </c>
      <c r="U36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6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6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70" spans="1:26" ht="22.5" x14ac:dyDescent="0.25">
      <c r="A370" s="19">
        <v>368</v>
      </c>
      <c r="B370" s="122" t="s">
        <v>1197</v>
      </c>
      <c r="C370" s="13"/>
      <c r="D370" s="13"/>
      <c r="E370" s="6"/>
      <c r="F370" s="65">
        <f>COUNTIF(Documentos!A:A,A370&amp;"Oficio_Solicitud")</f>
        <v>1</v>
      </c>
      <c r="G37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257 SOP</v>
      </c>
      <c r="H37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7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7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7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7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70" s="75">
        <f>COUNTIF(Documentos!A:A,A370&amp;"Proposicion")</f>
        <v>1</v>
      </c>
      <c r="N37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494 SOP</v>
      </c>
      <c r="O37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7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7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7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7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70" s="67">
        <f>COUNTIF(Documentos!A:A,A370&amp;"Decreto")</f>
        <v>0</v>
      </c>
      <c r="U37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7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7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71" spans="1:26" x14ac:dyDescent="0.25">
      <c r="A371" s="19">
        <v>369</v>
      </c>
      <c r="B371" s="122"/>
      <c r="C371" s="13"/>
      <c r="D371" s="13"/>
      <c r="E371" s="6"/>
      <c r="F371" s="65">
        <f>COUNTIF(Documentos!A:A,A371&amp;"Oficio_Solicitud")</f>
        <v>0</v>
      </c>
      <c r="G37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7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7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7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7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7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71" s="75">
        <f>COUNTIF(Documentos!A:A,A371&amp;"Proposicion")</f>
        <v>1</v>
      </c>
      <c r="N37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501 DCyF</v>
      </c>
      <c r="O37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7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7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7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7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71" s="67">
        <f>COUNTIF(Documentos!A:A,A371&amp;"Decreto")</f>
        <v>0</v>
      </c>
      <c r="U37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7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7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72" spans="1:26" x14ac:dyDescent="0.25">
      <c r="A372" s="19">
        <v>370</v>
      </c>
      <c r="B372" s="122"/>
      <c r="C372" s="13"/>
      <c r="D372" s="13"/>
      <c r="E372" s="6"/>
      <c r="F372" s="65">
        <f>COUNTIF(Documentos!A:A,A372&amp;"Oficio_Solicitud")</f>
        <v>2</v>
      </c>
      <c r="G37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297 DGA-DGA_FETCovid19</v>
      </c>
      <c r="H37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276 DGA-DGA_FETCovid19</v>
      </c>
      <c r="I37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7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7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7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72" s="75">
        <f>COUNTIF(Documentos!A:A,A372&amp;"Proposicion")</f>
        <v>2</v>
      </c>
      <c r="N37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487 DGA-DGA_FETCovid19</v>
      </c>
      <c r="O37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SOL 455 DGA-DGA_FETCovid19</v>
      </c>
      <c r="P37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7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7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7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72" s="67">
        <f>COUNTIF(Documentos!A:A,A372&amp;"Decreto")</f>
        <v>0</v>
      </c>
      <c r="U37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7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7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73" spans="1:26" x14ac:dyDescent="0.25">
      <c r="A373" s="19">
        <v>371</v>
      </c>
      <c r="B373" s="122" t="s">
        <v>1198</v>
      </c>
      <c r="C373" s="13"/>
      <c r="D373" s="13"/>
      <c r="E373" s="6"/>
      <c r="F373" s="65">
        <f>COUNTIF(Documentos!A:A,A373&amp;"Oficio_Solicitud")</f>
        <v>1</v>
      </c>
      <c r="G37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333 DGA</v>
      </c>
      <c r="H37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7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7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7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7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73" s="75">
        <f>COUNTIF(Documentos!A:A,A373&amp;"Proposicion")</f>
        <v>1</v>
      </c>
      <c r="N37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573 DGA</v>
      </c>
      <c r="O37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7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7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7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7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73" s="67">
        <f>COUNTIF(Documentos!A:A,A373&amp;"Decreto")</f>
        <v>0</v>
      </c>
      <c r="U37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7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7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74" spans="1:26" x14ac:dyDescent="0.25">
      <c r="A374" s="19">
        <v>372</v>
      </c>
      <c r="B374" s="122"/>
      <c r="C374" s="13"/>
      <c r="D374" s="13"/>
      <c r="E374" s="6"/>
      <c r="F374" s="65">
        <f>COUNTIF(Documentos!A:A,A374&amp;"Oficio_Solicitud")</f>
        <v>1</v>
      </c>
      <c r="G37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936 DA</v>
      </c>
      <c r="H37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7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7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7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7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74" s="75">
        <f>COUNTIF(Documentos!A:A,A374&amp;"Proposicion")</f>
        <v>1</v>
      </c>
      <c r="N37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595 DA</v>
      </c>
      <c r="O37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7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7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7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7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74" s="67">
        <f>COUNTIF(Documentos!A:A,A374&amp;"Decreto")</f>
        <v>1</v>
      </c>
      <c r="U37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1611 DA</v>
      </c>
      <c r="V37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7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75" spans="1:26" ht="90" x14ac:dyDescent="0.25">
      <c r="A375" s="19">
        <v>373</v>
      </c>
      <c r="B375" s="122" t="s">
        <v>1199</v>
      </c>
      <c r="C375" s="13"/>
      <c r="D375" s="13"/>
      <c r="E375" s="6"/>
      <c r="F375" s="65">
        <f>COUNTIF(Documentos!A:A,A375&amp;"Oficio_Solicitud")</f>
        <v>1</v>
      </c>
      <c r="G37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791 DGC-DOH</v>
      </c>
      <c r="H37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7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7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7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7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75" s="75">
        <f>COUNTIF(Documentos!A:A,A375&amp;"Proposicion")</f>
        <v>1</v>
      </c>
      <c r="N37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596 DGC-DOH</v>
      </c>
      <c r="O37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7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7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7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7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75" s="67">
        <f>COUNTIF(Documentos!A:A,A375&amp;"Decreto")</f>
        <v>1</v>
      </c>
      <c r="U37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1480 DGC-DOH</v>
      </c>
      <c r="V37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7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76" spans="1:26" x14ac:dyDescent="0.25">
      <c r="A376" s="19">
        <v>374</v>
      </c>
      <c r="B376" s="122"/>
      <c r="C376" s="13"/>
      <c r="D376" s="13"/>
      <c r="E376" s="6"/>
      <c r="F376" s="65">
        <f>COUNTIF(Documentos!A:A,A376&amp;"Oficio_Solicitud")</f>
        <v>1</v>
      </c>
      <c r="G37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464 DAP_FETCovid19</v>
      </c>
      <c r="H37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7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7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7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7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76" s="75">
        <f>COUNTIF(Documentos!A:A,A376&amp;"Proposicion")</f>
        <v>1</v>
      </c>
      <c r="N37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585 DAP_FETCovid19</v>
      </c>
      <c r="O37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7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7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7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7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76" s="67">
        <f>COUNTIF(Documentos!A:A,A376&amp;"Decreto")</f>
        <v>2</v>
      </c>
      <c r="U37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1459 DAP_FETCovid19</v>
      </c>
      <c r="V37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1461 DAP_FETCovid19</v>
      </c>
      <c r="Z37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77" spans="1:26" x14ac:dyDescent="0.25">
      <c r="A377" s="19">
        <v>375</v>
      </c>
      <c r="B377" s="122"/>
      <c r="C377" s="13"/>
      <c r="D377" s="13"/>
      <c r="E377" s="6"/>
      <c r="F377" s="65">
        <f>COUNTIF(Documentos!A:A,A377&amp;"Oficio_Solicitud")</f>
        <v>1</v>
      </c>
      <c r="G37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467 DAP</v>
      </c>
      <c r="H37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7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7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7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7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77" s="75">
        <f>COUNTIF(Documentos!A:A,A377&amp;"Proposicion")</f>
        <v>1</v>
      </c>
      <c r="N37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586 DAP</v>
      </c>
      <c r="O37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7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7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7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7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77" s="67">
        <f>COUNTIF(Documentos!A:A,A377&amp;"Decreto")</f>
        <v>0</v>
      </c>
      <c r="U37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7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7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78" spans="1:26" x14ac:dyDescent="0.25">
      <c r="A378" s="19">
        <v>376</v>
      </c>
      <c r="B378" s="122"/>
      <c r="C378" s="13"/>
      <c r="D378" s="13"/>
      <c r="E378" s="6"/>
      <c r="F378" s="65">
        <f>COUNTIF(Documentos!A:A,A378&amp;"Oficio_Solicitud")</f>
        <v>1</v>
      </c>
      <c r="G37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630 DOP_FETCovid19</v>
      </c>
      <c r="H37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7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7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7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7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78" s="75">
        <f>COUNTIF(Documentos!A:A,A378&amp;"Proposicion")</f>
        <v>1</v>
      </c>
      <c r="N37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607 DOP_FETCovid19</v>
      </c>
      <c r="O37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7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7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7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7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78" s="67">
        <f>COUNTIF(Documentos!A:A,A378&amp;"Decreto")</f>
        <v>1</v>
      </c>
      <c r="U37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1468 DOP_FETCovid19</v>
      </c>
      <c r="V37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7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79" spans="1:26" x14ac:dyDescent="0.25">
      <c r="A379" s="19">
        <v>377</v>
      </c>
      <c r="B379" s="122"/>
      <c r="C379" s="13"/>
      <c r="D379" s="13"/>
      <c r="E379" s="6"/>
      <c r="F379" s="65">
        <f>COUNTIF(Documentos!A:A,A379&amp;"Oficio_Solicitud")</f>
        <v>0</v>
      </c>
      <c r="G37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7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7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7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7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7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79" s="75">
        <f>COUNTIF(Documentos!A:A,A379&amp;"Proposicion")</f>
        <v>1</v>
      </c>
      <c r="N37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553 DOH</v>
      </c>
      <c r="O37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7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7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7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7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79" s="67">
        <f>COUNTIF(Documentos!A:A,A379&amp;"Decreto")</f>
        <v>0</v>
      </c>
      <c r="U37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7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7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80" spans="1:26" x14ac:dyDescent="0.25">
      <c r="A380" s="19">
        <v>378</v>
      </c>
      <c r="B380" s="122" t="s">
        <v>1200</v>
      </c>
      <c r="C380" s="13"/>
      <c r="D380" s="13"/>
      <c r="E380" s="6"/>
      <c r="F380" s="65">
        <f>COUNTIF(Documentos!A:A,A380&amp;"Oficio_Solicitud")</f>
        <v>0</v>
      </c>
      <c r="G38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8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8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8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8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8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80" s="75">
        <f>COUNTIF(Documentos!A:A,A380&amp;"Proposicion")</f>
        <v>1</v>
      </c>
      <c r="N38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554 APR</v>
      </c>
      <c r="O38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8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8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8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8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80" s="67">
        <f>COUNTIF(Documentos!A:A,A380&amp;"Decreto")</f>
        <v>0</v>
      </c>
      <c r="U38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8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8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81" spans="1:26" x14ac:dyDescent="0.25">
      <c r="A381" s="19">
        <v>379</v>
      </c>
      <c r="B381" s="122"/>
      <c r="C381" s="13"/>
      <c r="D381" s="13"/>
      <c r="E381" s="6"/>
      <c r="F381" s="65">
        <f>COUNTIF(Documentos!A:A,A381&amp;"Oficio_Solicitud")</f>
        <v>1</v>
      </c>
      <c r="G38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792 DGC_FETCovid19memo278</v>
      </c>
      <c r="H38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8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8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8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8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81" s="75">
        <f>COUNTIF(Documentos!A:A,A381&amp;"Proposicion")</f>
        <v>1</v>
      </c>
      <c r="N38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687 DGC_FETCovid19</v>
      </c>
      <c r="O38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8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8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8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8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81" s="67">
        <f>COUNTIF(Documentos!A:A,A381&amp;"Decreto")</f>
        <v>1</v>
      </c>
      <c r="U38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1876 DGC_FETCovid19</v>
      </c>
      <c r="V38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8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82" spans="1:26" ht="56.25" x14ac:dyDescent="0.25">
      <c r="A382" s="19">
        <v>380</v>
      </c>
      <c r="B382" s="122" t="s">
        <v>953</v>
      </c>
      <c r="C382" s="13"/>
      <c r="D382" s="13"/>
      <c r="E382" s="6"/>
      <c r="F382" s="65">
        <f>COUNTIF(Documentos!A:A,A382&amp;"Oficio_Solicitud")</f>
        <v>1</v>
      </c>
      <c r="G38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782 DGC</v>
      </c>
      <c r="H38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8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8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8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8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82" s="75">
        <f>COUNTIF(Documentos!A:A,A382&amp;"Proposicion")</f>
        <v>1</v>
      </c>
      <c r="N38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591 DGC</v>
      </c>
      <c r="O38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8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8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8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8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82" s="67">
        <f>COUNTIF(Documentos!A:A,A382&amp;"Decreto")</f>
        <v>0</v>
      </c>
      <c r="U38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8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8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83" spans="1:26" x14ac:dyDescent="0.25">
      <c r="A383" s="19">
        <v>381</v>
      </c>
      <c r="B383" s="122"/>
      <c r="C383" s="13"/>
      <c r="D383" s="13"/>
      <c r="E383" s="6"/>
      <c r="F383" s="65">
        <f>COUNTIF(Documentos!A:A,A383&amp;"Oficio_Solicitud")</f>
        <v>1</v>
      </c>
      <c r="G38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548 DP</v>
      </c>
      <c r="H38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8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8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8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8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83" s="75">
        <f>COUNTIF(Documentos!A:A,A383&amp;"Proposicion")</f>
        <v>1</v>
      </c>
      <c r="N38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561 DP</v>
      </c>
      <c r="O38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8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8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8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8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83" s="67">
        <f>COUNTIF(Documentos!A:A,A383&amp;"Decreto")</f>
        <v>1</v>
      </c>
      <c r="U38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1600 DP</v>
      </c>
      <c r="V38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8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84" spans="1:26" ht="45" x14ac:dyDescent="0.25">
      <c r="A384" s="19">
        <v>382</v>
      </c>
      <c r="B384" s="122" t="s">
        <v>1201</v>
      </c>
      <c r="C384" s="13"/>
      <c r="D384" s="13"/>
      <c r="E384" s="6"/>
      <c r="F384" s="65">
        <f>COUNTIF(Documentos!A:A,A384&amp;"Oficio_Solicitud")</f>
        <v>1</v>
      </c>
      <c r="G38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958 DA</v>
      </c>
      <c r="H38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8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8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8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8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84" s="75">
        <f>COUNTIF(Documentos!A:A,A384&amp;"Proposicion")</f>
        <v>0</v>
      </c>
      <c r="N38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38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8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8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8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8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84" s="67">
        <f>COUNTIF(Documentos!A:A,A384&amp;"Decreto")</f>
        <v>0</v>
      </c>
      <c r="U38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8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8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85" spans="1:26" ht="191.25" x14ac:dyDescent="0.25">
      <c r="A385" s="19">
        <v>383</v>
      </c>
      <c r="B385" s="122" t="s">
        <v>1202</v>
      </c>
      <c r="C385" s="13"/>
      <c r="D385" s="13"/>
      <c r="E385" s="6"/>
      <c r="F385" s="65">
        <f>COUNTIF(Documentos!A:A,A385&amp;"Oficio_Solicitud")</f>
        <v>1</v>
      </c>
      <c r="G38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8260 DV</v>
      </c>
      <c r="H38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8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8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8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8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85" s="75">
        <f>COUNTIF(Documentos!A:A,A385&amp;"Proposicion")</f>
        <v>1</v>
      </c>
      <c r="N38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638 DV</v>
      </c>
      <c r="O38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8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8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8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8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85" s="67">
        <f>COUNTIF(Documentos!A:A,A385&amp;"Decreto")</f>
        <v>1</v>
      </c>
      <c r="U38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1761 DV</v>
      </c>
      <c r="V38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8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86" spans="1:26" ht="191.25" x14ac:dyDescent="0.25">
      <c r="A386" s="19">
        <v>384</v>
      </c>
      <c r="B386" s="122" t="s">
        <v>1202</v>
      </c>
      <c r="C386" s="13"/>
      <c r="D386" s="13"/>
      <c r="E386" s="6"/>
      <c r="F386" s="65">
        <f>COUNTIF(Documentos!A:A,A386&amp;"Oficio_Solicitud")</f>
        <v>1</v>
      </c>
      <c r="G38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8260 DV_FETCovid19</v>
      </c>
      <c r="H38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8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8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8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8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86" s="75">
        <f>COUNTIF(Documentos!A:A,A386&amp;"Proposicion")</f>
        <v>1</v>
      </c>
      <c r="N38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643 DV_FETCovid19</v>
      </c>
      <c r="O38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8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8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8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8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86" s="67">
        <f>COUNTIF(Documentos!A:A,A386&amp;"Decreto")</f>
        <v>1</v>
      </c>
      <c r="U38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1875 DV_FETCovid19</v>
      </c>
      <c r="V38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8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87" spans="1:26" x14ac:dyDescent="0.25">
      <c r="A387" s="19">
        <v>385</v>
      </c>
      <c r="B387" s="122"/>
      <c r="C387" s="13"/>
      <c r="D387" s="13"/>
      <c r="E387" s="6"/>
      <c r="F387" s="65">
        <f>COUNTIF(Documentos!A:A,A387&amp;"Oficio_Solicitud")</f>
        <v>1</v>
      </c>
      <c r="G38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473 DAP_FETCovid19</v>
      </c>
      <c r="H38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8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8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8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8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87" s="75">
        <f>COUNTIF(Documentos!A:A,A387&amp;"Proposicion")</f>
        <v>1</v>
      </c>
      <c r="N38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580 DAP_FETCovid19</v>
      </c>
      <c r="O38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8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8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8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8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87" s="67">
        <f>COUNTIF(Documentos!A:A,A387&amp;"Decreto")</f>
        <v>0</v>
      </c>
      <c r="U38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8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8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88" spans="1:26" ht="78.75" x14ac:dyDescent="0.25">
      <c r="A388" s="19">
        <v>386</v>
      </c>
      <c r="B388" s="122" t="s">
        <v>1203</v>
      </c>
      <c r="C388" s="13"/>
      <c r="D388" s="13"/>
      <c r="E388" s="6"/>
      <c r="F388" s="65">
        <f>COUNTIF(Documentos!A:A,A388&amp;"Oficio_Solicitud")</f>
        <v>1</v>
      </c>
      <c r="G38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6928 DV</v>
      </c>
      <c r="H38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8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8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8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8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88" s="75">
        <f>COUNTIF(Documentos!A:A,A388&amp;"Proposicion")</f>
        <v>1</v>
      </c>
      <c r="N38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566 DV</v>
      </c>
      <c r="O38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8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8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8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8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88" s="67">
        <f>COUNTIF(Documentos!A:A,A388&amp;"Decreto")</f>
        <v>2</v>
      </c>
      <c r="U38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1527 DV</v>
      </c>
      <c r="V38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1528 DV</v>
      </c>
      <c r="Z38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89" spans="1:26" x14ac:dyDescent="0.25">
      <c r="A389" s="19">
        <v>387</v>
      </c>
      <c r="B389" s="122"/>
      <c r="C389" s="13"/>
      <c r="D389" s="13"/>
      <c r="E389" s="6"/>
      <c r="F389" s="65">
        <f>COUNTIF(Documentos!A:A,A389&amp;"Oficio_Solicitud")</f>
        <v>1</v>
      </c>
      <c r="G38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579 DP</v>
      </c>
      <c r="H38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8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8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8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8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89" s="75">
        <f>COUNTIF(Documentos!A:A,A389&amp;"Proposicion")</f>
        <v>0</v>
      </c>
      <c r="N38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38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8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8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8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8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89" s="67">
        <f>COUNTIF(Documentos!A:A,A389&amp;"Decreto")</f>
        <v>0</v>
      </c>
      <c r="U38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8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8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90" spans="1:26" x14ac:dyDescent="0.25">
      <c r="A390" s="19">
        <v>388</v>
      </c>
      <c r="B390" s="122"/>
      <c r="C390" s="13"/>
      <c r="D390" s="13"/>
      <c r="E390" s="6"/>
      <c r="F390" s="65">
        <f>COUNTIF(Documentos!A:A,A390&amp;"Oficio_Solicitud")</f>
        <v>2</v>
      </c>
      <c r="G39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251 SOP</v>
      </c>
      <c r="H39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456 DGOP</v>
      </c>
      <c r="I39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9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9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9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90" s="75">
        <f>COUNTIF(Documentos!A:A,A390&amp;"Proposicion")</f>
        <v>2</v>
      </c>
      <c r="N39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518 SOP-DGOP-DOH</v>
      </c>
      <c r="O39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SOL 519 SOP-DGOP-DOH</v>
      </c>
      <c r="P39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9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9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9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90" s="67">
        <f>COUNTIF(Documentos!A:A,A390&amp;"Decreto")</f>
        <v>1</v>
      </c>
      <c r="U39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1294 SOP-DGOP-DOH</v>
      </c>
      <c r="V39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9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91" spans="1:26" x14ac:dyDescent="0.25">
      <c r="A391" s="19">
        <v>389</v>
      </c>
      <c r="B391" s="122"/>
      <c r="C391" s="13"/>
      <c r="D391" s="13"/>
      <c r="E391" s="6"/>
      <c r="F391" s="65">
        <f>COUNTIF(Documentos!A:A,A391&amp;"Oficio_Solicitud")</f>
        <v>0</v>
      </c>
      <c r="G39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9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9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9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9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9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91" s="75">
        <f>COUNTIF(Documentos!A:A,A391&amp;"Proposicion")</f>
        <v>0</v>
      </c>
      <c r="N39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39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9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9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9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9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91" s="67">
        <f>COUNTIF(Documentos!A:A,A391&amp;"Decreto")</f>
        <v>1</v>
      </c>
      <c r="U39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1312 DAP</v>
      </c>
      <c r="V39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9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92" spans="1:26" x14ac:dyDescent="0.25">
      <c r="A392" s="19">
        <v>390</v>
      </c>
      <c r="B392" s="122" t="s">
        <v>1204</v>
      </c>
      <c r="C392" s="13"/>
      <c r="D392" s="13"/>
      <c r="E392" s="6"/>
      <c r="F392" s="65">
        <f>COUNTIF(Documentos!A:A,A392&amp;"Oficio_Solicitud")</f>
        <v>1</v>
      </c>
      <c r="G39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477 DAP</v>
      </c>
      <c r="H39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9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9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9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9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92" s="75">
        <f>COUNTIF(Documentos!A:A,A392&amp;"Proposicion")</f>
        <v>0</v>
      </c>
      <c r="N39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39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9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9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9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9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92" s="67">
        <f>COUNTIF(Documentos!A:A,A392&amp;"Decreto")</f>
        <v>0</v>
      </c>
      <c r="U39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9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9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93" spans="1:26" x14ac:dyDescent="0.25">
      <c r="A393" s="19">
        <v>391</v>
      </c>
      <c r="B393" s="122"/>
      <c r="C393" s="13"/>
      <c r="D393" s="13"/>
      <c r="E393" s="6"/>
      <c r="F393" s="65">
        <f>COUNTIF(Documentos!A:A,A393&amp;"Oficio_Solicitud")</f>
        <v>2</v>
      </c>
      <c r="G39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901 DA</v>
      </c>
      <c r="H39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956 DA</v>
      </c>
      <c r="I39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9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9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9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93" s="75">
        <f>COUNTIF(Documentos!A:A,A393&amp;"Proposicion")</f>
        <v>1</v>
      </c>
      <c r="N39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569 DA</v>
      </c>
      <c r="O39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9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9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9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9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93" s="67">
        <f>COUNTIF(Documentos!A:A,A393&amp;"Decreto")</f>
        <v>1</v>
      </c>
      <c r="U39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2223 DA</v>
      </c>
      <c r="V39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9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94" spans="1:26" x14ac:dyDescent="0.25">
      <c r="A394" s="19">
        <v>392</v>
      </c>
      <c r="B394" s="122"/>
      <c r="C394" s="13"/>
      <c r="D394" s="13"/>
      <c r="E394" s="6"/>
      <c r="F394" s="65">
        <f>COUNTIF(Documentos!A:A,A394&amp;"Oficio_Solicitud")</f>
        <v>1</v>
      </c>
      <c r="G39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479 DAP</v>
      </c>
      <c r="H39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9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9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9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9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94" s="75">
        <f>COUNTIF(Documentos!A:A,A394&amp;"Proposicion")</f>
        <v>1</v>
      </c>
      <c r="N39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625 DAP</v>
      </c>
      <c r="O39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9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9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9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9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94" s="67">
        <f>COUNTIF(Documentos!A:A,A394&amp;"Decreto")</f>
        <v>2</v>
      </c>
      <c r="U39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1725 DAP</v>
      </c>
      <c r="V39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1728 DAP</v>
      </c>
      <c r="Z39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95" spans="1:26" x14ac:dyDescent="0.25">
      <c r="A395" s="19">
        <v>393</v>
      </c>
      <c r="B395" s="122"/>
      <c r="C395" s="13"/>
      <c r="D395" s="13"/>
      <c r="E395" s="6"/>
      <c r="F395" s="65">
        <f>COUNTIF(Documentos!A:A,A395&amp;"Oficio_Solicitud")</f>
        <v>1</v>
      </c>
      <c r="G39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478 DAP</v>
      </c>
      <c r="H39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9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9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9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9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95" s="75">
        <f>COUNTIF(Documentos!A:A,A395&amp;"Proposicion")</f>
        <v>1</v>
      </c>
      <c r="N39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615 DAP</v>
      </c>
      <c r="O39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9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9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9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9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95" s="67">
        <f>COUNTIF(Documentos!A:A,A395&amp;"Decreto")</f>
        <v>0</v>
      </c>
      <c r="U39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9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9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96" spans="1:26" x14ac:dyDescent="0.25">
      <c r="A396" s="19">
        <v>394</v>
      </c>
      <c r="B396" s="122"/>
      <c r="C396" s="13"/>
      <c r="D396" s="13"/>
      <c r="E396" s="6"/>
      <c r="F396" s="65">
        <f>COUNTIF(Documentos!A:A,A396&amp;"Oficio_Solicitud")</f>
        <v>1</v>
      </c>
      <c r="G39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2209 DOP-DGA-SISS</v>
      </c>
      <c r="H39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9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9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9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9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96" s="75">
        <f>COUNTIF(Documentos!A:A,A396&amp;"Proposicion")</f>
        <v>1</v>
      </c>
      <c r="N39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572 DOP-DGA-SISS</v>
      </c>
      <c r="O39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9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9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9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9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96" s="67">
        <f>COUNTIF(Documentos!A:A,A396&amp;"Decreto")</f>
        <v>1</v>
      </c>
      <c r="U39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1523 DOP-DGA-SISS</v>
      </c>
      <c r="V39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9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97" spans="1:26" x14ac:dyDescent="0.25">
      <c r="A397" s="19">
        <v>395</v>
      </c>
      <c r="B397" s="122"/>
      <c r="C397" s="13"/>
      <c r="D397" s="13"/>
      <c r="E397" s="6"/>
      <c r="F397" s="65">
        <f>COUNTIF(Documentos!A:A,A397&amp;"Oficio_Solicitud")</f>
        <v>1</v>
      </c>
      <c r="G39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649 DOP</v>
      </c>
      <c r="H39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9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9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9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9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97" s="75">
        <f>COUNTIF(Documentos!A:A,A397&amp;"Proposicion")</f>
        <v>1</v>
      </c>
      <c r="N39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605 DOP</v>
      </c>
      <c r="O39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9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9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9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9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97" s="67">
        <f>COUNTIF(Documentos!A:A,A397&amp;"Decreto")</f>
        <v>0</v>
      </c>
      <c r="U39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9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9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98" spans="1:26" x14ac:dyDescent="0.25">
      <c r="A398" s="19">
        <v>396</v>
      </c>
      <c r="B398" s="122"/>
      <c r="C398" s="13"/>
      <c r="D398" s="13"/>
      <c r="E398" s="6"/>
      <c r="F398" s="65">
        <f>COUNTIF(Documentos!A:A,A398&amp;"Oficio_Solicitud")</f>
        <v>1</v>
      </c>
      <c r="G39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827 DGC</v>
      </c>
      <c r="H39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9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9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9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9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98" s="75">
        <f>COUNTIF(Documentos!A:A,A398&amp;"Proposicion")</f>
        <v>1</v>
      </c>
      <c r="N39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612 DGC</v>
      </c>
      <c r="O39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9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9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9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9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98" s="67">
        <f>COUNTIF(Documentos!A:A,A398&amp;"Decreto")</f>
        <v>1</v>
      </c>
      <c r="U39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1484 DGC</v>
      </c>
      <c r="V39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9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399" spans="1:26" x14ac:dyDescent="0.25">
      <c r="A399" s="19">
        <v>397</v>
      </c>
      <c r="B399" s="122"/>
      <c r="C399" s="13"/>
      <c r="D399" s="13"/>
      <c r="E399" s="6"/>
      <c r="F399" s="65">
        <f>COUNTIF(Documentos!A:A,A399&amp;"Oficio_Solicitud")</f>
        <v>0</v>
      </c>
      <c r="G39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39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39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39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39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39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399" s="75">
        <f>COUNTIF(Documentos!A:A,A399&amp;"Proposicion")</f>
        <v>0</v>
      </c>
      <c r="N39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39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39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39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39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39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399" s="67">
        <f>COUNTIF(Documentos!A:A,A399&amp;"Decreto")</f>
        <v>0</v>
      </c>
      <c r="U39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39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39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00" spans="1:26" ht="22.5" x14ac:dyDescent="0.25">
      <c r="A400" s="19">
        <v>398</v>
      </c>
      <c r="B400" s="122" t="s">
        <v>1205</v>
      </c>
      <c r="C400" s="13"/>
      <c r="D400" s="13"/>
      <c r="E400" s="6"/>
      <c r="F400" s="65">
        <f>COUNTIF(Documentos!A:A,A400&amp;"Oficio_Solicitud")</f>
        <v>0</v>
      </c>
      <c r="G40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0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0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0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0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0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00" s="75">
        <f>COUNTIF(Documentos!A:A,A400&amp;"Proposicion")</f>
        <v>0</v>
      </c>
      <c r="N40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0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0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0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0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0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00" s="67">
        <f>COUNTIF(Documentos!A:A,A400&amp;"Decreto")</f>
        <v>0</v>
      </c>
      <c r="U40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0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0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01" spans="1:26" ht="56.25" x14ac:dyDescent="0.25">
      <c r="A401" s="19">
        <v>399</v>
      </c>
      <c r="B401" s="122" t="s">
        <v>1206</v>
      </c>
      <c r="C401" s="13"/>
      <c r="D401" s="13"/>
      <c r="E401" s="6"/>
      <c r="F401" s="65">
        <f>COUNTIF(Documentos!A:A,A401&amp;"Oficio_Solicitud")</f>
        <v>1</v>
      </c>
      <c r="G40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8399 DV</v>
      </c>
      <c r="H40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0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0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0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0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01" s="75">
        <f>COUNTIF(Documentos!A:A,A401&amp;"Proposicion")</f>
        <v>1</v>
      </c>
      <c r="N40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8399 DV</v>
      </c>
      <c r="O40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0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0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0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0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01" s="67">
        <f>COUNTIF(Documentos!A:A,A401&amp;"Decreto")</f>
        <v>0</v>
      </c>
      <c r="U40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0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0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02" spans="1:26" x14ac:dyDescent="0.25">
      <c r="A402" s="19">
        <v>400</v>
      </c>
      <c r="B402" s="122"/>
      <c r="C402" s="13"/>
      <c r="D402" s="13"/>
      <c r="E402" s="6"/>
      <c r="F402" s="65">
        <f>COUNTIF(Documentos!A:A,A402&amp;"Oficio_Solicitud")</f>
        <v>1</v>
      </c>
      <c r="G40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990 DA</v>
      </c>
      <c r="H40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0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0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0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0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02" s="75">
        <f>COUNTIF(Documentos!A:A,A402&amp;"Proposicion")</f>
        <v>1</v>
      </c>
      <c r="N40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619 DA</v>
      </c>
      <c r="O40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0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0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0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0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02" s="67">
        <f>COUNTIF(Documentos!A:A,A402&amp;"Decreto")</f>
        <v>1</v>
      </c>
      <c r="U40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1842 DA</v>
      </c>
      <c r="V40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0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03" spans="1:26" ht="56.25" x14ac:dyDescent="0.25">
      <c r="A403" s="19">
        <v>401</v>
      </c>
      <c r="B403" s="122" t="s">
        <v>1207</v>
      </c>
      <c r="C403" s="13"/>
      <c r="D403" s="13"/>
      <c r="E403" s="6"/>
      <c r="F403" s="65">
        <f>COUNTIF(Documentos!A:A,A403&amp;"Oficio_Solicitud")</f>
        <v>1</v>
      </c>
      <c r="G40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8537 DV</v>
      </c>
      <c r="H40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0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0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0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0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03" s="75">
        <f>COUNTIF(Documentos!A:A,A403&amp;"Proposicion")</f>
        <v>1</v>
      </c>
      <c r="N40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8537 DV</v>
      </c>
      <c r="O40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0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0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0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0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03" s="67">
        <f>COUNTIF(Documentos!A:A,A403&amp;"Decreto")</f>
        <v>0</v>
      </c>
      <c r="U40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0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0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04" spans="1:26" ht="101.25" x14ac:dyDescent="0.25">
      <c r="A404" s="19">
        <v>402</v>
      </c>
      <c r="B404" s="122" t="s">
        <v>1208</v>
      </c>
      <c r="C404" s="13"/>
      <c r="D404" s="13"/>
      <c r="E404" s="6"/>
      <c r="F404" s="65">
        <f>COUNTIF(Documentos!A:A,A404&amp;"Oficio_Solicitud")</f>
        <v>0</v>
      </c>
      <c r="G40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0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0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0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0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0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04" s="75">
        <f>COUNTIF(Documentos!A:A,A404&amp;"Proposicion")</f>
        <v>1</v>
      </c>
      <c r="N40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580 MOP</v>
      </c>
      <c r="O40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0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0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0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0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04" s="67">
        <f>COUNTIF(Documentos!A:A,A404&amp;"Decreto")</f>
        <v>0</v>
      </c>
      <c r="U40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0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0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05" spans="1:26" x14ac:dyDescent="0.25">
      <c r="A405" s="19">
        <v>403</v>
      </c>
      <c r="B405" s="122"/>
      <c r="C405" s="13"/>
      <c r="D405" s="13"/>
      <c r="E405" s="6"/>
      <c r="F405" s="65">
        <f>COUNTIF(Documentos!A:A,A405&amp;"Oficio_Solicitud")</f>
        <v>1</v>
      </c>
      <c r="G40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493 DAP</v>
      </c>
      <c r="H40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0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0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0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0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05" s="75">
        <f>COUNTIF(Documentos!A:A,A405&amp;"Proposicion")</f>
        <v>1</v>
      </c>
      <c r="N40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620 DAP</v>
      </c>
      <c r="O40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0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0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0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0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05" s="67">
        <f>COUNTIF(Documentos!A:A,A405&amp;"Decreto")</f>
        <v>0</v>
      </c>
      <c r="U40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0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0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06" spans="1:26" x14ac:dyDescent="0.25">
      <c r="A406" s="19">
        <v>404</v>
      </c>
      <c r="B406" s="122"/>
      <c r="C406" s="13"/>
      <c r="D406" s="13"/>
      <c r="E406" s="6"/>
      <c r="F406" s="65">
        <f>COUNTIF(Documentos!A:A,A406&amp;"Oficio_Solicitud")</f>
        <v>0</v>
      </c>
      <c r="G40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0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0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0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0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0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06" s="75">
        <f>COUNTIF(Documentos!A:A,A406&amp;"Proposicion")</f>
        <v>1</v>
      </c>
      <c r="N40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613 INH</v>
      </c>
      <c r="O40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0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0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0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0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06" s="67">
        <f>COUNTIF(Documentos!A:A,A406&amp;"Decreto")</f>
        <v>0</v>
      </c>
      <c r="U40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0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0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07" spans="1:26" x14ac:dyDescent="0.25">
      <c r="A407" s="19">
        <v>405</v>
      </c>
      <c r="B407" s="122"/>
      <c r="C407" s="13"/>
      <c r="D407" s="13"/>
      <c r="E407" s="6"/>
      <c r="F407" s="65">
        <f>COUNTIF(Documentos!A:A,A407&amp;"Oficio_Solicitud")</f>
        <v>0</v>
      </c>
      <c r="G40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0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0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0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0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0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07" s="75">
        <f>COUNTIF(Documentos!A:A,A407&amp;"Proposicion")</f>
        <v>1</v>
      </c>
      <c r="N40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611 DOH</v>
      </c>
      <c r="O40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0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0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0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0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07" s="67">
        <f>COUNTIF(Documentos!A:A,A407&amp;"Decreto")</f>
        <v>0</v>
      </c>
      <c r="U40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0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0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08" spans="1:26" x14ac:dyDescent="0.25">
      <c r="A408" s="19">
        <v>406</v>
      </c>
      <c r="B408" s="122"/>
      <c r="C408" s="13"/>
      <c r="D408" s="13"/>
      <c r="E408" s="6"/>
      <c r="F408" s="65">
        <f>COUNTIF(Documentos!A:A,A408&amp;"Oficio_Solicitud")</f>
        <v>0</v>
      </c>
      <c r="G40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0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0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0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0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0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08" s="75">
        <f>COUNTIF(Documentos!A:A,A408&amp;"Proposicion")</f>
        <v>1</v>
      </c>
      <c r="N40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614 APR</v>
      </c>
      <c r="O40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0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0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0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0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08" s="67">
        <f>COUNTIF(Documentos!A:A,A408&amp;"Decreto")</f>
        <v>0</v>
      </c>
      <c r="U40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0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0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09" spans="1:26" ht="78.75" x14ac:dyDescent="0.25">
      <c r="A409" s="19">
        <v>407</v>
      </c>
      <c r="B409" s="122" t="s">
        <v>1177</v>
      </c>
      <c r="C409" s="13"/>
      <c r="D409" s="13"/>
      <c r="E409" s="6"/>
      <c r="F409" s="65">
        <f>COUNTIF(Documentos!A:A,A409&amp;"Oficio_Solicitud")</f>
        <v>0</v>
      </c>
      <c r="G40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0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0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0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0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0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09" s="75">
        <f>COUNTIF(Documentos!A:A,A409&amp;"Proposicion")</f>
        <v>0</v>
      </c>
      <c r="N40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0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0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0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0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0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09" s="67">
        <f>COUNTIF(Documentos!A:A,A409&amp;"Decreto")</f>
        <v>0</v>
      </c>
      <c r="U40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0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0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10" spans="1:26" x14ac:dyDescent="0.25">
      <c r="A410" s="19">
        <v>408</v>
      </c>
      <c r="B410" s="122"/>
      <c r="C410" s="13"/>
      <c r="D410" s="13"/>
      <c r="E410" s="6"/>
      <c r="F410" s="65">
        <f>COUNTIF(Documentos!A:A,A410&amp;"Oficio_Solicitud")</f>
        <v>0</v>
      </c>
      <c r="G41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1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1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1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1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1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10" s="75">
        <f>COUNTIF(Documentos!A:A,A410&amp;"Proposicion")</f>
        <v>1</v>
      </c>
      <c r="N41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586 MOP</v>
      </c>
      <c r="O41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1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1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1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1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10" s="67">
        <f>COUNTIF(Documentos!A:A,A410&amp;"Decreto")</f>
        <v>1</v>
      </c>
      <c r="U41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1878 MOP</v>
      </c>
      <c r="V41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1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11" spans="1:26" x14ac:dyDescent="0.25">
      <c r="A411" s="19">
        <v>409</v>
      </c>
      <c r="B411" s="122"/>
      <c r="C411" s="13"/>
      <c r="D411" s="13"/>
      <c r="E411" s="6"/>
      <c r="F411" s="65">
        <f>COUNTIF(Documentos!A:A,A411&amp;"Oficio_Solicitud")</f>
        <v>1</v>
      </c>
      <c r="G41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1013 DA</v>
      </c>
      <c r="H41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1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1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1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1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11" s="75">
        <f>COUNTIF(Documentos!A:A,A411&amp;"Proposicion")</f>
        <v>1</v>
      </c>
      <c r="N41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633 DA</v>
      </c>
      <c r="O41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1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1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1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1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11" s="67">
        <f>COUNTIF(Documentos!A:A,A411&amp;"Decreto")</f>
        <v>0</v>
      </c>
      <c r="U41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1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1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12" spans="1:26" x14ac:dyDescent="0.25">
      <c r="A412" s="19">
        <v>410</v>
      </c>
      <c r="B412" s="122"/>
      <c r="C412" s="13"/>
      <c r="D412" s="13"/>
      <c r="E412" s="6"/>
      <c r="F412" s="65">
        <f>COUNTIF(Documentos!A:A,A412&amp;"Oficio_Solicitud")</f>
        <v>1</v>
      </c>
      <c r="G41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2232 DOH</v>
      </c>
      <c r="H41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1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1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1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1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12" s="75">
        <f>COUNTIF(Documentos!A:A,A412&amp;"Proposicion")</f>
        <v>1</v>
      </c>
      <c r="N41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639 DOH</v>
      </c>
      <c r="O41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1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1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1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1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12" s="67">
        <f>COUNTIF(Documentos!A:A,A412&amp;"Decreto")</f>
        <v>0</v>
      </c>
      <c r="U41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1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1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13" spans="1:26" x14ac:dyDescent="0.25">
      <c r="A413" s="19">
        <v>411</v>
      </c>
      <c r="B413" s="122"/>
      <c r="C413" s="13"/>
      <c r="D413" s="13"/>
      <c r="E413" s="6"/>
      <c r="F413" s="65">
        <f>COUNTIF(Documentos!A:A,A413&amp;"Oficio_Solicitud")</f>
        <v>1</v>
      </c>
      <c r="G41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2233 APR_FETCovid19</v>
      </c>
      <c r="H41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1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1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1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1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13" s="75">
        <f>COUNTIF(Documentos!A:A,A413&amp;"Proposicion")</f>
        <v>1</v>
      </c>
      <c r="N41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640 APR_FETCovid19</v>
      </c>
      <c r="O41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1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1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1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1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13" s="67">
        <f>COUNTIF(Documentos!A:A,A413&amp;"Decreto")</f>
        <v>0</v>
      </c>
      <c r="U41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1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1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14" spans="1:26" x14ac:dyDescent="0.25">
      <c r="A414" s="19">
        <v>412</v>
      </c>
      <c r="B414" s="122"/>
      <c r="C414" s="13"/>
      <c r="D414" s="13"/>
      <c r="E414" s="6"/>
      <c r="F414" s="65">
        <f>COUNTIF(Documentos!A:A,A414&amp;"Oficio_Solicitud")</f>
        <v>1</v>
      </c>
      <c r="G41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7130 DV</v>
      </c>
      <c r="H41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1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1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1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1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14" s="75">
        <f>COUNTIF(Documentos!A:A,A414&amp;"Proposicion")</f>
        <v>1</v>
      </c>
      <c r="N41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604 DV</v>
      </c>
      <c r="O41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1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1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1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1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14" s="67">
        <f>COUNTIF(Documentos!A:A,A414&amp;"Decreto")</f>
        <v>0</v>
      </c>
      <c r="U41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1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1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15" spans="1:26" x14ac:dyDescent="0.25">
      <c r="A415" s="19">
        <v>413</v>
      </c>
      <c r="B415" s="122"/>
      <c r="C415" s="13"/>
      <c r="D415" s="13"/>
      <c r="E415" s="6"/>
      <c r="F415" s="65">
        <f>COUNTIF(Documentos!A:A,A415&amp;"Oficio_Solicitud")</f>
        <v>0</v>
      </c>
      <c r="G41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1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1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1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1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1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15" s="75">
        <f>COUNTIF(Documentos!A:A,A415&amp;"Proposicion")</f>
        <v>1</v>
      </c>
      <c r="N41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602 DGOP-DP</v>
      </c>
      <c r="O41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1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1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1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1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15" s="67">
        <f>COUNTIF(Documentos!A:A,A415&amp;"Decreto")</f>
        <v>1</v>
      </c>
      <c r="U41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1689 DGOP-DP</v>
      </c>
      <c r="V41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1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16" spans="1:26" ht="22.5" x14ac:dyDescent="0.25">
      <c r="A416" s="19">
        <v>414</v>
      </c>
      <c r="B416" s="122" t="s">
        <v>1209</v>
      </c>
      <c r="C416" s="13"/>
      <c r="D416" s="13"/>
      <c r="E416" s="6"/>
      <c r="F416" s="65">
        <f>COUNTIF(Documentos!A:A,A416&amp;"Oficio_Solicitud")</f>
        <v>0</v>
      </c>
      <c r="G41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1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1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1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1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1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16" s="75">
        <f>COUNTIF(Documentos!A:A,A416&amp;"Proposicion")</f>
        <v>1</v>
      </c>
      <c r="N41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318 APRb</v>
      </c>
      <c r="O41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1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1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1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1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16" s="67">
        <f>COUNTIF(Documentos!A:A,A416&amp;"Decreto")</f>
        <v>0</v>
      </c>
      <c r="U41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1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1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17" spans="1:26" x14ac:dyDescent="0.25">
      <c r="A417" s="19">
        <v>415</v>
      </c>
      <c r="B417" s="122"/>
      <c r="C417" s="13"/>
      <c r="D417" s="13"/>
      <c r="E417" s="6"/>
      <c r="F417" s="65">
        <f>COUNTIF(Documentos!A:A,A417&amp;"Oficio_Solicitud")</f>
        <v>1</v>
      </c>
      <c r="G41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1027 DA</v>
      </c>
      <c r="H41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1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1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1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1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17" s="75">
        <f>COUNTIF(Documentos!A:A,A417&amp;"Proposicion")</f>
        <v>1</v>
      </c>
      <c r="N41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679 DA</v>
      </c>
      <c r="O41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1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1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1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1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17" s="67">
        <f>COUNTIF(Documentos!A:A,A417&amp;"Decreto")</f>
        <v>1</v>
      </c>
      <c r="U41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1715 DA</v>
      </c>
      <c r="V41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1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18" spans="1:26" x14ac:dyDescent="0.25">
      <c r="A418" s="19">
        <v>416</v>
      </c>
      <c r="B418" s="122"/>
      <c r="C418" s="13"/>
      <c r="D418" s="13"/>
      <c r="E418" s="6"/>
      <c r="F418" s="65">
        <f>COUNTIF(Documentos!A:A,A418&amp;"Oficio_Solicitud")</f>
        <v>1</v>
      </c>
      <c r="G41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1029 DA</v>
      </c>
      <c r="H41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1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1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1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1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18" s="75">
        <f>COUNTIF(Documentos!A:A,A418&amp;"Proposicion")</f>
        <v>1</v>
      </c>
      <c r="N41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652 DA</v>
      </c>
      <c r="O41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1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1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1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1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18" s="67">
        <f>COUNTIF(Documentos!A:A,A418&amp;"Decreto")</f>
        <v>0</v>
      </c>
      <c r="U41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1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1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19" spans="1:26" x14ac:dyDescent="0.25">
      <c r="A419" s="19">
        <v>417</v>
      </c>
      <c r="B419" s="122"/>
      <c r="C419" s="13"/>
      <c r="D419" s="13"/>
      <c r="E419" s="6"/>
      <c r="F419" s="65">
        <f>COUNTIF(Documentos!A:A,A419&amp;"Oficio_Solicitud")</f>
        <v>1</v>
      </c>
      <c r="G41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2342 APR</v>
      </c>
      <c r="H41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1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1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1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1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19" s="75">
        <f>COUNTIF(Documentos!A:A,A419&amp;"Proposicion")</f>
        <v>1</v>
      </c>
      <c r="N41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702 APR</v>
      </c>
      <c r="O41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1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1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1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1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19" s="67">
        <f>COUNTIF(Documentos!A:A,A419&amp;"Decreto")</f>
        <v>1</v>
      </c>
      <c r="U41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1803 APR</v>
      </c>
      <c r="V41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1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20" spans="1:26" x14ac:dyDescent="0.25">
      <c r="A420" s="19">
        <v>418</v>
      </c>
      <c r="B420" s="122"/>
      <c r="C420" s="13"/>
      <c r="D420" s="13"/>
      <c r="E420" s="6"/>
      <c r="F420" s="65">
        <f>COUNTIF(Documentos!A:A,A420&amp;"Oficio_Solicitud")</f>
        <v>1</v>
      </c>
      <c r="G42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2343 DOH_FETCovid19</v>
      </c>
      <c r="H42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2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2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2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2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20" s="75">
        <f>COUNTIF(Documentos!A:A,A420&amp;"Proposicion")</f>
        <v>1</v>
      </c>
      <c r="N42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703 DOH_FETCovid19</v>
      </c>
      <c r="O42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2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2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2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2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20" s="67">
        <f>COUNTIF(Documentos!A:A,A420&amp;"Decreto")</f>
        <v>1</v>
      </c>
      <c r="U42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1880 DOH_FETCovid19</v>
      </c>
      <c r="V42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2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21" spans="1:26" x14ac:dyDescent="0.25">
      <c r="A421" s="19">
        <v>419</v>
      </c>
      <c r="B421" s="122"/>
      <c r="C421" s="13"/>
      <c r="D421" s="13"/>
      <c r="E421" s="6"/>
      <c r="F421" s="65">
        <f>COUNTIF(Documentos!A:A,A421&amp;"Oficio_Solicitud")</f>
        <v>1</v>
      </c>
      <c r="G42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509 DAP</v>
      </c>
      <c r="H42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2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2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2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2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21" s="75">
        <f>COUNTIF(Documentos!A:A,A421&amp;"Proposicion")</f>
        <v>1</v>
      </c>
      <c r="N42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653 DAP</v>
      </c>
      <c r="O42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2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2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2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2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21" s="67">
        <f>COUNTIF(Documentos!A:A,A421&amp;"Decreto")</f>
        <v>0</v>
      </c>
      <c r="U42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2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2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22" spans="1:26" x14ac:dyDescent="0.25">
      <c r="A422" s="19">
        <v>420</v>
      </c>
      <c r="B422" s="122"/>
      <c r="C422" s="13"/>
      <c r="D422" s="13"/>
      <c r="E422" s="6"/>
      <c r="F422" s="65">
        <f>COUNTIF(Documentos!A:A,A422&amp;"Oficio_Solicitud")</f>
        <v>1</v>
      </c>
      <c r="G42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899 DGC</v>
      </c>
      <c r="H42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2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2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2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2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22" s="75">
        <f>COUNTIF(Documentos!A:A,A422&amp;"Proposicion")</f>
        <v>1</v>
      </c>
      <c r="N42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680 DGC</v>
      </c>
      <c r="O42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2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2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2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2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22" s="67">
        <f>COUNTIF(Documentos!A:A,A422&amp;"Decreto")</f>
        <v>1</v>
      </c>
      <c r="U42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1754 DGC</v>
      </c>
      <c r="V42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2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23" spans="1:26" x14ac:dyDescent="0.25">
      <c r="A423" s="19">
        <v>421</v>
      </c>
      <c r="B423" s="122"/>
      <c r="C423" s="13"/>
      <c r="D423" s="13"/>
      <c r="E423" s="6"/>
      <c r="F423" s="65">
        <f>COUNTIF(Documentos!A:A,A423&amp;"Oficio_Solicitud")</f>
        <v>1</v>
      </c>
      <c r="G42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528 SOP</v>
      </c>
      <c r="H42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2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2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2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2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23" s="75">
        <f>COUNTIF(Documentos!A:A,A423&amp;"Proposicion")</f>
        <v>1</v>
      </c>
      <c r="N42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607 SOP</v>
      </c>
      <c r="O42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2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2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2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2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23" s="67">
        <f>COUNTIF(Documentos!A:A,A423&amp;"Decreto")</f>
        <v>0</v>
      </c>
      <c r="U42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2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2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24" spans="1:26" ht="45" x14ac:dyDescent="0.25">
      <c r="A424" s="19">
        <v>422</v>
      </c>
      <c r="B424" s="121" t="s">
        <v>1210</v>
      </c>
      <c r="C424" s="12"/>
      <c r="D424" s="12"/>
      <c r="E424" s="6"/>
      <c r="F424" s="65">
        <f>COUNTIF(Documentos!A:A,A424&amp;"Oficio_Solicitud")</f>
        <v>1</v>
      </c>
      <c r="G42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8951 DV</v>
      </c>
      <c r="H42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2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2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2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2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24" s="75">
        <f>COUNTIF(Documentos!A:A,A424&amp;"Proposicion")</f>
        <v>1</v>
      </c>
      <c r="N42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683 DV</v>
      </c>
      <c r="O42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2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2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2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2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24" s="67">
        <f>COUNTIF(Documentos!A:A,A424&amp;"Decreto")</f>
        <v>0</v>
      </c>
      <c r="U42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2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2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25" spans="1:26" ht="45" x14ac:dyDescent="0.25">
      <c r="A425" s="19">
        <v>423</v>
      </c>
      <c r="B425" s="121" t="s">
        <v>1210</v>
      </c>
      <c r="C425" s="12"/>
      <c r="D425" s="12"/>
      <c r="E425" s="6"/>
      <c r="F425" s="65">
        <f>COUNTIF(Documentos!A:A,A425&amp;"Oficio_Solicitud")</f>
        <v>1</v>
      </c>
      <c r="G42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8951 DV_FETCovid19</v>
      </c>
      <c r="H42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2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2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2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2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25" s="75">
        <f>COUNTIF(Documentos!A:A,A425&amp;"Proposicion")</f>
        <v>1</v>
      </c>
      <c r="N42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682 DV_FETCovid19</v>
      </c>
      <c r="O42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2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2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2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2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25" s="67">
        <f>COUNTIF(Documentos!A:A,A425&amp;"Decreto")</f>
        <v>0</v>
      </c>
      <c r="U42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2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2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26" spans="1:26" x14ac:dyDescent="0.25">
      <c r="A426" s="19">
        <v>424</v>
      </c>
      <c r="B426" s="122" t="s">
        <v>1211</v>
      </c>
      <c r="C426" s="13"/>
      <c r="D426" s="13"/>
      <c r="E426" s="6"/>
      <c r="F426" s="65">
        <f>COUNTIF(Documentos!A:A,A426&amp;"Oficio_Solicitud")</f>
        <v>0</v>
      </c>
      <c r="G42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2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2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2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2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2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26" s="75">
        <f>COUNTIF(Documentos!A:A,A426&amp;"Proposicion")</f>
        <v>0</v>
      </c>
      <c r="N42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2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2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2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2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2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26" s="67">
        <f>COUNTIF(Documentos!A:A,A426&amp;"Decreto")</f>
        <v>0</v>
      </c>
      <c r="U42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2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2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27" spans="1:26" x14ac:dyDescent="0.25">
      <c r="A427" s="19">
        <v>425</v>
      </c>
      <c r="B427" s="122" t="s">
        <v>1212</v>
      </c>
      <c r="C427" s="13"/>
      <c r="D427" s="13"/>
      <c r="E427" s="6"/>
      <c r="F427" s="65">
        <f>COUNTIF(Documentos!A:A,A427&amp;"Oficio_Solicitud")</f>
        <v>1</v>
      </c>
      <c r="G42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 INH</v>
      </c>
      <c r="H42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2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2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2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2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27" s="75">
        <f>COUNTIF(Documentos!A:A,A427&amp;"Proposicion")</f>
        <v>1</v>
      </c>
      <c r="N42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708 INH</v>
      </c>
      <c r="O42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2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2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2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2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27" s="67">
        <f>COUNTIF(Documentos!A:A,A427&amp;"Decreto")</f>
        <v>1</v>
      </c>
      <c r="U42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1851 INH</v>
      </c>
      <c r="V42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2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28" spans="1:26" x14ac:dyDescent="0.25">
      <c r="A428" s="19">
        <v>426</v>
      </c>
      <c r="B428" s="122"/>
      <c r="C428" s="13"/>
      <c r="D428" s="13"/>
      <c r="E428" s="6"/>
      <c r="F428" s="65">
        <f>COUNTIF(Documentos!A:A,A428&amp;"Oficio_Solicitud")</f>
        <v>1</v>
      </c>
      <c r="G42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291 SOP</v>
      </c>
      <c r="H42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2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2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2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2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28" s="75">
        <f>COUNTIF(Documentos!A:A,A428&amp;"Proposicion")</f>
        <v>1</v>
      </c>
      <c r="N42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612 SOP</v>
      </c>
      <c r="O42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2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2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2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2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28" s="67">
        <f>COUNTIF(Documentos!A:A,A428&amp;"Decreto")</f>
        <v>0</v>
      </c>
      <c r="U42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2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2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29" spans="1:26" x14ac:dyDescent="0.25">
      <c r="A429" s="19">
        <v>427</v>
      </c>
      <c r="B429" s="122"/>
      <c r="C429" s="13"/>
      <c r="D429" s="13"/>
      <c r="E429" s="6"/>
      <c r="F429" s="65">
        <f>COUNTIF(Documentos!A:A,A429&amp;"Oficio_Solicitud")</f>
        <v>1</v>
      </c>
      <c r="G42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796 DGC</v>
      </c>
      <c r="H42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2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2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2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2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29" s="75">
        <f>COUNTIF(Documentos!A:A,A429&amp;"Proposicion")</f>
        <v>1</v>
      </c>
      <c r="N42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567 DGC</v>
      </c>
      <c r="O42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2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2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2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2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29" s="67">
        <f>COUNTIF(Documentos!A:A,A429&amp;"Decreto")</f>
        <v>1</v>
      </c>
      <c r="U42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1494 DGC</v>
      </c>
      <c r="V42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2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30" spans="1:26" x14ac:dyDescent="0.25">
      <c r="A430" s="19">
        <v>428</v>
      </c>
      <c r="B430" s="122"/>
      <c r="C430" s="13"/>
      <c r="D430" s="13"/>
      <c r="E430" s="6"/>
      <c r="F430" s="65">
        <f>COUNTIF(Documentos!A:A,A430&amp;"Oficio_Solicitud")</f>
        <v>1</v>
      </c>
      <c r="G43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512 DAP</v>
      </c>
      <c r="H43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3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3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3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3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30" s="75">
        <f>COUNTIF(Documentos!A:A,A430&amp;"Proposicion")</f>
        <v>1</v>
      </c>
      <c r="N43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655 DAP</v>
      </c>
      <c r="O43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3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3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3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3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30" s="67">
        <f>COUNTIF(Documentos!A:A,A430&amp;"Decreto")</f>
        <v>1</v>
      </c>
      <c r="U43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1726 DAP</v>
      </c>
      <c r="V43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3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31" spans="1:26" x14ac:dyDescent="0.25">
      <c r="A431" s="19">
        <v>429</v>
      </c>
      <c r="B431" s="122"/>
      <c r="C431" s="13"/>
      <c r="D431" s="13"/>
      <c r="E431" s="6"/>
      <c r="F431" s="65">
        <f>COUNTIF(Documentos!A:A,A431&amp;"Oficio_Solicitud")</f>
        <v>0</v>
      </c>
      <c r="G43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3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3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3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3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3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31" s="75">
        <f>COUNTIF(Documentos!A:A,A431&amp;"Proposicion")</f>
        <v>1</v>
      </c>
      <c r="N43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233 DGC</v>
      </c>
      <c r="O43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3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3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3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3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31" s="67">
        <f>COUNTIF(Documentos!A:A,A431&amp;"Decreto")</f>
        <v>0</v>
      </c>
      <c r="U43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3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3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32" spans="1:26" x14ac:dyDescent="0.25">
      <c r="A432" s="19">
        <v>430</v>
      </c>
      <c r="B432" s="122"/>
      <c r="C432" s="13"/>
      <c r="D432" s="13"/>
      <c r="E432" s="6"/>
      <c r="F432" s="65">
        <f>COUNTIF(Documentos!A:A,A432&amp;"Oficio_Solicitud")</f>
        <v>1</v>
      </c>
      <c r="G43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516 DAP_FETCovid19</v>
      </c>
      <c r="H43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3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3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3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3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32" s="75">
        <f>COUNTIF(Documentos!A:A,A432&amp;"Proposicion")</f>
        <v>1</v>
      </c>
      <c r="N43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654 DAP_FETCovid19</v>
      </c>
      <c r="O43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3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3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3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3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32" s="67">
        <f>COUNTIF(Documentos!A:A,A432&amp;"Decreto")</f>
        <v>0</v>
      </c>
      <c r="U43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3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3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33" spans="1:26" x14ac:dyDescent="0.25">
      <c r="A433" s="19">
        <v>431</v>
      </c>
      <c r="B433" s="122" t="s">
        <v>1190</v>
      </c>
      <c r="C433" s="13"/>
      <c r="D433" s="13"/>
      <c r="E433" s="6"/>
      <c r="F433" s="65">
        <f>COUNTIF(Documentos!A:A,A433&amp;"Oficio_Solicitud")</f>
        <v>2</v>
      </c>
      <c r="G43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3811 DOH-DGOP-FISC</v>
      </c>
      <c r="H43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278 DOH-DGOP-FISC</v>
      </c>
      <c r="I43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3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3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3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33" s="75">
        <f>COUNTIF(Documentos!A:A,A433&amp;"Proposicion")</f>
        <v>2</v>
      </c>
      <c r="N43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537 DOH-DGOP-FISC</v>
      </c>
      <c r="O43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SOL 544 DOH-DGOP-FISC</v>
      </c>
      <c r="P43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3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3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3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33" s="67">
        <f>COUNTIF(Documentos!A:A,A433&amp;"Decreto")</f>
        <v>1</v>
      </c>
      <c r="U43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1445 DOH-DGOP-FISC</v>
      </c>
      <c r="V43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3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34" spans="1:26" ht="33.75" x14ac:dyDescent="0.25">
      <c r="A434" s="19">
        <v>432</v>
      </c>
      <c r="B434" s="122" t="s">
        <v>1213</v>
      </c>
      <c r="C434" s="13"/>
      <c r="D434" s="13"/>
      <c r="E434" s="6"/>
      <c r="F434" s="65">
        <f>COUNTIF(Documentos!A:A,A434&amp;"Oficio_Solicitud")</f>
        <v>2</v>
      </c>
      <c r="G43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7868 DV</v>
      </c>
      <c r="H43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7638 DV</v>
      </c>
      <c r="I43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3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3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3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34" s="75">
        <f>COUNTIF(Documentos!A:A,A434&amp;"Proposicion")</f>
        <v>2</v>
      </c>
      <c r="N43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583 DV</v>
      </c>
      <c r="O43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SOL 582 DV</v>
      </c>
      <c r="P43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3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3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3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34" s="67">
        <f>COUNTIF(Documentos!A:A,A434&amp;"Decreto")</f>
        <v>1</v>
      </c>
      <c r="U43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1479 DV</v>
      </c>
      <c r="V43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3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35" spans="1:26" x14ac:dyDescent="0.25">
      <c r="A435" s="19">
        <v>433</v>
      </c>
      <c r="B435" s="122" t="s">
        <v>1214</v>
      </c>
      <c r="C435" s="13"/>
      <c r="D435" s="13"/>
      <c r="E435" s="6"/>
      <c r="F435" s="65">
        <f>COUNTIF(Documentos!A:A,A435&amp;"Oficio_Solicitud")</f>
        <v>0</v>
      </c>
      <c r="G43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3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3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3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3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3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35" s="75">
        <f>COUNTIF(Documentos!A:A,A435&amp;"Proposicion")</f>
        <v>0</v>
      </c>
      <c r="N43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3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3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3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3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3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35" s="67">
        <f>COUNTIF(Documentos!A:A,A435&amp;"Decreto")</f>
        <v>0</v>
      </c>
      <c r="U43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3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3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36" spans="1:26" x14ac:dyDescent="0.25">
      <c r="A436" s="19">
        <v>434</v>
      </c>
      <c r="B436" s="122"/>
      <c r="C436" s="13"/>
      <c r="D436" s="13"/>
      <c r="E436" s="6"/>
      <c r="F436" s="65">
        <f>COUNTIF(Documentos!A:A,A436&amp;"Oficio_Solicitud")</f>
        <v>1</v>
      </c>
      <c r="G43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2407 DOH</v>
      </c>
      <c r="H43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3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3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3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3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36" s="75">
        <f>COUNTIF(Documentos!A:A,A436&amp;"Proposicion")</f>
        <v>1</v>
      </c>
      <c r="N43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710 DOH</v>
      </c>
      <c r="O43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3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3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3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3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36" s="67">
        <f>COUNTIF(Documentos!A:A,A436&amp;"Decreto")</f>
        <v>1</v>
      </c>
      <c r="U43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1892 DOH</v>
      </c>
      <c r="V43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3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37" spans="1:26" ht="22.5" x14ac:dyDescent="0.25">
      <c r="A437" s="19">
        <v>435</v>
      </c>
      <c r="B437" s="122" t="s">
        <v>1215</v>
      </c>
      <c r="C437" s="13"/>
      <c r="D437" s="13"/>
      <c r="E437" s="6"/>
      <c r="F437" s="65">
        <f>COUNTIF(Documentos!A:A,A437&amp;"Oficio_Solicitud")</f>
        <v>1</v>
      </c>
      <c r="G43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1950 DOH_FETCovid19</v>
      </c>
      <c r="H43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3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3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3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3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37" s="75">
        <f>COUNTIF(Documentos!A:A,A437&amp;"Proposicion")</f>
        <v>1</v>
      </c>
      <c r="N43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575 DOH_FETCovid19</v>
      </c>
      <c r="O43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3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3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3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3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37" s="67">
        <f>COUNTIF(Documentos!A:A,A437&amp;"Decreto")</f>
        <v>1</v>
      </c>
      <c r="U43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1553 DOH_FETCovid19</v>
      </c>
      <c r="V43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3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38" spans="1:26" x14ac:dyDescent="0.25">
      <c r="A438" s="19">
        <v>436</v>
      </c>
      <c r="B438" s="122"/>
      <c r="C438" s="13"/>
      <c r="D438" s="13"/>
      <c r="E438" s="6"/>
      <c r="F438" s="65">
        <f>COUNTIF(Documentos!A:A,A438&amp;"Oficio_Solicitud")</f>
        <v>1</v>
      </c>
      <c r="G43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508 DAP</v>
      </c>
      <c r="H43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3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3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3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3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38" s="75">
        <f>COUNTIF(Documentos!A:A,A438&amp;"Proposicion")</f>
        <v>1</v>
      </c>
      <c r="N43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623 DAP</v>
      </c>
      <c r="O43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3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3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3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3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38" s="67">
        <f>COUNTIF(Documentos!A:A,A438&amp;"Decreto")</f>
        <v>0</v>
      </c>
      <c r="U43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3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3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39" spans="1:26" x14ac:dyDescent="0.25">
      <c r="A439" s="19">
        <v>437</v>
      </c>
      <c r="B439" s="122"/>
      <c r="C439" s="13"/>
      <c r="D439" s="13"/>
      <c r="E439" s="6"/>
      <c r="F439" s="65">
        <f>COUNTIF(Documentos!A:A,A439&amp;"Oficio_Solicitud")</f>
        <v>1</v>
      </c>
      <c r="G43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2449 APR_FETCovid19</v>
      </c>
      <c r="H43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3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3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3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3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39" s="75">
        <f>COUNTIF(Documentos!A:A,A439&amp;"Proposicion")</f>
        <v>1</v>
      </c>
      <c r="N43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698 APR_FETCovid19</v>
      </c>
      <c r="O43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3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3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3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3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39" s="67">
        <f>COUNTIF(Documentos!A:A,A439&amp;"Decreto")</f>
        <v>0</v>
      </c>
      <c r="U43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3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3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40" spans="1:26" x14ac:dyDescent="0.25">
      <c r="A440" s="19">
        <v>438</v>
      </c>
      <c r="B440" s="122"/>
      <c r="C440" s="13"/>
      <c r="D440" s="13"/>
      <c r="E440" s="6"/>
      <c r="F440" s="65">
        <f>COUNTIF(Documentos!A:A,A440&amp;"Oficio_Solicitud")</f>
        <v>2</v>
      </c>
      <c r="G44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1156 DA_FETCovid19correo</v>
      </c>
      <c r="H44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1082 DA_FETCovid19correo</v>
      </c>
      <c r="I44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4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4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4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40" s="75">
        <f>COUNTIF(Documentos!A:A,A440&amp;"Proposicion")</f>
        <v>1</v>
      </c>
      <c r="N44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727 DA_FETCovid19</v>
      </c>
      <c r="O44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4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4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4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4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40" s="67">
        <f>COUNTIF(Documentos!A:A,A440&amp;"Decreto")</f>
        <v>2</v>
      </c>
      <c r="U44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1934 DA_FETCovid19</v>
      </c>
      <c r="V44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1935 DA_FETCovid19</v>
      </c>
      <c r="Z44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41" spans="1:26" x14ac:dyDescent="0.25">
      <c r="A441" s="19">
        <v>439</v>
      </c>
      <c r="B441" s="122"/>
      <c r="C441" s="13"/>
      <c r="D441" s="13"/>
      <c r="E441" s="6"/>
      <c r="F441" s="65">
        <f>COUNTIF(Documentos!A:A,A441&amp;"Oficio_Solicitud")</f>
        <v>2</v>
      </c>
      <c r="G44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1087 DA</v>
      </c>
      <c r="H44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1093 DA</v>
      </c>
      <c r="I44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4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4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4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41" s="75">
        <f>COUNTIF(Documentos!A:A,A441&amp;"Proposicion")</f>
        <v>1</v>
      </c>
      <c r="N44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701 DA</v>
      </c>
      <c r="O44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4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4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4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4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41" s="67">
        <f>COUNTIF(Documentos!A:A,A441&amp;"Decreto")</f>
        <v>1</v>
      </c>
      <c r="U44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1799 DA</v>
      </c>
      <c r="V44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4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42" spans="1:26" x14ac:dyDescent="0.25">
      <c r="A442" s="19">
        <v>440</v>
      </c>
      <c r="B442" s="122"/>
      <c r="C442" s="13"/>
      <c r="D442" s="13"/>
      <c r="E442" s="6"/>
      <c r="F442" s="65">
        <f>COUNTIF(Documentos!A:A,A442&amp;"Oficio_Solicitud")</f>
        <v>1</v>
      </c>
      <c r="G44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328 DGOP</v>
      </c>
      <c r="H44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4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4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4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4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42" s="75">
        <f>COUNTIF(Documentos!A:A,A442&amp;"Proposicion")</f>
        <v>1</v>
      </c>
      <c r="N44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624 DGOP</v>
      </c>
      <c r="O44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4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4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4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4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42" s="67">
        <f>COUNTIF(Documentos!A:A,A442&amp;"Decreto")</f>
        <v>0</v>
      </c>
      <c r="U44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4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4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43" spans="1:26" ht="56.25" x14ac:dyDescent="0.25">
      <c r="A443" s="19">
        <v>441</v>
      </c>
      <c r="B443" s="122" t="s">
        <v>1216</v>
      </c>
      <c r="C443" s="13"/>
      <c r="D443" s="13"/>
      <c r="E443" s="6"/>
      <c r="F443" s="65">
        <f>COUNTIF(Documentos!A:A,A443&amp;"Oficio_Solicitud")</f>
        <v>1</v>
      </c>
      <c r="G44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305 SOP</v>
      </c>
      <c r="H44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4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4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4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4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43" s="75">
        <f>COUNTIF(Documentos!A:A,A443&amp;"Proposicion")</f>
        <v>1</v>
      </c>
      <c r="N44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700 SOP</v>
      </c>
      <c r="O44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4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4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4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4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43" s="67">
        <f>COUNTIF(Documentos!A:A,A443&amp;"Decreto")</f>
        <v>0</v>
      </c>
      <c r="U44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4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4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44" spans="1:26" x14ac:dyDescent="0.25">
      <c r="A444" s="19">
        <v>442</v>
      </c>
      <c r="B444" s="122"/>
      <c r="C444" s="13"/>
      <c r="D444" s="13"/>
      <c r="E444" s="6"/>
      <c r="F444" s="65">
        <f>COUNTIF(Documentos!A:A,A444&amp;"Oficio_Solicitud")</f>
        <v>1</v>
      </c>
      <c r="G44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2460 APR</v>
      </c>
      <c r="H44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4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4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4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4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44" s="75">
        <f>COUNTIF(Documentos!A:A,A444&amp;"Proposicion")</f>
        <v>0</v>
      </c>
      <c r="N44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4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4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4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4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4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44" s="67">
        <f>COUNTIF(Documentos!A:A,A444&amp;"Decreto")</f>
        <v>0</v>
      </c>
      <c r="U44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4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4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45" spans="1:26" x14ac:dyDescent="0.25">
      <c r="A445" s="19">
        <v>443</v>
      </c>
      <c r="B445" s="122"/>
      <c r="C445" s="13"/>
      <c r="D445" s="13"/>
      <c r="E445" s="6"/>
      <c r="F445" s="65">
        <f>COUNTIF(Documentos!A:A,A445&amp;"Oficio_Solicitud")</f>
        <v>1</v>
      </c>
      <c r="G44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2461 APR</v>
      </c>
      <c r="H44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4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4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4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4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45" s="75">
        <f>COUNTIF(Documentos!A:A,A445&amp;"Proposicion")</f>
        <v>0</v>
      </c>
      <c r="N44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4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4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4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4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4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45" s="67">
        <f>COUNTIF(Documentos!A:A,A445&amp;"Decreto")</f>
        <v>0</v>
      </c>
      <c r="U44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4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4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46" spans="1:26" x14ac:dyDescent="0.25">
      <c r="A446" s="19">
        <v>444</v>
      </c>
      <c r="B446" s="122"/>
      <c r="C446" s="13"/>
      <c r="D446" s="13"/>
      <c r="E446" s="6"/>
      <c r="F446" s="65">
        <f>COUNTIF(Documentos!A:A,A446&amp;"Oficio_Solicitud")</f>
        <v>1</v>
      </c>
      <c r="G44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9000 DV</v>
      </c>
      <c r="H44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4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4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4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4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46" s="75">
        <f>COUNTIF(Documentos!A:A,A446&amp;"Proposicion")</f>
        <v>1</v>
      </c>
      <c r="N44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626 DV</v>
      </c>
      <c r="O44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4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4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4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4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46" s="67">
        <f>COUNTIF(Documentos!A:A,A446&amp;"Decreto")</f>
        <v>0</v>
      </c>
      <c r="U44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4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4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47" spans="1:26" ht="56.25" x14ac:dyDescent="0.25">
      <c r="A447" s="19">
        <v>445</v>
      </c>
      <c r="B447" s="122" t="s">
        <v>1217</v>
      </c>
      <c r="C447" s="13"/>
      <c r="D447" s="13"/>
      <c r="E447" s="6"/>
      <c r="F447" s="65">
        <f>COUNTIF(Documentos!A:A,A447&amp;"Oficio_Solicitud")</f>
        <v>1</v>
      </c>
      <c r="G44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898 DGC</v>
      </c>
      <c r="H44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4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4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4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4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47" s="75">
        <f>COUNTIF(Documentos!A:A,A447&amp;"Proposicion")</f>
        <v>1</v>
      </c>
      <c r="N44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621 DGC</v>
      </c>
      <c r="O44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4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4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4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4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47" s="67">
        <f>COUNTIF(Documentos!A:A,A447&amp;"Decreto")</f>
        <v>1</v>
      </c>
      <c r="U44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1872 DGC</v>
      </c>
      <c r="V44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4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48" spans="1:26" ht="33.75" x14ac:dyDescent="0.25">
      <c r="A448" s="19">
        <v>446</v>
      </c>
      <c r="B448" s="122" t="s">
        <v>1218</v>
      </c>
      <c r="C448" s="13"/>
      <c r="D448" s="13"/>
      <c r="E448" s="6"/>
      <c r="F448" s="65">
        <f>COUNTIF(Documentos!A:A,A448&amp;"Oficio_Solicitud")</f>
        <v>1</v>
      </c>
      <c r="G44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741 DOP</v>
      </c>
      <c r="H44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4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4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4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4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48" s="75">
        <f>COUNTIF(Documentos!A:A,A448&amp;"Proposicion")</f>
        <v>1</v>
      </c>
      <c r="N44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707 DOP</v>
      </c>
      <c r="O44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4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4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4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4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48" s="67">
        <f>COUNTIF(Documentos!A:A,A448&amp;"Decreto")</f>
        <v>0</v>
      </c>
      <c r="U44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4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4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49" spans="1:26" x14ac:dyDescent="0.25">
      <c r="A449" s="19">
        <v>447</v>
      </c>
      <c r="B449" s="122"/>
      <c r="C449" s="13"/>
      <c r="D449" s="13"/>
      <c r="E449" s="6"/>
      <c r="F449" s="65">
        <f>COUNTIF(Documentos!A:A,A449&amp;"Oficio_Solicitud")</f>
        <v>1</v>
      </c>
      <c r="G44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2491 DOH</v>
      </c>
      <c r="H44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4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4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4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4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49" s="75">
        <f>COUNTIF(Documentos!A:A,A449&amp;"Proposicion")</f>
        <v>1</v>
      </c>
      <c r="N44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699 DOH</v>
      </c>
      <c r="O44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4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4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4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4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49" s="67">
        <f>COUNTIF(Documentos!A:A,A449&amp;"Decreto")</f>
        <v>0</v>
      </c>
      <c r="U44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4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4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50" spans="1:26" x14ac:dyDescent="0.25">
      <c r="A450" s="19">
        <v>448</v>
      </c>
      <c r="B450" s="122"/>
      <c r="C450" s="13"/>
      <c r="D450" s="13"/>
      <c r="E450" s="6"/>
      <c r="F450" s="65">
        <f>COUNTIF(Documentos!A:A,A450&amp;"Oficio_Solicitud")</f>
        <v>1</v>
      </c>
      <c r="G45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2492 APR</v>
      </c>
      <c r="H45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5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5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5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5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50" s="75">
        <f>COUNTIF(Documentos!A:A,A450&amp;"Proposicion")</f>
        <v>1</v>
      </c>
      <c r="N45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739 APR</v>
      </c>
      <c r="O45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5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5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5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5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50" s="67">
        <f>COUNTIF(Documentos!A:A,A450&amp;"Decreto")</f>
        <v>1</v>
      </c>
      <c r="U45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1937 APR</v>
      </c>
      <c r="V45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5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51" spans="1:26" x14ac:dyDescent="0.25">
      <c r="A451" s="19">
        <v>449</v>
      </c>
      <c r="B451" s="122"/>
      <c r="C451" s="13"/>
      <c r="D451" s="13"/>
      <c r="E451" s="6"/>
      <c r="F451" s="65">
        <f>COUNTIF(Documentos!A:A,A451&amp;"Oficio_Solicitud")</f>
        <v>1</v>
      </c>
      <c r="G45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135 INH</v>
      </c>
      <c r="H45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5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5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5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5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51" s="75">
        <f>COUNTIF(Documentos!A:A,A451&amp;"Proposicion")</f>
        <v>1</v>
      </c>
      <c r="N45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625 INH</v>
      </c>
      <c r="O45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5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5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5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5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51" s="67">
        <f>COUNTIF(Documentos!A:A,A451&amp;"Decreto")</f>
        <v>0</v>
      </c>
      <c r="U45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5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5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52" spans="1:26" x14ac:dyDescent="0.25">
      <c r="A452" s="19">
        <v>450</v>
      </c>
      <c r="B452" s="122"/>
      <c r="C452" s="13"/>
      <c r="D452" s="13"/>
      <c r="E452" s="6"/>
      <c r="F452" s="65">
        <f>COUNTIF(Documentos!A:A,A452&amp;"Oficio_Solicitud")</f>
        <v>0</v>
      </c>
      <c r="G45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5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5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5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5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5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52" s="75">
        <f>COUNTIF(Documentos!A:A,A452&amp;"Proposicion")</f>
        <v>0</v>
      </c>
      <c r="N45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5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5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5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5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5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52" s="67">
        <f>COUNTIF(Documentos!A:A,A452&amp;"Decreto")</f>
        <v>1</v>
      </c>
      <c r="U45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1599 MOP</v>
      </c>
      <c r="V45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5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53" spans="1:26" x14ac:dyDescent="0.25">
      <c r="A453" s="19">
        <v>451</v>
      </c>
      <c r="B453" s="122"/>
      <c r="C453" s="13"/>
      <c r="D453" s="13"/>
      <c r="E453" s="6"/>
      <c r="F453" s="65">
        <f>COUNTIF(Documentos!A:A,A453&amp;"Oficio_Solicitud")</f>
        <v>1</v>
      </c>
      <c r="G45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1075 DA</v>
      </c>
      <c r="H45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5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5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5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5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53" s="75">
        <f>COUNTIF(Documentos!A:A,A453&amp;"Proposicion")</f>
        <v>1</v>
      </c>
      <c r="N45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631 DA</v>
      </c>
      <c r="O45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5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5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5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5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53" s="67">
        <f>COUNTIF(Documentos!A:A,A453&amp;"Decreto")</f>
        <v>0</v>
      </c>
      <c r="U45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5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5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54" spans="1:26" x14ac:dyDescent="0.25">
      <c r="A454" s="19">
        <v>452</v>
      </c>
      <c r="B454" s="122" t="s">
        <v>1219</v>
      </c>
      <c r="C454" s="13"/>
      <c r="D454" s="13"/>
      <c r="E454" s="6"/>
      <c r="F454" s="65">
        <f>COUNTIF(Documentos!A:A,A454&amp;"Oficio_Solicitud")</f>
        <v>1</v>
      </c>
      <c r="G45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141 INH</v>
      </c>
      <c r="H45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5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5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5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5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54" s="75">
        <f>COUNTIF(Documentos!A:A,A454&amp;"Proposicion")</f>
        <v>0</v>
      </c>
      <c r="N45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5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5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5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5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5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54" s="67">
        <f>COUNTIF(Documentos!A:A,A454&amp;"Decreto")</f>
        <v>0</v>
      </c>
      <c r="U45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5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5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55" spans="1:26" x14ac:dyDescent="0.25">
      <c r="A455" s="19">
        <v>453</v>
      </c>
      <c r="B455" s="122"/>
      <c r="C455" s="13"/>
      <c r="D455" s="13"/>
      <c r="E455" s="6"/>
      <c r="F455" s="65">
        <f>COUNTIF(Documentos!A:A,A455&amp;"Oficio_Solicitud")</f>
        <v>1</v>
      </c>
      <c r="G45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50 DP</v>
      </c>
      <c r="H45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5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5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5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5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55" s="75">
        <f>COUNTIF(Documentos!A:A,A455&amp;"Proposicion")</f>
        <v>1</v>
      </c>
      <c r="N45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709 DP</v>
      </c>
      <c r="O45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5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5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5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5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55" s="67">
        <f>COUNTIF(Documentos!A:A,A455&amp;"Decreto")</f>
        <v>1</v>
      </c>
      <c r="U45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1879 DP</v>
      </c>
      <c r="V45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5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56" spans="1:26" x14ac:dyDescent="0.25">
      <c r="A456" s="19">
        <v>454</v>
      </c>
      <c r="B456" s="122"/>
      <c r="C456" s="13"/>
      <c r="D456" s="13"/>
      <c r="E456" s="6"/>
      <c r="F456" s="65">
        <f>COUNTIF(Documentos!A:A,A456&amp;"Oficio_Solicitud")</f>
        <v>1</v>
      </c>
      <c r="G45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762 DOP</v>
      </c>
      <c r="H45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5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5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5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5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56" s="75">
        <f>COUNTIF(Documentos!A:A,A456&amp;"Proposicion")</f>
        <v>1</v>
      </c>
      <c r="N45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737 DOP</v>
      </c>
      <c r="O45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5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5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5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5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56" s="67">
        <f>COUNTIF(Documentos!A:A,A456&amp;"Decreto")</f>
        <v>0</v>
      </c>
      <c r="U45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5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5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57" spans="1:26" x14ac:dyDescent="0.25">
      <c r="A457" s="19">
        <v>455</v>
      </c>
      <c r="B457" s="122"/>
      <c r="C457" s="13"/>
      <c r="D457" s="13"/>
      <c r="E457" s="6"/>
      <c r="F457" s="65">
        <f>COUNTIF(Documentos!A:A,A457&amp;"Oficio_Solicitud")</f>
        <v>0</v>
      </c>
      <c r="G45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5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5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5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5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5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57" s="75">
        <f>COUNTIF(Documentos!A:A,A457&amp;"Proposicion")</f>
        <v>0</v>
      </c>
      <c r="N45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5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5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5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5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5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57" s="67">
        <f>COUNTIF(Documentos!A:A,A457&amp;"Decreto")</f>
        <v>1</v>
      </c>
      <c r="U45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1645 DV-DOP</v>
      </c>
      <c r="V45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5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58" spans="1:26" x14ac:dyDescent="0.25">
      <c r="A458" s="19">
        <v>456</v>
      </c>
      <c r="B458" s="122"/>
      <c r="C458" s="13"/>
      <c r="D458" s="13"/>
      <c r="E458" s="6"/>
      <c r="F458" s="65">
        <f>COUNTIF(Documentos!A:A,A458&amp;"Oficio_Solicitud")</f>
        <v>0</v>
      </c>
      <c r="G45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5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5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5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5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5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58" s="75">
        <f>COUNTIF(Documentos!A:A,A458&amp;"Proposicion")</f>
        <v>0</v>
      </c>
      <c r="N45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5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5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5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5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5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58" s="67">
        <f>COUNTIF(Documentos!A:A,A458&amp;"Decreto")</f>
        <v>0</v>
      </c>
      <c r="U45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5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5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59" spans="1:26" x14ac:dyDescent="0.25">
      <c r="A459" s="19">
        <v>457</v>
      </c>
      <c r="B459" s="122"/>
      <c r="C459" s="13"/>
      <c r="D459" s="13"/>
      <c r="E459" s="6"/>
      <c r="F459" s="65">
        <f>COUNTIF(Documentos!A:A,A459&amp;"Oficio_Solicitud")</f>
        <v>1</v>
      </c>
      <c r="G45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1959 APR</v>
      </c>
      <c r="H45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5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5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5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5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59" s="75">
        <f>COUNTIF(Documentos!A:A,A459&amp;"Proposicion")</f>
        <v>1</v>
      </c>
      <c r="N45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584 APR</v>
      </c>
      <c r="O45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5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5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5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5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59" s="67">
        <f>COUNTIF(Documentos!A:A,A459&amp;"Decreto")</f>
        <v>1</v>
      </c>
      <c r="U45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1633 APR</v>
      </c>
      <c r="V45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5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60" spans="1:26" x14ac:dyDescent="0.25">
      <c r="A460" s="19">
        <v>458</v>
      </c>
      <c r="B460" s="122"/>
      <c r="C460" s="13"/>
      <c r="D460" s="13"/>
      <c r="E460" s="6"/>
      <c r="F460" s="65">
        <f>COUNTIF(Documentos!A:A,A460&amp;"Oficio_Solicitud")</f>
        <v>1</v>
      </c>
      <c r="G46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2558 DOH</v>
      </c>
      <c r="H46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6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6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6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6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60" s="75">
        <f>COUNTIF(Documentos!A:A,A460&amp;"Proposicion")</f>
        <v>1</v>
      </c>
      <c r="N46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782 DOH</v>
      </c>
      <c r="O46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6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6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6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6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60" s="67">
        <f>COUNTIF(Documentos!A:A,A460&amp;"Decreto")</f>
        <v>0</v>
      </c>
      <c r="U46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6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6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61" spans="1:26" x14ac:dyDescent="0.25">
      <c r="A461" s="19">
        <v>459</v>
      </c>
      <c r="B461" s="122"/>
      <c r="C461" s="13"/>
      <c r="D461" s="13"/>
      <c r="E461" s="6"/>
      <c r="F461" s="65">
        <f>COUNTIF(Documentos!A:A,A461&amp;"Oficio_Solicitud")</f>
        <v>1</v>
      </c>
      <c r="G46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2559 DOH</v>
      </c>
      <c r="H46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6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6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6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6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61" s="75">
        <f>COUNTIF(Documentos!A:A,A461&amp;"Proposicion")</f>
        <v>1</v>
      </c>
      <c r="N46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760 DOH</v>
      </c>
      <c r="O46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6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6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6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6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61" s="67">
        <f>COUNTIF(Documentos!A:A,A461&amp;"Decreto")</f>
        <v>0</v>
      </c>
      <c r="U46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6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6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62" spans="1:26" x14ac:dyDescent="0.25">
      <c r="A462" s="19">
        <v>460</v>
      </c>
      <c r="B462" s="122"/>
      <c r="C462" s="13"/>
      <c r="D462" s="13"/>
      <c r="E462" s="6"/>
      <c r="F462" s="65">
        <f>COUNTIF(Documentos!A:A,A462&amp;"Oficio_Solicitud")</f>
        <v>1</v>
      </c>
      <c r="G46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993 DA-DV</v>
      </c>
      <c r="H46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6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6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6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6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62" s="75">
        <f>COUNTIF(Documentos!A:A,A462&amp;"Proposicion")</f>
        <v>1</v>
      </c>
      <c r="N46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580 DA-DV</v>
      </c>
      <c r="O46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6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6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6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6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62" s="67">
        <f>COUNTIF(Documentos!A:A,A462&amp;"Decreto")</f>
        <v>1</v>
      </c>
      <c r="U46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1647 DA-DV</v>
      </c>
      <c r="V46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6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63" spans="1:26" ht="56.25" x14ac:dyDescent="0.25">
      <c r="A463" s="19">
        <v>461</v>
      </c>
      <c r="B463" s="121" t="s">
        <v>1220</v>
      </c>
      <c r="C463" s="12"/>
      <c r="D463" s="12"/>
      <c r="E463" s="6"/>
      <c r="F463" s="65">
        <f>COUNTIF(Documentos!A:A,A463&amp;"Oficio_Solicitud")</f>
        <v>1</v>
      </c>
      <c r="G46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7638 DV</v>
      </c>
      <c r="H46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6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6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6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6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63" s="75">
        <f>COUNTIF(Documentos!A:A,A463&amp;"Proposicion")</f>
        <v>1</v>
      </c>
      <c r="N46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570 DV</v>
      </c>
      <c r="O46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6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6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6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6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63" s="67">
        <f>COUNTIF(Documentos!A:A,A463&amp;"Decreto")</f>
        <v>1</v>
      </c>
      <c r="U46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1717 DV</v>
      </c>
      <c r="V46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6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64" spans="1:26" ht="22.5" x14ac:dyDescent="0.25">
      <c r="A464" s="19">
        <v>462</v>
      </c>
      <c r="B464" s="121" t="s">
        <v>1221</v>
      </c>
      <c r="C464" s="12"/>
      <c r="D464" s="12"/>
      <c r="E464" s="6"/>
      <c r="F464" s="65">
        <f>COUNTIF(Documentos!A:A,A464&amp;"Oficio_Solicitud")</f>
        <v>0</v>
      </c>
      <c r="G46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6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6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6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6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6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64" s="75">
        <f>COUNTIF(Documentos!A:A,A464&amp;"Proposicion")</f>
        <v>1</v>
      </c>
      <c r="N46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582 DV</v>
      </c>
      <c r="O46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6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6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6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6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64" s="67">
        <f>COUNTIF(Documentos!A:A,A464&amp;"Decreto")</f>
        <v>1</v>
      </c>
      <c r="U46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1730 DV</v>
      </c>
      <c r="V46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6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65" spans="1:26" ht="157.5" x14ac:dyDescent="0.25">
      <c r="A465" s="19">
        <v>463</v>
      </c>
      <c r="B465" s="121" t="s">
        <v>1222</v>
      </c>
      <c r="C465" s="12"/>
      <c r="D465" s="12"/>
      <c r="E465" s="6"/>
      <c r="F465" s="65">
        <f>COUNTIF(Documentos!A:A,A465&amp;"Oficio_Solicitud")</f>
        <v>1</v>
      </c>
      <c r="G46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9653 DV</v>
      </c>
      <c r="H46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6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6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6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6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65" s="75">
        <f>COUNTIF(Documentos!A:A,A465&amp;"Proposicion")</f>
        <v>1</v>
      </c>
      <c r="N46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776 DV</v>
      </c>
      <c r="O46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6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6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6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6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65" s="67">
        <f>COUNTIF(Documentos!A:A,A465&amp;"Decreto")</f>
        <v>0</v>
      </c>
      <c r="U46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6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6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66" spans="1:26" ht="101.25" x14ac:dyDescent="0.25">
      <c r="A466" s="19">
        <v>464</v>
      </c>
      <c r="B466" s="121" t="s">
        <v>1223</v>
      </c>
      <c r="C466" s="12"/>
      <c r="D466" s="12"/>
      <c r="E466" s="6"/>
      <c r="F466" s="65">
        <f>COUNTIF(Documentos!A:A,A466&amp;"Oficio_Solicitud")</f>
        <v>1</v>
      </c>
      <c r="G46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9653 DV_FETCovid19</v>
      </c>
      <c r="H46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6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6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6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6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66" s="75">
        <f>COUNTIF(Documentos!A:A,A466&amp;"Proposicion")</f>
        <v>1</v>
      </c>
      <c r="N46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754 DV_FETCovid19</v>
      </c>
      <c r="O46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6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6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6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6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66" s="67">
        <f>COUNTIF(Documentos!A:A,A466&amp;"Decreto")</f>
        <v>0</v>
      </c>
      <c r="U46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6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6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67" spans="1:26" x14ac:dyDescent="0.25">
      <c r="A467" s="19">
        <v>465</v>
      </c>
      <c r="B467" s="122"/>
      <c r="C467" s="13"/>
      <c r="D467" s="13"/>
      <c r="E467" s="6"/>
      <c r="F467" s="65">
        <f>COUNTIF(Documentos!A:A,A467&amp;"Oficio_Solicitud")</f>
        <v>0</v>
      </c>
      <c r="G46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6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6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6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6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6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67" s="75">
        <f>COUNTIF(Documentos!A:A,A467&amp;"Proposicion")</f>
        <v>0</v>
      </c>
      <c r="N46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6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6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6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6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6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67" s="67">
        <f>COUNTIF(Documentos!A:A,A467&amp;"Decreto")</f>
        <v>0</v>
      </c>
      <c r="U46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6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6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68" spans="1:26" x14ac:dyDescent="0.25">
      <c r="A468" s="19">
        <v>466</v>
      </c>
      <c r="B468" s="122" t="s">
        <v>1224</v>
      </c>
      <c r="C468" s="13"/>
      <c r="D468" s="13"/>
      <c r="E468" s="6"/>
      <c r="F468" s="65">
        <f>COUNTIF(Documentos!A:A,A468&amp;"Oficio_Solicitud")</f>
        <v>0</v>
      </c>
      <c r="G46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6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6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6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6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6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68" s="75">
        <f>COUNTIF(Documentos!A:A,A468&amp;"Proposicion")</f>
        <v>0</v>
      </c>
      <c r="N46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6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6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6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6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6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68" s="67">
        <f>COUNTIF(Documentos!A:A,A468&amp;"Decreto")</f>
        <v>0</v>
      </c>
      <c r="U46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6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6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69" spans="1:26" x14ac:dyDescent="0.25">
      <c r="A469" s="19">
        <v>467</v>
      </c>
      <c r="B469" s="122" t="s">
        <v>1141</v>
      </c>
      <c r="C469" s="13">
        <v>44848</v>
      </c>
      <c r="D469" s="13"/>
      <c r="E469" s="6"/>
      <c r="F469" s="65">
        <f>COUNTIF(Documentos!A:A,A469&amp;"Oficio_Solicitud")</f>
        <v>1</v>
      </c>
      <c r="G46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652 DCyF</v>
      </c>
      <c r="H46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6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6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6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6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69" s="75">
        <f>COUNTIF(Documentos!A:A,A469&amp;"Proposicion")</f>
        <v>0</v>
      </c>
      <c r="N46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6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6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6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6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6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69" s="67">
        <f>COUNTIF(Documentos!A:A,A469&amp;"Decreto")</f>
        <v>0</v>
      </c>
      <c r="U46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6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6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70" spans="1:26" x14ac:dyDescent="0.25">
      <c r="A470" s="19">
        <v>468</v>
      </c>
      <c r="B470" s="122"/>
      <c r="C470" s="13"/>
      <c r="D470" s="13"/>
      <c r="E470" s="6"/>
      <c r="F470" s="65">
        <f>COUNTIF(Documentos!A:A,A470&amp;"Oficio_Solicitud")</f>
        <v>1</v>
      </c>
      <c r="G47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434 DGA</v>
      </c>
      <c r="H47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7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7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7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7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70" s="75">
        <f>COUNTIF(Documentos!A:A,A470&amp;"Proposicion")</f>
        <v>1</v>
      </c>
      <c r="N47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726 DGA</v>
      </c>
      <c r="O47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7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7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7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7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70" s="67">
        <f>COUNTIF(Documentos!A:A,A470&amp;"Decreto")</f>
        <v>0</v>
      </c>
      <c r="U47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7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7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71" spans="1:26" x14ac:dyDescent="0.25">
      <c r="A471" s="19">
        <v>469</v>
      </c>
      <c r="B471" s="122"/>
      <c r="C471" s="13"/>
      <c r="D471" s="13"/>
      <c r="E471" s="6"/>
      <c r="F471" s="65">
        <f>COUNTIF(Documentos!A:A,A471&amp;"Oficio_Solicitud")</f>
        <v>0</v>
      </c>
      <c r="G47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7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7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7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7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7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71" s="75">
        <f>COUNTIF(Documentos!A:A,A471&amp;"Proposicion")</f>
        <v>0</v>
      </c>
      <c r="N47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7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7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7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7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7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71" s="67">
        <f>COUNTIF(Documentos!A:A,A471&amp;"Decreto")</f>
        <v>1</v>
      </c>
      <c r="U47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1699 MOP</v>
      </c>
      <c r="V47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7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72" spans="1:26" x14ac:dyDescent="0.25">
      <c r="A472" s="19">
        <v>470</v>
      </c>
      <c r="B472" s="122"/>
      <c r="C472" s="13"/>
      <c r="D472" s="13"/>
      <c r="E472" s="6"/>
      <c r="F472" s="65">
        <f>COUNTIF(Documentos!A:A,A472&amp;"Oficio_Solicitud")</f>
        <v>1</v>
      </c>
      <c r="G47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932 DGC</v>
      </c>
      <c r="H47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7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7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7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7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72" s="75">
        <f>COUNTIF(Documentos!A:A,A472&amp;"Proposicion")</f>
        <v>1</v>
      </c>
      <c r="N47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655 DGC</v>
      </c>
      <c r="O47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7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7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7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7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72" s="67">
        <f>COUNTIF(Documentos!A:A,A472&amp;"Decreto")</f>
        <v>0</v>
      </c>
      <c r="U47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7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7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73" spans="1:26" x14ac:dyDescent="0.25">
      <c r="A473" s="19">
        <v>471</v>
      </c>
      <c r="B473" s="122"/>
      <c r="C473" s="13"/>
      <c r="D473" s="13"/>
      <c r="E473" s="6"/>
      <c r="F473" s="65">
        <f>COUNTIF(Documentos!A:A,A473&amp;"Oficio_Solicitud")</f>
        <v>1</v>
      </c>
      <c r="G47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565 DAP_FETCovid19</v>
      </c>
      <c r="H47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7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7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7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7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73" s="75">
        <f>COUNTIF(Documentos!A:A,A473&amp;"Proposicion")</f>
        <v>1</v>
      </c>
      <c r="N47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738 DAP_FETCovid19</v>
      </c>
      <c r="O47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7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7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7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7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73" s="67">
        <f>COUNTIF(Documentos!A:A,A473&amp;"Decreto")</f>
        <v>0</v>
      </c>
      <c r="U47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7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7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74" spans="1:26" x14ac:dyDescent="0.25">
      <c r="A474" s="19">
        <v>472</v>
      </c>
      <c r="B474" s="122" t="s">
        <v>1255</v>
      </c>
      <c r="C474" s="17"/>
      <c r="D474" s="13">
        <v>44853</v>
      </c>
      <c r="E474" s="6"/>
      <c r="F474" s="65">
        <f>COUNTIF(Documentos!A:A,A474&amp;"Oficio_Solicitud")</f>
        <v>1</v>
      </c>
      <c r="G47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3147 SISS</v>
      </c>
      <c r="H47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7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7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7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7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74" s="75">
        <f>COUNTIF(Documentos!A:A,A474&amp;"Proposicion")</f>
        <v>0</v>
      </c>
      <c r="N47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7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7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7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7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7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74" s="67">
        <f>COUNTIF(Documentos!A:A,A474&amp;"Decreto")</f>
        <v>0</v>
      </c>
      <c r="U47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7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7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75" spans="1:26" x14ac:dyDescent="0.25">
      <c r="A475" s="19">
        <v>473</v>
      </c>
      <c r="B475" s="122"/>
      <c r="C475" s="13"/>
      <c r="D475" s="13"/>
      <c r="E475" s="6"/>
      <c r="F475" s="65">
        <f>COUNTIF(Documentos!A:A,A475&amp;"Oficio_Solicitud")</f>
        <v>1</v>
      </c>
      <c r="G47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15 DGOP</v>
      </c>
      <c r="H47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7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7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7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7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75" s="75">
        <f>COUNTIF(Documentos!A:A,A475&amp;"Proposicion")</f>
        <v>1</v>
      </c>
      <c r="N47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728 DGOP</v>
      </c>
      <c r="O47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7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7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7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7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75" s="67">
        <f>COUNTIF(Documentos!A:A,A475&amp;"Decreto")</f>
        <v>1</v>
      </c>
      <c r="U47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1895 DGOP</v>
      </c>
      <c r="V47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7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76" spans="1:26" x14ac:dyDescent="0.25">
      <c r="A476" s="19">
        <v>474</v>
      </c>
      <c r="B476" s="122"/>
      <c r="C476" s="13"/>
      <c r="D476" s="13"/>
      <c r="E476" s="6"/>
      <c r="F476" s="65">
        <f>COUNTIF(Documentos!A:A,A476&amp;"Oficio_Solicitud")</f>
        <v>1</v>
      </c>
      <c r="G47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568 DAP</v>
      </c>
      <c r="H47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7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7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7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7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76" s="75">
        <f>COUNTIF(Documentos!A:A,A476&amp;"Proposicion")</f>
        <v>1</v>
      </c>
      <c r="N47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756 DAP</v>
      </c>
      <c r="O47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7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7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7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7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76" s="67">
        <f>COUNTIF(Documentos!A:A,A476&amp;"Decreto")</f>
        <v>0</v>
      </c>
      <c r="U47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7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7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77" spans="1:26" x14ac:dyDescent="0.25">
      <c r="A477" s="19">
        <v>475</v>
      </c>
      <c r="B477" s="122"/>
      <c r="C477" s="13"/>
      <c r="D477" s="13"/>
      <c r="E477" s="6"/>
      <c r="F477" s="65">
        <f>COUNTIF(Documentos!A:A,A477&amp;"Oficio_Solicitud")</f>
        <v>0</v>
      </c>
      <c r="G47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7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7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7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7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7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77" s="75">
        <f>COUNTIF(Documentos!A:A,A477&amp;"Proposicion")</f>
        <v>1</v>
      </c>
      <c r="N47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625 INH</v>
      </c>
      <c r="O47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7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7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7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7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77" s="67">
        <f>COUNTIF(Documentos!A:A,A477&amp;"Decreto")</f>
        <v>1</v>
      </c>
      <c r="U47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1807 INH</v>
      </c>
      <c r="V47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7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78" spans="1:26" x14ac:dyDescent="0.25">
      <c r="A478" s="19">
        <v>476</v>
      </c>
      <c r="B478" s="122"/>
      <c r="C478" s="13"/>
      <c r="D478" s="13"/>
      <c r="E478" s="6"/>
      <c r="F478" s="65">
        <f>COUNTIF(Documentos!A:A,A478&amp;"Oficio_Solicitud")</f>
        <v>1</v>
      </c>
      <c r="G47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685 DP</v>
      </c>
      <c r="H47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7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7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7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7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78" s="75">
        <f>COUNTIF(Documentos!A:A,A478&amp;"Proposicion")</f>
        <v>1</v>
      </c>
      <c r="N47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667 DP</v>
      </c>
      <c r="O47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7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7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7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7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78" s="67">
        <f>COUNTIF(Documentos!A:A,A478&amp;"Decreto")</f>
        <v>0</v>
      </c>
      <c r="U47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7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7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79" spans="1:26" x14ac:dyDescent="0.25">
      <c r="A479" s="19">
        <v>477</v>
      </c>
      <c r="B479" s="122"/>
      <c r="C479" s="13"/>
      <c r="D479" s="13"/>
      <c r="E479" s="6"/>
      <c r="F479" s="65">
        <f>COUNTIF(Documentos!A:A,A479&amp;"Oficio_Solicitud")</f>
        <v>2</v>
      </c>
      <c r="G47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1142 DA</v>
      </c>
      <c r="H47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1158 DA</v>
      </c>
      <c r="I47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7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7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7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79" s="75">
        <f>COUNTIF(Documentos!A:A,A479&amp;"Proposicion")</f>
        <v>1</v>
      </c>
      <c r="N47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769 DA</v>
      </c>
      <c r="O47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7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7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7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7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79" s="67">
        <f>COUNTIF(Documentos!A:A,A479&amp;"Decreto")</f>
        <v>0</v>
      </c>
      <c r="U47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7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7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80" spans="1:26" x14ac:dyDescent="0.25">
      <c r="A480" s="19">
        <v>478</v>
      </c>
      <c r="B480" s="122"/>
      <c r="C480" s="13"/>
      <c r="D480" s="13"/>
      <c r="E480" s="6"/>
      <c r="F480" s="65">
        <f>COUNTIF(Documentos!A:A,A480&amp;"Oficio_Solicitud")</f>
        <v>0</v>
      </c>
      <c r="G48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48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8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8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8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8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80" s="75">
        <f>COUNTIF(Documentos!A:A,A480&amp;"Proposicion")</f>
        <v>0</v>
      </c>
      <c r="N48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8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8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8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8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8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80" s="67">
        <f>COUNTIF(Documentos!A:A,A480&amp;"Decreto")</f>
        <v>0</v>
      </c>
      <c r="U48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8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8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81" spans="1:26" x14ac:dyDescent="0.25">
      <c r="A481" s="19">
        <v>479</v>
      </c>
      <c r="B481" s="122"/>
      <c r="C481" s="13"/>
      <c r="D481" s="13"/>
      <c r="E481" s="6"/>
      <c r="F481" s="65">
        <f>COUNTIF(Documentos!A:A,A481&amp;"Oficio_Solicitud")</f>
        <v>1</v>
      </c>
      <c r="G48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994 DGC</v>
      </c>
      <c r="H48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8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8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8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8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81" s="75">
        <f>COUNTIF(Documentos!A:A,A481&amp;"Proposicion")</f>
        <v>1</v>
      </c>
      <c r="N48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770 DGC</v>
      </c>
      <c r="O48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8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8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8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8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81" s="67">
        <f>COUNTIF(Documentos!A:A,A481&amp;"Decreto")</f>
        <v>0</v>
      </c>
      <c r="U48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8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8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82" spans="1:26" ht="90" x14ac:dyDescent="0.25">
      <c r="A482" s="19">
        <v>480</v>
      </c>
      <c r="B482" s="121" t="s">
        <v>1225</v>
      </c>
      <c r="C482" s="12"/>
      <c r="D482" s="12"/>
      <c r="E482" s="6"/>
      <c r="F482" s="65">
        <f>COUNTIF(Documentos!A:A,A482&amp;"Oficio_Solicitud")</f>
        <v>1</v>
      </c>
      <c r="G48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9909 DV</v>
      </c>
      <c r="H48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8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8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8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8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82" s="75">
        <f>COUNTIF(Documentos!A:A,A482&amp;"Proposicion")</f>
        <v>1</v>
      </c>
      <c r="N48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768 DV</v>
      </c>
      <c r="O48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8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8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8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8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82" s="67">
        <f>COUNTIF(Documentos!A:A,A482&amp;"Decreto")</f>
        <v>0</v>
      </c>
      <c r="U48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8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8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83" spans="1:26" ht="90" x14ac:dyDescent="0.25">
      <c r="A483" s="19">
        <v>481</v>
      </c>
      <c r="B483" s="121" t="s">
        <v>1226</v>
      </c>
      <c r="C483" s="12"/>
      <c r="D483" s="12"/>
      <c r="E483" s="6"/>
      <c r="F483" s="65">
        <f>COUNTIF(Documentos!A:A,A483&amp;"Oficio_Solicitud")</f>
        <v>1</v>
      </c>
      <c r="G48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9909 DV_FETCovid19</v>
      </c>
      <c r="H48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8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8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8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8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83" s="75">
        <f>COUNTIF(Documentos!A:A,A483&amp;"Proposicion")</f>
        <v>1</v>
      </c>
      <c r="N48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784 DV_FETCovid19</v>
      </c>
      <c r="O48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8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8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8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8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83" s="67">
        <f>COUNTIF(Documentos!A:A,A483&amp;"Decreto")</f>
        <v>0</v>
      </c>
      <c r="U48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8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8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84" spans="1:26" x14ac:dyDescent="0.25">
      <c r="A484" s="19">
        <v>482</v>
      </c>
      <c r="B484" s="122" t="s">
        <v>1227</v>
      </c>
      <c r="C484" s="13"/>
      <c r="D484" s="13"/>
      <c r="E484" s="6"/>
      <c r="F484" s="65">
        <f>COUNTIF(Documentos!A:A,A484&amp;"Oficio_Solicitud")</f>
        <v>1</v>
      </c>
      <c r="G48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2638 DOH_FETCovid19</v>
      </c>
      <c r="H48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8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8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8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8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84" s="75">
        <f>COUNTIF(Documentos!A:A,A484&amp;"Proposicion")</f>
        <v>1</v>
      </c>
      <c r="N48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783 DOH_FETCovid19</v>
      </c>
      <c r="O48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8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8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8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8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84" s="67">
        <f>COUNTIF(Documentos!A:A,A484&amp;"Decreto")</f>
        <v>0</v>
      </c>
      <c r="U48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8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8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85" spans="1:26" x14ac:dyDescent="0.25">
      <c r="A485" s="19">
        <v>483</v>
      </c>
      <c r="B485" s="122" t="s">
        <v>1227</v>
      </c>
      <c r="C485" s="13"/>
      <c r="D485" s="13"/>
      <c r="E485" s="6"/>
      <c r="F485" s="65">
        <f>COUNTIF(Documentos!A:A,A485&amp;"Oficio_Solicitud")</f>
        <v>1</v>
      </c>
      <c r="G48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2639 DOH</v>
      </c>
      <c r="H48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8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8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8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8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85" s="75">
        <f>COUNTIF(Documentos!A:A,A485&amp;"Proposicion")</f>
        <v>1</v>
      </c>
      <c r="N48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778 DOH</v>
      </c>
      <c r="O48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8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8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8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8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85" s="67">
        <f>COUNTIF(Documentos!A:A,A485&amp;"Decreto")</f>
        <v>0</v>
      </c>
      <c r="U48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8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8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86" spans="1:26" x14ac:dyDescent="0.25">
      <c r="A486" s="19">
        <v>484</v>
      </c>
      <c r="B486" s="122"/>
      <c r="C486" s="13"/>
      <c r="D486" s="13"/>
      <c r="E486" s="6"/>
      <c r="F486" s="65">
        <f>COUNTIF(Documentos!A:A,A486&amp;"Oficio_Solicitud")</f>
        <v>1</v>
      </c>
      <c r="G48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2662 APR</v>
      </c>
      <c r="H48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8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8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8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8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86" s="75">
        <f>COUNTIF(Documentos!A:A,A486&amp;"Proposicion")</f>
        <v>1</v>
      </c>
      <c r="N48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779 APR</v>
      </c>
      <c r="O48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8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8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8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8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86" s="67">
        <f>COUNTIF(Documentos!A:A,A486&amp;"Decreto")</f>
        <v>0</v>
      </c>
      <c r="U48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8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8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87" spans="1:26" x14ac:dyDescent="0.25">
      <c r="A487" s="19">
        <v>485</v>
      </c>
      <c r="B487" s="122" t="s">
        <v>1227</v>
      </c>
      <c r="C487" s="13"/>
      <c r="D487" s="13"/>
      <c r="E487" s="6"/>
      <c r="F487" s="65">
        <f>COUNTIF(Documentos!A:A,A487&amp;"Oficio_Solicitud")</f>
        <v>1</v>
      </c>
      <c r="G48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2663 APR_FETCovid19</v>
      </c>
      <c r="H48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8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8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8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8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87" s="75">
        <f>COUNTIF(Documentos!A:A,A487&amp;"Proposicion")</f>
        <v>1</v>
      </c>
      <c r="N48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771 APR_FETCovid19</v>
      </c>
      <c r="O48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8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8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8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8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87" s="67">
        <f>COUNTIF(Documentos!A:A,A487&amp;"Decreto")</f>
        <v>0</v>
      </c>
      <c r="U48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8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8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88" spans="1:26" x14ac:dyDescent="0.25">
      <c r="A488" s="19">
        <v>486</v>
      </c>
      <c r="B488" s="122"/>
      <c r="C488" s="13"/>
      <c r="D488" s="13"/>
      <c r="E488" s="6"/>
      <c r="F488" s="65">
        <f>COUNTIF(Documentos!A:A,A488&amp;"Oficio_Solicitud")</f>
        <v>1</v>
      </c>
      <c r="G48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782 DOP</v>
      </c>
      <c r="H48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8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8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8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8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88" s="75">
        <f>COUNTIF(Documentos!A:A,A488&amp;"Proposicion")</f>
        <v>1</v>
      </c>
      <c r="N48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775 DOP</v>
      </c>
      <c r="O48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8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8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8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8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88" s="67">
        <f>COUNTIF(Documentos!A:A,A488&amp;"Decreto")</f>
        <v>0</v>
      </c>
      <c r="U48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8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8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89" spans="1:26" x14ac:dyDescent="0.25">
      <c r="A489" s="19">
        <v>487</v>
      </c>
      <c r="B489" s="122"/>
      <c r="C489" s="13"/>
      <c r="D489" s="13"/>
      <c r="E489" s="6"/>
      <c r="F489" s="65">
        <f>COUNTIF(Documentos!A:A,A489&amp;"Oficio_Solicitud")</f>
        <v>1</v>
      </c>
      <c r="G48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783 DOP_FETCovid19</v>
      </c>
      <c r="H48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8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8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8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8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89" s="75">
        <f>COUNTIF(Documentos!A:A,A489&amp;"Proposicion")</f>
        <v>1</v>
      </c>
      <c r="N48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755 DOP_FETCovid19</v>
      </c>
      <c r="O48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8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8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8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8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89" s="67">
        <f>COUNTIF(Documentos!A:A,A489&amp;"Decreto")</f>
        <v>1</v>
      </c>
      <c r="U48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1936 DOP_FETCovid19</v>
      </c>
      <c r="V48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8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90" spans="1:26" ht="33.75" x14ac:dyDescent="0.25">
      <c r="A490" s="19">
        <v>488</v>
      </c>
      <c r="B490" s="122" t="s">
        <v>1228</v>
      </c>
      <c r="C490" s="13">
        <v>44854</v>
      </c>
      <c r="D490" s="13"/>
      <c r="E490" s="6"/>
      <c r="F490" s="65">
        <f>COUNTIF(Documentos!A:A,A490&amp;"Oficio_Solicitud")</f>
        <v>1</v>
      </c>
      <c r="G49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653 DCyF</v>
      </c>
      <c r="H49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9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9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9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9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90" s="75">
        <f>COUNTIF(Documentos!A:A,A490&amp;"Proposicion")</f>
        <v>0</v>
      </c>
      <c r="N49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49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9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9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9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9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90" s="67">
        <f>COUNTIF(Documentos!A:A,A490&amp;"Decreto")</f>
        <v>0</v>
      </c>
      <c r="U49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9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9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91" spans="1:26" x14ac:dyDescent="0.25">
      <c r="A491" s="19">
        <v>489</v>
      </c>
      <c r="B491" s="122"/>
      <c r="C491" s="13"/>
      <c r="D491" s="13"/>
      <c r="E491" s="6"/>
      <c r="F491" s="65">
        <f>COUNTIF(Documentos!A:A,A491&amp;"Oficio_Solicitud")</f>
        <v>1</v>
      </c>
      <c r="G49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16 DGOP</v>
      </c>
      <c r="H49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9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9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9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9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91" s="75">
        <f>COUNTIF(Documentos!A:A,A491&amp;"Proposicion")</f>
        <v>1</v>
      </c>
      <c r="N49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678 DGOP</v>
      </c>
      <c r="O49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9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9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9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9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91" s="67">
        <f>COUNTIF(Documentos!A:A,A491&amp;"Decreto")</f>
        <v>0</v>
      </c>
      <c r="U49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9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9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92" spans="1:26" x14ac:dyDescent="0.25">
      <c r="A492" s="19">
        <v>490</v>
      </c>
      <c r="B492" s="122"/>
      <c r="C492" s="13"/>
      <c r="D492" s="13"/>
      <c r="E492" s="6"/>
      <c r="F492" s="65">
        <f>COUNTIF(Documentos!A:A,A492&amp;"Oficio_Solicitud")</f>
        <v>1</v>
      </c>
      <c r="G49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451 DGA</v>
      </c>
      <c r="H49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9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9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9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9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92" s="75">
        <f>COUNTIF(Documentos!A:A,A492&amp;"Proposicion")</f>
        <v>2</v>
      </c>
      <c r="N49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744 DGA</v>
      </c>
      <c r="O49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SOL 745 DGA</v>
      </c>
      <c r="P49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9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9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9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92" s="67">
        <f>COUNTIF(Documentos!A:A,A492&amp;"Decreto")</f>
        <v>2</v>
      </c>
      <c r="U49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1939 DGA</v>
      </c>
      <c r="V49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DEC 1942 DGA</v>
      </c>
      <c r="Z49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93" spans="1:26" x14ac:dyDescent="0.25">
      <c r="A493" s="19">
        <v>491</v>
      </c>
      <c r="B493" s="122"/>
      <c r="C493" s="13"/>
      <c r="D493" s="13"/>
      <c r="E493" s="6"/>
      <c r="F493" s="65">
        <f>COUNTIF(Documentos!A:A,A493&amp;"Oficio_Solicitud")</f>
        <v>1</v>
      </c>
      <c r="G49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451 DGA_FETCovid19</v>
      </c>
      <c r="H49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9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9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9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9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93" s="75">
        <f>COUNTIF(Documentos!A:A,A493&amp;"Proposicion")</f>
        <v>1</v>
      </c>
      <c r="N49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745 DGA_FETCovid19</v>
      </c>
      <c r="O49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9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9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9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9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93" s="67">
        <f>COUNTIF(Documentos!A:A,A493&amp;"Decreto")</f>
        <v>1</v>
      </c>
      <c r="U49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1938 DGA_FETCovid19</v>
      </c>
      <c r="V49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9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94" spans="1:26" x14ac:dyDescent="0.25">
      <c r="A494" s="19">
        <v>492</v>
      </c>
      <c r="B494" s="122"/>
      <c r="C494" s="13"/>
      <c r="D494" s="13"/>
      <c r="E494" s="6"/>
      <c r="F494" s="65">
        <f>COUNTIF(Documentos!A:A,A494&amp;"Oficio_Solicitud")</f>
        <v>1</v>
      </c>
      <c r="G49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575 SOP-DOP</v>
      </c>
      <c r="H49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9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9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9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9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94" s="75">
        <f>COUNTIF(Documentos!A:A,A494&amp;"Proposicion")</f>
        <v>1</v>
      </c>
      <c r="N49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682 SOP-DOP</v>
      </c>
      <c r="O49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9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9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9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9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94" s="67">
        <f>COUNTIF(Documentos!A:A,A494&amp;"Decreto")</f>
        <v>0</v>
      </c>
      <c r="U49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9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9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95" spans="1:26" x14ac:dyDescent="0.25">
      <c r="A495" s="19">
        <v>493</v>
      </c>
      <c r="B495" s="122"/>
      <c r="C495" s="13"/>
      <c r="D495" s="13"/>
      <c r="E495" s="6"/>
      <c r="F495" s="65">
        <f>COUNTIF(Documentos!A:A,A495&amp;"Oficio_Solicitud")</f>
        <v>1</v>
      </c>
      <c r="G49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325 SOP</v>
      </c>
      <c r="H49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9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9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9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9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95" s="75">
        <f>COUNTIF(Documentos!A:A,A495&amp;"Proposicion")</f>
        <v>1</v>
      </c>
      <c r="N49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672 SOP</v>
      </c>
      <c r="O49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9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9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9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9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95" s="67">
        <f>COUNTIF(Documentos!A:A,A495&amp;"Decreto")</f>
        <v>0</v>
      </c>
      <c r="U49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9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9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96" spans="1:26" x14ac:dyDescent="0.25">
      <c r="A496" s="19">
        <v>494</v>
      </c>
      <c r="B496" s="122"/>
      <c r="C496" s="13"/>
      <c r="D496" s="13"/>
      <c r="E496" s="6"/>
      <c r="F496" s="65">
        <f>COUNTIF(Documentos!A:A,A496&amp;"Oficio_Solicitud")</f>
        <v>1</v>
      </c>
      <c r="G49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669 DP</v>
      </c>
      <c r="H49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9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9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9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9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96" s="75">
        <f>COUNTIF(Documentos!A:A,A496&amp;"Proposicion")</f>
        <v>1</v>
      </c>
      <c r="N49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670 DP</v>
      </c>
      <c r="O49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9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9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9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9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96" s="67">
        <f>COUNTIF(Documentos!A:A,A496&amp;"Decreto")</f>
        <v>0</v>
      </c>
      <c r="U49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9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9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97" spans="1:26" x14ac:dyDescent="0.25">
      <c r="A497" s="19">
        <v>495</v>
      </c>
      <c r="B497" s="122"/>
      <c r="C497" s="13"/>
      <c r="D497" s="13"/>
      <c r="E497" s="6"/>
      <c r="F497" s="65">
        <f>COUNTIF(Documentos!A:A,A497&amp;"Oficio_Solicitud")</f>
        <v>1</v>
      </c>
      <c r="G49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1003 DGC</v>
      </c>
      <c r="H49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9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9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9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9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97" s="75">
        <f>COUNTIF(Documentos!A:A,A497&amp;"Proposicion")</f>
        <v>1</v>
      </c>
      <c r="N49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736 DGC</v>
      </c>
      <c r="O49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9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9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9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9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97" s="67">
        <f>COUNTIF(Documentos!A:A,A497&amp;"Decreto")</f>
        <v>1</v>
      </c>
      <c r="U49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1933 DGC</v>
      </c>
      <c r="V49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9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98" spans="1:26" x14ac:dyDescent="0.25">
      <c r="A498" s="19">
        <v>496</v>
      </c>
      <c r="B498" s="122"/>
      <c r="C498" s="13"/>
      <c r="D498" s="13"/>
      <c r="E498" s="6"/>
      <c r="F498" s="65">
        <f>COUNTIF(Documentos!A:A,A498&amp;"Oficio_Solicitud")</f>
        <v>1</v>
      </c>
      <c r="G49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578 DAP_FETCovid19</v>
      </c>
      <c r="H49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9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9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9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9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98" s="75">
        <f>COUNTIF(Documentos!A:A,A498&amp;"Proposicion")</f>
        <v>1</v>
      </c>
      <c r="N49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792 DAP_FETCovid19</v>
      </c>
      <c r="O49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9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9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9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9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98" s="67">
        <f>COUNTIF(Documentos!A:A,A498&amp;"Decreto")</f>
        <v>0</v>
      </c>
      <c r="U49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49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9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499" spans="1:26" x14ac:dyDescent="0.25">
      <c r="A499" s="19">
        <v>497</v>
      </c>
      <c r="B499" s="122"/>
      <c r="C499" s="13"/>
      <c r="D499" s="13"/>
      <c r="E499" s="6"/>
      <c r="F499" s="65">
        <f>COUNTIF(Documentos!A:A,A499&amp;"Oficio_Solicitud")</f>
        <v>1</v>
      </c>
      <c r="G49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899 DGC-DOH-APR</v>
      </c>
      <c r="H49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49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49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49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49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499" s="75">
        <f>COUNTIF(Documentos!A:A,A499&amp;"Proposicion")</f>
        <v>1</v>
      </c>
      <c r="N49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680 DGC-DOH-APR</v>
      </c>
      <c r="O49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49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49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49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49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499" s="67">
        <f>COUNTIF(Documentos!A:A,A499&amp;"Decreto")</f>
        <v>1</v>
      </c>
      <c r="U49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1757 DGC-DOH-APR</v>
      </c>
      <c r="V49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49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00" spans="1:26" x14ac:dyDescent="0.25">
      <c r="A500" s="19">
        <v>498</v>
      </c>
      <c r="B500" s="122"/>
      <c r="C500" s="13"/>
      <c r="D500" s="13"/>
      <c r="E500" s="6"/>
      <c r="F500" s="65">
        <f>COUNTIF(Documentos!A:A,A500&amp;"Oficio_Solicitud")</f>
        <v>1</v>
      </c>
      <c r="G50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577 DAP</v>
      </c>
      <c r="H50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0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0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0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0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00" s="75">
        <f>COUNTIF(Documentos!A:A,A500&amp;"Proposicion")</f>
        <v>1</v>
      </c>
      <c r="N50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789 DAP</v>
      </c>
      <c r="O50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0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0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0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0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00" s="67">
        <f>COUNTIF(Documentos!A:A,A500&amp;"Decreto")</f>
        <v>0</v>
      </c>
      <c r="U50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0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0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01" spans="1:26" x14ac:dyDescent="0.25">
      <c r="A501" s="19">
        <v>499</v>
      </c>
      <c r="B501" s="121"/>
      <c r="C501" s="12"/>
      <c r="D501" s="12"/>
      <c r="E501" s="6"/>
      <c r="F501" s="65">
        <f>COUNTIF(Documentos!A:A,A501&amp;"Oficio_Solicitud")</f>
        <v>1</v>
      </c>
      <c r="G50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9653 DV</v>
      </c>
      <c r="H50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0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0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0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0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01" s="75">
        <f>COUNTIF(Documentos!A:A,A501&amp;"Proposicion")</f>
        <v>1</v>
      </c>
      <c r="N50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746 DV</v>
      </c>
      <c r="O50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0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0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0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0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01" s="67">
        <f>COUNTIF(Documentos!A:A,A501&amp;"Decreto")</f>
        <v>0</v>
      </c>
      <c r="U50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0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0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02" spans="1:26" x14ac:dyDescent="0.25">
      <c r="A502" s="19">
        <v>500</v>
      </c>
      <c r="B502" s="122"/>
      <c r="C502" s="13"/>
      <c r="D502" s="13"/>
      <c r="E502" s="6"/>
      <c r="F502" s="65">
        <f>COUNTIF(Documentos!A:A,A502&amp;"Oficio_Solicitud")</f>
        <v>1</v>
      </c>
      <c r="G50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576 DV-SOP</v>
      </c>
      <c r="H50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0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0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0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0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02" s="75">
        <f>COUNTIF(Documentos!A:A,A502&amp;"Proposicion")</f>
        <v>1</v>
      </c>
      <c r="N50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676 DV-SOP</v>
      </c>
      <c r="O50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0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0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0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0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02" s="67">
        <f>COUNTIF(Documentos!A:A,A502&amp;"Decreto")</f>
        <v>0</v>
      </c>
      <c r="U50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0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0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03" spans="1:26" x14ac:dyDescent="0.25">
      <c r="A503" s="19">
        <v>502</v>
      </c>
      <c r="B503" s="122"/>
      <c r="C503" s="13"/>
      <c r="D503" s="13"/>
      <c r="E503" s="6"/>
      <c r="F503" s="65">
        <f>COUNTIF(Documentos!A:A,A503&amp;"Oficio_Solicitud")</f>
        <v>1</v>
      </c>
      <c r="G50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3279 DV-SISS</v>
      </c>
      <c r="H50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0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0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0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0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03" s="75">
        <f>COUNTIF(Documentos!A:A,A503&amp;"Proposicion")</f>
        <v>1</v>
      </c>
      <c r="N50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684 DV-SISS</v>
      </c>
      <c r="O50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0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0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0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0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03" s="67">
        <f>COUNTIF(Documentos!A:A,A503&amp;"Decreto")</f>
        <v>0</v>
      </c>
      <c r="U50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0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0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04" spans="1:26" ht="33.75" x14ac:dyDescent="0.25">
      <c r="A504" s="19">
        <v>503</v>
      </c>
      <c r="B504" s="121" t="s">
        <v>1229</v>
      </c>
      <c r="C504" s="12"/>
      <c r="D504" s="12"/>
      <c r="E504" s="6"/>
      <c r="F504" s="65">
        <f>COUNTIF(Documentos!A:A,A504&amp;"Oficio_Solicitud")</f>
        <v>1</v>
      </c>
      <c r="G50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10199 DV</v>
      </c>
      <c r="H50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0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0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0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0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04" s="75">
        <f>COUNTIF(Documentos!A:A,A504&amp;"Proposicion")</f>
        <v>1</v>
      </c>
      <c r="N50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795 DV</v>
      </c>
      <c r="O50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0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0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0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0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04" s="67">
        <f>COUNTIF(Documentos!A:A,A504&amp;"Decreto")</f>
        <v>0</v>
      </c>
      <c r="U50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0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0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05" spans="1:26" ht="33.75" x14ac:dyDescent="0.25">
      <c r="A505" s="19">
        <v>504</v>
      </c>
      <c r="B505" s="121" t="s">
        <v>1229</v>
      </c>
      <c r="C505" s="12"/>
      <c r="D505" s="12"/>
      <c r="E505" s="6"/>
      <c r="F505" s="65">
        <f>COUNTIF(Documentos!A:A,A505&amp;"Oficio_Solicitud")</f>
        <v>1</v>
      </c>
      <c r="G50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10199 DV_FETCovid19</v>
      </c>
      <c r="H50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0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0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0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0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05" s="75">
        <f>COUNTIF(Documentos!A:A,A505&amp;"Proposicion")</f>
        <v>1</v>
      </c>
      <c r="N50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794 DV_FETCovid19</v>
      </c>
      <c r="O50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0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0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0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0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05" s="67">
        <f>COUNTIF(Documentos!A:A,A505&amp;"Decreto")</f>
        <v>0</v>
      </c>
      <c r="U50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0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0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06" spans="1:26" x14ac:dyDescent="0.25">
      <c r="A506" s="19">
        <v>505</v>
      </c>
      <c r="B506" s="121"/>
      <c r="C506" s="12"/>
      <c r="D506" s="12"/>
      <c r="E506" s="6"/>
      <c r="F506" s="65">
        <f>COUNTIF(Documentos!A:A,A506&amp;"Oficio_Solicitud")</f>
        <v>1</v>
      </c>
      <c r="G50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10254 DV</v>
      </c>
      <c r="H50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0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0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0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0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06" s="75">
        <f>COUNTIF(Documentos!A:A,A506&amp;"Proposicion")</f>
        <v>1</v>
      </c>
      <c r="N50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774 DV</v>
      </c>
      <c r="O50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0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0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0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0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06" s="67">
        <f>COUNTIF(Documentos!A:A,A506&amp;"Decreto")</f>
        <v>0</v>
      </c>
      <c r="U50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0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0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07" spans="1:26" x14ac:dyDescent="0.25">
      <c r="A507" s="19">
        <v>506</v>
      </c>
      <c r="B507" s="122"/>
      <c r="C507" s="13"/>
      <c r="D507" s="13"/>
      <c r="E507" s="6"/>
      <c r="F507" s="65">
        <f>COUNTIF(Documentos!A:A,A507&amp;"Oficio_Solicitud")</f>
        <v>1</v>
      </c>
      <c r="G50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2752 DOH-APR</v>
      </c>
      <c r="H50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0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0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0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0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07" s="75">
        <f>COUNTIF(Documentos!A:A,A507&amp;"Proposicion")</f>
        <v>1</v>
      </c>
      <c r="N50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692 DOH-APR</v>
      </c>
      <c r="O50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0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0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0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0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07" s="67">
        <f>COUNTIF(Documentos!A:A,A507&amp;"Decreto")</f>
        <v>0</v>
      </c>
      <c r="U50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0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0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08" spans="1:26" x14ac:dyDescent="0.25">
      <c r="A508" s="19">
        <v>507</v>
      </c>
      <c r="B508" s="122"/>
      <c r="C508" s="13"/>
      <c r="D508" s="13"/>
      <c r="E508" s="6"/>
      <c r="F508" s="65">
        <f>COUNTIF(Documentos!A:A,A508&amp;"Oficio_Solicitud")</f>
        <v>0</v>
      </c>
      <c r="G50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0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0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0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0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0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08" s="75">
        <f>COUNTIF(Documentos!A:A,A508&amp;"Proposicion")</f>
        <v>1</v>
      </c>
      <c r="N50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693 MOP</v>
      </c>
      <c r="O50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0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0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0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0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08" s="67">
        <f>COUNTIF(Documentos!A:A,A508&amp;"Decreto")</f>
        <v>0</v>
      </c>
      <c r="U50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0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0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09" spans="1:26" x14ac:dyDescent="0.25">
      <c r="A509" s="19">
        <v>508</v>
      </c>
      <c r="B509" s="122"/>
      <c r="C509" s="13"/>
      <c r="D509" s="13"/>
      <c r="E509" s="6"/>
      <c r="F509" s="65">
        <f>COUNTIF(Documentos!A:A,A509&amp;"Oficio_Solicitud")</f>
        <v>0</v>
      </c>
      <c r="G50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0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0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0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0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0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09" s="75">
        <f>COUNTIF(Documentos!A:A,A509&amp;"Proposicion")</f>
        <v>1</v>
      </c>
      <c r="N50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688 DGA</v>
      </c>
      <c r="O50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0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0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0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0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09" s="67">
        <f>COUNTIF(Documentos!A:A,A509&amp;"Decreto")</f>
        <v>0</v>
      </c>
      <c r="U50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0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0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10" spans="1:26" x14ac:dyDescent="0.25">
      <c r="A510" s="19">
        <v>509</v>
      </c>
      <c r="B510" s="122"/>
      <c r="C510" s="13"/>
      <c r="D510" s="13"/>
      <c r="E510" s="6"/>
      <c r="F510" s="65">
        <f>COUNTIF(Documentos!A:A,A510&amp;"Oficio_Solicitud")</f>
        <v>1</v>
      </c>
      <c r="G51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824 DOP</v>
      </c>
      <c r="H51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1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1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1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1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10" s="75">
        <f>COUNTIF(Documentos!A:A,A510&amp;"Proposicion")</f>
        <v>1</v>
      </c>
      <c r="N51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772 DOP</v>
      </c>
      <c r="O51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1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1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1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1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10" s="67">
        <f>COUNTIF(Documentos!A:A,A510&amp;"Decreto")</f>
        <v>0</v>
      </c>
      <c r="U51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1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1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11" spans="1:26" x14ac:dyDescent="0.25">
      <c r="A511" s="19">
        <v>510</v>
      </c>
      <c r="B511" s="122"/>
      <c r="C511" s="13"/>
      <c r="D511" s="13"/>
      <c r="E511" s="6"/>
      <c r="F511" s="65">
        <f>COUNTIF(Documentos!A:A,A511&amp;"Oficio_Solicitud")</f>
        <v>1</v>
      </c>
      <c r="G51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10131 DV</v>
      </c>
      <c r="H51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1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1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1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1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11" s="75">
        <f>COUNTIF(Documentos!A:A,A511&amp;"Proposicion")</f>
        <v>1</v>
      </c>
      <c r="N51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695 DV</v>
      </c>
      <c r="O51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1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1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1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1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11" s="67">
        <f>COUNTIF(Documentos!A:A,A511&amp;"Decreto")</f>
        <v>0</v>
      </c>
      <c r="U51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1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1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12" spans="1:26" x14ac:dyDescent="0.25">
      <c r="A512" s="19">
        <v>511</v>
      </c>
      <c r="B512" s="122"/>
      <c r="C512" s="13"/>
      <c r="D512" s="13"/>
      <c r="E512" s="6"/>
      <c r="F512" s="65">
        <f>COUNTIF(Documentos!A:A,A512&amp;"Oficio_Solicitud")</f>
        <v>1</v>
      </c>
      <c r="G51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10131 DV_FETCovid19</v>
      </c>
      <c r="H51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1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1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1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1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12" s="75">
        <f>COUNTIF(Documentos!A:A,A512&amp;"Proposicion")</f>
        <v>1</v>
      </c>
      <c r="N51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695 DV_FETCovid19</v>
      </c>
      <c r="O51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1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1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1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1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12" s="67">
        <f>COUNTIF(Documentos!A:A,A512&amp;"Decreto")</f>
        <v>0</v>
      </c>
      <c r="U51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1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1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13" spans="1:26" x14ac:dyDescent="0.25">
      <c r="A513" s="19">
        <v>512</v>
      </c>
      <c r="B513" s="122"/>
      <c r="C513" s="13"/>
      <c r="D513" s="13"/>
      <c r="E513" s="6"/>
      <c r="F513" s="65">
        <f>COUNTIF(Documentos!A:A,A513&amp;"Oficio_Solicitud")</f>
        <v>1</v>
      </c>
      <c r="G51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52 DP</v>
      </c>
      <c r="H51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1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1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1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1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13" s="75">
        <f>COUNTIF(Documentos!A:A,A513&amp;"Proposicion")</f>
        <v>1</v>
      </c>
      <c r="N51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767 DP</v>
      </c>
      <c r="O51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1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1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1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1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13" s="67">
        <f>COUNTIF(Documentos!A:A,A513&amp;"Decreto")</f>
        <v>0</v>
      </c>
      <c r="U51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1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1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14" spans="1:26" x14ac:dyDescent="0.25">
      <c r="A514" s="19">
        <v>513</v>
      </c>
      <c r="B514" s="122"/>
      <c r="C514" s="13"/>
      <c r="D514" s="13"/>
      <c r="E514" s="6"/>
      <c r="F514" s="65">
        <f>COUNTIF(Documentos!A:A,A514&amp;"Oficio_Solicitud")</f>
        <v>0</v>
      </c>
      <c r="G51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1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1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1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1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1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14" s="75">
        <f>COUNTIF(Documentos!A:A,A514&amp;"Proposicion")</f>
        <v>1</v>
      </c>
      <c r="N51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747 APR</v>
      </c>
      <c r="O51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1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1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1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1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14" s="67">
        <f>COUNTIF(Documentos!A:A,A514&amp;"Decreto")</f>
        <v>0</v>
      </c>
      <c r="U51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1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1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15" spans="1:26" x14ac:dyDescent="0.25">
      <c r="A515" s="19">
        <v>514</v>
      </c>
      <c r="B515" s="122"/>
      <c r="C515" s="13"/>
      <c r="D515" s="13"/>
      <c r="E515" s="6"/>
      <c r="F515" s="65">
        <f>COUNTIF(Documentos!A:A,A515&amp;"Oficio_Solicitud")</f>
        <v>1</v>
      </c>
      <c r="G51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2389 DOH_FETCovid19</v>
      </c>
      <c r="H51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1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1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1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1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15" s="75">
        <f>COUNTIF(Documentos!A:A,A515&amp;"Proposicion")</f>
        <v>1</v>
      </c>
      <c r="N51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750 DOH_FETCovid19</v>
      </c>
      <c r="O51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1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1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1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1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15" s="67">
        <f>COUNTIF(Documentos!A:A,A515&amp;"Decreto")</f>
        <v>1</v>
      </c>
      <c r="U51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1931 DOH_FETCovid19</v>
      </c>
      <c r="V51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1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16" spans="1:26" x14ac:dyDescent="0.25">
      <c r="A516" s="19">
        <v>515</v>
      </c>
      <c r="B516" s="122"/>
      <c r="C516" s="13"/>
      <c r="D516" s="13"/>
      <c r="E516" s="6"/>
      <c r="F516" s="65">
        <f>COUNTIF(Documentos!A:A,A516&amp;"Oficio_Solicitud")</f>
        <v>1</v>
      </c>
      <c r="G51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2735 DOH</v>
      </c>
      <c r="H51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1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1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1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1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16" s="75">
        <f>COUNTIF(Documentos!A:A,A516&amp;"Proposicion")</f>
        <v>1</v>
      </c>
      <c r="N51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761 DOH</v>
      </c>
      <c r="O51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1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1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1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1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16" s="67">
        <f>COUNTIF(Documentos!A:A,A516&amp;"Decreto")</f>
        <v>0</v>
      </c>
      <c r="U51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1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1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17" spans="1:26" x14ac:dyDescent="0.25">
      <c r="A517" s="19">
        <v>516</v>
      </c>
      <c r="B517" s="122"/>
      <c r="C517" s="13"/>
      <c r="D517" s="13"/>
      <c r="E517" s="6"/>
      <c r="F517" s="65">
        <f>COUNTIF(Documentos!A:A,A517&amp;"Oficio_Solicitud")</f>
        <v>1</v>
      </c>
      <c r="G51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2733 DOH</v>
      </c>
      <c r="H51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1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1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1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1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17" s="75">
        <f>COUNTIF(Documentos!A:A,A517&amp;"Proposicion")</f>
        <v>1</v>
      </c>
      <c r="N51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763 DOH</v>
      </c>
      <c r="O51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1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1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1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1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17" s="67">
        <f>COUNTIF(Documentos!A:A,A517&amp;"Decreto")</f>
        <v>0</v>
      </c>
      <c r="U51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1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1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18" spans="1:26" x14ac:dyDescent="0.25">
      <c r="A518" s="19">
        <v>517</v>
      </c>
      <c r="B518" s="122"/>
      <c r="C518" s="13"/>
      <c r="D518" s="13"/>
      <c r="E518" s="6"/>
      <c r="F518" s="65">
        <f>COUNTIF(Documentos!A:A,A518&amp;"Oficio_Solicitud")</f>
        <v>1</v>
      </c>
      <c r="G51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2732 DOH_FETCovid19</v>
      </c>
      <c r="H51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1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1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1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1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18" s="75">
        <f>COUNTIF(Documentos!A:A,A518&amp;"Proposicion")</f>
        <v>1</v>
      </c>
      <c r="N51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765 DOH_FETCovid19</v>
      </c>
      <c r="O51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1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1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1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1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18" s="67">
        <f>COUNTIF(Documentos!A:A,A518&amp;"Decreto")</f>
        <v>0</v>
      </c>
      <c r="U51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1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1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19" spans="1:26" x14ac:dyDescent="0.25">
      <c r="A519" s="19">
        <v>518</v>
      </c>
      <c r="B519" s="122"/>
      <c r="C519" s="13"/>
      <c r="D519" s="13"/>
      <c r="E519" s="6"/>
      <c r="F519" s="65">
        <f>COUNTIF(Documentos!A:A,A519&amp;"Oficio_Solicitud")</f>
        <v>1</v>
      </c>
      <c r="G51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2736 APR_FETCovid19</v>
      </c>
      <c r="H51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19" s="69"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19" s="69"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19" s="69"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19" s="69"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19" s="75">
        <f>COUNTIF(Documentos!A:A,A519&amp;"Proposicion")</f>
        <v>1</v>
      </c>
      <c r="N51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773 APR_FETCovid19</v>
      </c>
      <c r="O51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1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1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1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1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19" s="67">
        <f>COUNTIF(Documentos!A:A,A519&amp;"Decreto")</f>
        <v>0</v>
      </c>
      <c r="U51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1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1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20" spans="1:26" x14ac:dyDescent="0.25">
      <c r="A520" s="19">
        <v>519</v>
      </c>
      <c r="B520" s="122"/>
      <c r="C520" s="13"/>
      <c r="D520" s="13"/>
      <c r="E520" s="6"/>
      <c r="F520" s="65">
        <f>COUNTIF(Documentos!A:A,A520&amp;"Oficio_Solicitud")</f>
        <v>1</v>
      </c>
      <c r="G52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2734 APR</v>
      </c>
      <c r="H52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2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2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2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2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20" s="75">
        <f>COUNTIF(Documentos!A:A,A520&amp;"Proposicion")</f>
        <v>1</v>
      </c>
      <c r="N52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777 APR</v>
      </c>
      <c r="O52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2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2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2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2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20" s="67">
        <f>COUNTIF(Documentos!A:A,A520&amp;"Decreto")</f>
        <v>0</v>
      </c>
      <c r="U52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2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2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21" spans="1:26" x14ac:dyDescent="0.25">
      <c r="A521" s="19">
        <v>520</v>
      </c>
      <c r="B521" s="122"/>
      <c r="C521" s="13"/>
      <c r="D521" s="13"/>
      <c r="E521" s="6"/>
      <c r="F521" s="65">
        <f>COUNTIF(Documentos!A:A,A521&amp;"Oficio_Solicitud")</f>
        <v>1</v>
      </c>
      <c r="G52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2598 DOH</v>
      </c>
      <c r="H52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2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2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2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2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21" s="75">
        <f>COUNTIF(Documentos!A:A,A521&amp;"Proposicion")</f>
        <v>1</v>
      </c>
      <c r="N52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689 DOH</v>
      </c>
      <c r="O52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2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2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2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2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21" s="67">
        <f>COUNTIF(Documentos!A:A,A521&amp;"Decreto")</f>
        <v>0</v>
      </c>
      <c r="U52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2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2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22" spans="1:26" x14ac:dyDescent="0.25">
      <c r="A522" s="19">
        <v>521</v>
      </c>
      <c r="B522" s="122"/>
      <c r="C522" s="13"/>
      <c r="D522" s="13"/>
      <c r="E522" s="6"/>
      <c r="F522" s="65">
        <f>COUNTIF(Documentos!A:A,A522&amp;"Oficio_Solicitud")</f>
        <v>0</v>
      </c>
      <c r="G52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2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2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2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2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2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22" s="75">
        <f>COUNTIF(Documentos!A:A,A522&amp;"Proposicion")</f>
        <v>1</v>
      </c>
      <c r="N52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701 MOP</v>
      </c>
      <c r="O52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2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2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2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2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22" s="67">
        <f>COUNTIF(Documentos!A:A,A522&amp;"Decreto")</f>
        <v>0</v>
      </c>
      <c r="U52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2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2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23" spans="1:26" x14ac:dyDescent="0.25">
      <c r="A523" s="19">
        <v>522</v>
      </c>
      <c r="B523" s="122"/>
      <c r="C523" s="13"/>
      <c r="D523" s="13"/>
      <c r="E523" s="6"/>
      <c r="F523" s="65">
        <f>COUNTIF(Documentos!A:A,A523&amp;"Oficio_Solicitud")</f>
        <v>1</v>
      </c>
      <c r="G52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571 DAP</v>
      </c>
      <c r="H52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2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2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2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2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23" s="75">
        <f>COUNTIF(Documentos!A:A,A523&amp;"Proposicion")</f>
        <v>1</v>
      </c>
      <c r="N52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677 DAP</v>
      </c>
      <c r="O52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2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2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2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2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23" s="67">
        <f>COUNTIF(Documentos!A:A,A523&amp;"Decreto")</f>
        <v>0</v>
      </c>
      <c r="U52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2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2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24" spans="1:26" x14ac:dyDescent="0.25">
      <c r="A524" s="19">
        <v>523</v>
      </c>
      <c r="B524" s="122"/>
      <c r="C524" s="13"/>
      <c r="D524" s="13"/>
      <c r="E524" s="6"/>
      <c r="F524" s="65">
        <f>COUNTIF(Documentos!A:A,A524&amp;"Oficio_Solicitud")</f>
        <v>0</v>
      </c>
      <c r="G52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2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2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2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2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2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24" s="75">
        <f>COUNTIF(Documentos!A:A,A524&amp;"Proposicion")</f>
        <v>1</v>
      </c>
      <c r="N52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697 DV-DAP</v>
      </c>
      <c r="O52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2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2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2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2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24" s="67">
        <f>COUNTIF(Documentos!A:A,A524&amp;"Decreto")</f>
        <v>0</v>
      </c>
      <c r="U52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2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2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25" spans="1:26" x14ac:dyDescent="0.25">
      <c r="A525" s="19">
        <v>524</v>
      </c>
      <c r="B525" s="122"/>
      <c r="C525" s="13"/>
      <c r="D525" s="13"/>
      <c r="E525" s="6"/>
      <c r="F525" s="65">
        <f>COUNTIF(Documentos!A:A,A525&amp;"Oficio_Solicitud")</f>
        <v>2</v>
      </c>
      <c r="G52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1087 DA</v>
      </c>
      <c r="H52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OF 1093 DA</v>
      </c>
      <c r="I52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2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2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2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25" s="75">
        <f>COUNTIF(Documentos!A:A,A525&amp;"Proposicion")</f>
        <v>1</v>
      </c>
      <c r="N52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701 DA</v>
      </c>
      <c r="O52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2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2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2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2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25" s="67">
        <f>COUNTIF(Documentos!A:A,A525&amp;"Decreto")</f>
        <v>1</v>
      </c>
      <c r="U52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1801 DA</v>
      </c>
      <c r="V52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2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26" spans="1:26" ht="67.5" x14ac:dyDescent="0.25">
      <c r="A526" s="19">
        <v>525</v>
      </c>
      <c r="B526" s="121" t="s">
        <v>1230</v>
      </c>
      <c r="C526" s="12"/>
      <c r="D526" s="12"/>
      <c r="E526" s="6"/>
      <c r="F526" s="65">
        <f>COUNTIF(Documentos!A:A,A526&amp;"Oficio_Solicitud")</f>
        <v>1</v>
      </c>
      <c r="G52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10383 DV</v>
      </c>
      <c r="H52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2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2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2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2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26" s="75">
        <f>COUNTIF(Documentos!A:A,A526&amp;"Proposicion")</f>
        <v>0</v>
      </c>
      <c r="N52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52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2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2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2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2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26" s="67">
        <f>COUNTIF(Documentos!A:A,A526&amp;"Decreto")</f>
        <v>0</v>
      </c>
      <c r="U52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2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2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27" spans="1:26" ht="45" x14ac:dyDescent="0.25">
      <c r="A527" s="19">
        <v>526</v>
      </c>
      <c r="B527" s="122" t="s">
        <v>1231</v>
      </c>
      <c r="C527" s="13"/>
      <c r="D527" s="13"/>
      <c r="E527" s="6"/>
      <c r="F527" s="65">
        <f>COUNTIF(Documentos!A:A,A527&amp;"Oficio_Solicitud")</f>
        <v>1</v>
      </c>
      <c r="G52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8260 DV</v>
      </c>
      <c r="H52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2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2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2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2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27" s="75">
        <f>COUNTIF(Documentos!A:A,A527&amp;"Proposicion")</f>
        <v>1</v>
      </c>
      <c r="N52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643 DV</v>
      </c>
      <c r="O52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2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2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2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2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27" s="67">
        <f>COUNTIF(Documentos!A:A,A527&amp;"Decreto")</f>
        <v>1</v>
      </c>
      <c r="U52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1874 DV</v>
      </c>
      <c r="V52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2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28" spans="1:26" x14ac:dyDescent="0.25">
      <c r="A528" s="19">
        <v>527</v>
      </c>
      <c r="B528" s="122" t="s">
        <v>1232</v>
      </c>
      <c r="C528" s="13"/>
      <c r="D528" s="13"/>
      <c r="E528" s="6"/>
      <c r="F528" s="65">
        <f>COUNTIF(Documentos!A:A,A528&amp;"Oficio_Solicitud")</f>
        <v>0</v>
      </c>
      <c r="G52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2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2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2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2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2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28" s="75">
        <f>COUNTIF(Documentos!A:A,A528&amp;"Proposicion")</f>
        <v>1</v>
      </c>
      <c r="N52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586 DV</v>
      </c>
      <c r="O52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2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2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2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2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28" s="67">
        <f>COUNTIF(Documentos!A:A,A528&amp;"Decreto")</f>
        <v>1</v>
      </c>
      <c r="U52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1881 DV</v>
      </c>
      <c r="V52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2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29" spans="1:26" x14ac:dyDescent="0.25">
      <c r="A529" s="19">
        <v>528</v>
      </c>
      <c r="B529" s="122"/>
      <c r="C529" s="13"/>
      <c r="D529" s="13"/>
      <c r="E529" s="6"/>
      <c r="F529" s="65">
        <f>COUNTIF(Documentos!A:A,A529&amp;"Oficio_Solicitud")</f>
        <v>1</v>
      </c>
      <c r="G52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582 SOP</v>
      </c>
      <c r="H52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2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2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2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2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29" s="75">
        <f>COUNTIF(Documentos!A:A,A529&amp;"Proposicion")</f>
        <v>1</v>
      </c>
      <c r="N52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704 SOP</v>
      </c>
      <c r="O52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2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2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2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2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29" s="67">
        <f>COUNTIF(Documentos!A:A,A529&amp;"Decreto")</f>
        <v>0</v>
      </c>
      <c r="U52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2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2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30" spans="1:26" x14ac:dyDescent="0.25">
      <c r="A530" s="19">
        <v>529</v>
      </c>
      <c r="B530" s="122"/>
      <c r="C530" s="13"/>
      <c r="D530" s="13"/>
      <c r="E530" s="6"/>
      <c r="F530" s="65">
        <f>COUNTIF(Documentos!A:A,A530&amp;"Oficio_Solicitud")</f>
        <v>0</v>
      </c>
      <c r="G53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3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3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3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3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3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30" s="75">
        <f>COUNTIF(Documentos!A:A,A530&amp;"Proposicion")</f>
        <v>1</v>
      </c>
      <c r="N53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706 DV</v>
      </c>
      <c r="O53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3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3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3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3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30" s="67">
        <f>COUNTIF(Documentos!A:A,A530&amp;"Decreto")</f>
        <v>0</v>
      </c>
      <c r="U53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3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3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31" spans="1:26" x14ac:dyDescent="0.25">
      <c r="A531" s="19">
        <v>530</v>
      </c>
      <c r="B531" s="122" t="s">
        <v>1233</v>
      </c>
      <c r="C531" s="13"/>
      <c r="D531" s="13"/>
      <c r="E531" s="6"/>
      <c r="F531" s="65">
        <f>COUNTIF(Documentos!A:A,A531&amp;"Oficio_Solicitud")</f>
        <v>1</v>
      </c>
      <c r="G53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741 DV-DOP</v>
      </c>
      <c r="H53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3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3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3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3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31" s="75">
        <f>COUNTIF(Documentos!A:A,A531&amp;"Proposicion")</f>
        <v>1</v>
      </c>
      <c r="N53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707 DV-DOP</v>
      </c>
      <c r="O53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3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3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3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3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31" s="67">
        <f>COUNTIF(Documentos!A:A,A531&amp;"Decreto")</f>
        <v>1</v>
      </c>
      <c r="U53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1877 DV-DOP</v>
      </c>
      <c r="V53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3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32" spans="1:26" x14ac:dyDescent="0.25">
      <c r="A532" s="19">
        <v>531</v>
      </c>
      <c r="B532" s="122"/>
      <c r="C532" s="13"/>
      <c r="D532" s="13"/>
      <c r="E532" s="6"/>
      <c r="F532" s="65">
        <f>COUNTIF(Documentos!A:A,A532&amp;"Oficio_Solicitud")</f>
        <v>1</v>
      </c>
      <c r="G532"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10399 DV</v>
      </c>
      <c r="H532"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32"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32"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32"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32"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32" s="75">
        <f>COUNTIF(Documentos!A:A,A532&amp;"Proposicion")</f>
        <v>1</v>
      </c>
      <c r="N532"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706 DV</v>
      </c>
      <c r="O532"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32"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32"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32"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32"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32" s="67">
        <f>COUNTIF(Documentos!A:A,A532&amp;"Decreto")</f>
        <v>0</v>
      </c>
      <c r="U532"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32"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32"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33" spans="1:26" ht="22.5" x14ac:dyDescent="0.25">
      <c r="A533" s="19">
        <v>532</v>
      </c>
      <c r="B533" s="122" t="s">
        <v>1234</v>
      </c>
      <c r="C533" s="13"/>
      <c r="D533" s="13"/>
      <c r="E533" s="6"/>
      <c r="F533" s="65">
        <f>COUNTIF(Documentos!A:A,A533&amp;"Oficio_Solicitud")</f>
        <v>1</v>
      </c>
      <c r="G533"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611 DAP</v>
      </c>
      <c r="H533"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33"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33"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33"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33"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33" s="75">
        <f>COUNTIF(Documentos!A:A,A533&amp;"Proposicion")</f>
        <v>0</v>
      </c>
      <c r="N533"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533"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33"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33"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33"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33"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33" s="67">
        <f>COUNTIF(Documentos!A:A,A533&amp;"Decreto")</f>
        <v>0</v>
      </c>
      <c r="U533"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33"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33"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34" spans="1:26" x14ac:dyDescent="0.25">
      <c r="A534" s="19">
        <v>533</v>
      </c>
      <c r="B534" s="122"/>
      <c r="C534" s="13"/>
      <c r="D534" s="13"/>
      <c r="E534" s="6"/>
      <c r="F534" s="65">
        <f>COUNTIF(Documentos!A:A,A534&amp;"Oficio_Solicitud")</f>
        <v>1</v>
      </c>
      <c r="G534"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2820 DOH</v>
      </c>
      <c r="H534"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34"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34"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34"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34"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34" s="75">
        <f>COUNTIF(Documentos!A:A,A534&amp;"Proposicion")</f>
        <v>1</v>
      </c>
      <c r="N534"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799 DOH</v>
      </c>
      <c r="O534"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34"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34"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34"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34"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34" s="67">
        <f>COUNTIF(Documentos!A:A,A534&amp;"Decreto")</f>
        <v>0</v>
      </c>
      <c r="U534"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34"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34"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35" spans="1:26" x14ac:dyDescent="0.25">
      <c r="A535" s="19">
        <v>534</v>
      </c>
      <c r="B535" s="122"/>
      <c r="C535" s="13"/>
      <c r="D535" s="13"/>
      <c r="E535" s="6"/>
      <c r="F535" s="65">
        <f>COUNTIF(Documentos!A:A,A535&amp;"Oficio_Solicitud")</f>
        <v>1</v>
      </c>
      <c r="G535"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2826 APR</v>
      </c>
      <c r="H535"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35"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35"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35"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35"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35" s="75">
        <f>COUNTIF(Documentos!A:A,A535&amp;"Proposicion")</f>
        <v>1</v>
      </c>
      <c r="N535"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802 APR</v>
      </c>
      <c r="O535"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35"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35"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35"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35"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35" s="67">
        <f>COUNTIF(Documentos!A:A,A535&amp;"Decreto")</f>
        <v>0</v>
      </c>
      <c r="U535"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35"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35"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36" spans="1:26" x14ac:dyDescent="0.25">
      <c r="A536" s="19">
        <v>535</v>
      </c>
      <c r="B536" s="122"/>
      <c r="C536" s="13"/>
      <c r="D536" s="13"/>
      <c r="E536" s="6"/>
      <c r="F536" s="65">
        <f>COUNTIF(Documentos!A:A,A536&amp;"Oficio_Solicitud")</f>
        <v>0</v>
      </c>
      <c r="G536"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36"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36"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36"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36"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36"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36" s="75">
        <f>COUNTIF(Documentos!A:A,A536&amp;"Proposicion")</f>
        <v>1</v>
      </c>
      <c r="N536"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715 DV</v>
      </c>
      <c r="O536"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36"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36"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36"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36"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36" s="67">
        <f>COUNTIF(Documentos!A:A,A536&amp;"Decreto")</f>
        <v>0</v>
      </c>
      <c r="U536"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36"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36"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37" spans="1:26" x14ac:dyDescent="0.25">
      <c r="A537" s="19">
        <v>536</v>
      </c>
      <c r="B537" s="122" t="s">
        <v>1235</v>
      </c>
      <c r="C537" s="13"/>
      <c r="D537" s="13"/>
      <c r="E537" s="6"/>
      <c r="F537" s="65">
        <f>COUNTIF(Documentos!A:A,A537&amp;"Oficio_Solicitud")</f>
        <v>0</v>
      </c>
      <c r="G537"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37"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37"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37"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37"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37"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37" s="75">
        <f>COUNTIF(Documentos!A:A,A537&amp;"Proposicion")</f>
        <v>0</v>
      </c>
      <c r="N537"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537"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37"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37"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37"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37"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37" s="67">
        <f>COUNTIF(Documentos!A:A,A537&amp;"Decreto")</f>
        <v>0</v>
      </c>
      <c r="U537"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37"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37"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38" spans="1:26" x14ac:dyDescent="0.25">
      <c r="A538" s="19">
        <v>537</v>
      </c>
      <c r="B538" s="122" t="s">
        <v>1236</v>
      </c>
      <c r="C538" s="13"/>
      <c r="D538" s="13"/>
      <c r="E538" s="6"/>
      <c r="F538" s="65">
        <f>COUNTIF(Documentos!A:A,A538&amp;"Oficio_Solicitud")</f>
        <v>0</v>
      </c>
      <c r="G538"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38"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38"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38"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38"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38"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38" s="75">
        <f>COUNTIF(Documentos!A:A,A538&amp;"Proposicion")</f>
        <v>0</v>
      </c>
      <c r="N538"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538"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38"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38"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38"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38"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38" s="67">
        <f>COUNTIF(Documentos!A:A,A538&amp;"Decreto")</f>
        <v>0</v>
      </c>
      <c r="U538"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38"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38"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39" spans="1:26" x14ac:dyDescent="0.25">
      <c r="A539" s="19">
        <v>538</v>
      </c>
      <c r="B539" s="122" t="s">
        <v>1235</v>
      </c>
      <c r="C539" s="13"/>
      <c r="D539" s="13"/>
      <c r="E539" s="6"/>
      <c r="F539" s="65">
        <f>COUNTIF(Documentos!A:A,A539&amp;"Oficio_Solicitud")</f>
        <v>0</v>
      </c>
      <c r="G539"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39"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39"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39"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39"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39"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39" s="75">
        <f>COUNTIF(Documentos!A:A,A539&amp;"Proposicion")</f>
        <v>0</v>
      </c>
      <c r="N539"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539"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39"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39"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39"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39"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39" s="67">
        <f>COUNTIF(Documentos!A:A,A539&amp;"Decreto")</f>
        <v>0</v>
      </c>
      <c r="U539"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39"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39"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40" spans="1:26" x14ac:dyDescent="0.25">
      <c r="A540" s="19">
        <v>539</v>
      </c>
      <c r="B540" s="122"/>
      <c r="C540" s="13"/>
      <c r="D540" s="13"/>
      <c r="E540" s="6"/>
      <c r="F540" s="65">
        <f>COUNTIF(Documentos!A:A,A540&amp;"Oficio_Solicitud")</f>
        <v>0</v>
      </c>
      <c r="G540"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40"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40"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40"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40"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40"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40" s="75">
        <f>COUNTIF(Documentos!A:A,A540&amp;"Proposicion")</f>
        <v>0</v>
      </c>
      <c r="N540"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540"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40"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40"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40"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40"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40" s="67">
        <f>COUNTIF(Documentos!A:A,A540&amp;"Decreto")</f>
        <v>0</v>
      </c>
      <c r="U540"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40"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40"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41" spans="1:26" x14ac:dyDescent="0.25">
      <c r="A541" s="19">
        <v>540</v>
      </c>
      <c r="B541" s="122"/>
      <c r="C541" s="13"/>
      <c r="D541" s="13"/>
      <c r="E541" s="6"/>
      <c r="F541" s="65">
        <f>COUNTIF(Documentos!A:A,A541&amp;"Oficio_Solicitud")</f>
        <v>0</v>
      </c>
      <c r="G541" s="66"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
      </c>
      <c r="H541" s="66"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41" s="66"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41" s="66"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41" s="66"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41" s="66"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41" s="75">
        <f>COUNTIF(Documentos!A:A,A541&amp;"Proposicion")</f>
        <v>1</v>
      </c>
      <c r="N541" s="76"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727 DGA</v>
      </c>
      <c r="O541" s="76"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41" s="76"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41" s="76"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41" s="76"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41" s="76"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41" s="67">
        <f>COUNTIF(Documentos!A:A,A541&amp;"Decreto")</f>
        <v>0</v>
      </c>
      <c r="U541" s="68"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41" s="68"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Z541" s="68"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42" spans="1:26" x14ac:dyDescent="0.25">
      <c r="A542" s="19">
        <v>541</v>
      </c>
      <c r="B542" s="122" t="s">
        <v>1312</v>
      </c>
      <c r="C542" s="17"/>
      <c r="D542" s="17"/>
      <c r="E542" s="6"/>
      <c r="F542" s="65">
        <f>COUNTIF(Documentos!A:A,A542&amp;"Oficio_Solicitud")</f>
        <v>1</v>
      </c>
      <c r="G542" s="70"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9998 DA</v>
      </c>
      <c r="H542" s="70"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42" s="70"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42" s="70"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42" s="70"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42" s="70"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42" s="77">
        <f>COUNTIF(Documentos!A:A,A542&amp;"Proposicion")</f>
        <v>0</v>
      </c>
      <c r="N542" s="78"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
      </c>
      <c r="O542" s="78"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
      </c>
      <c r="P542" s="78"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
      </c>
      <c r="Q542" s="78"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42" s="78"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42" s="78"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42" s="67">
        <f>COUNTIF(Documentos!A:A,A542&amp;"Decreto")</f>
        <v>0</v>
      </c>
      <c r="U542" s="70"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
      </c>
      <c r="V542" s="70"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W542" s="70"/>
      <c r="X542" s="70"/>
      <c r="Y542" s="70"/>
      <c r="Z542" s="70"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row r="543" spans="1:26" x14ac:dyDescent="0.25">
      <c r="A543" s="104">
        <v>542</v>
      </c>
      <c r="B543" s="124" t="s">
        <v>2403</v>
      </c>
      <c r="C543" s="13"/>
      <c r="D543" s="13"/>
      <c r="E543" s="105"/>
      <c r="F543" s="106">
        <f>COUNTIF(Documentos!A:A,A543&amp;"Oficio_Solicitud")</f>
        <v>1</v>
      </c>
      <c r="G543" s="107" t="str">
        <f>IFERROR(HYPERLINK(CONCATENATE('(No tocar)'!$G$2,CONCATENATE("OF",VLOOKUP(CONCATENATE(A:A,"Oficio_Solicitud1"),Documentos!C:I,7,FALSE),VLOOKUP(CONCATENATE(A:A,"Oficio_Solicitud1"),Documentos!C:H,6,FALSE),VLOOKUP(CONCATENATE(A:A,"Oficio_Solicitud1"),Documentos!C:J,8,FALSE)),".pdf"),CONCATENATE("OF ",VLOOKUP(CONCATENATE(A:A,"Oficio_Solicitud1"),Documentos!C:I,7,FALSE)," ", VLOOKUP(CONCATENATE(A:A,"Oficio_Solicitud1"),Documentos!C:H,6,FALSE),VLOOKUP(CONCATENATE(A:A,"Oficio_Solicitud1"),Documentos!C:J,8,FALSE))),"")</f>
        <v>OF 56656 DAP+correo</v>
      </c>
      <c r="H543" s="107" t="str">
        <f>IFERROR(HYPERLINK(CONCATENATE('(No tocar)'!$G$2,CONCATENATE("OF",VLOOKUP(CONCATENATE(A:A,"Oficio_Solicitud2"),Documentos!C:I,7,FALSE),VLOOKUP(CONCATENATE(A:A,"Oficio_Solicitud2"),Documentos!C:H,6,FALSE),VLOOKUP(CONCATENATE(A:A,"Oficio_Solicitud2"),Documentos!C:J,8,FALSE)),".pdf"),CONCATENATE("OF ",VLOOKUP(CONCATENATE(A:A,"Oficio_Solicitud2"),Documentos!C:I,7,FALSE)," ", VLOOKUP(CONCATENATE(A:A,"Oficio_Solicitud2"),Documentos!C:H,6,FALSE),VLOOKUP(CONCATENATE(A:A,"Oficio_Solicitud2"),Documentos!C:J,8,FALSE))),"")</f>
        <v/>
      </c>
      <c r="I543" s="107" t="str">
        <f>IFERROR(HYPERLINK(CONCATENATE('(No tocar)'!$G$2,CONCATENATE("OF",VLOOKUP(CONCATENATE(A:A,"Oficio_Solicitud3"),Documentos!C:I,7,FALSE),VLOOKUP(CONCATENATE(A:A,"Oficio_Solicitud3"),Documentos!C:H,6,FALSE),VLOOKUP(CONCATENATE(A:A,"Oficio_Solicitud3"),Documentos!C:J,8,FALSE)),".pdf"),CONCATENATE("OF ",VLOOKUP(CONCATENATE(A:A,"Oficio_Solicitud3"),Documentos!C:I,7,FALSE)," ", VLOOKUP(CONCATENATE(A:A,"Oficio_Solicitud3"),Documentos!C:H,6,FALSE),VLOOKUP(CONCATENATE(A:A,"Oficio_Solicitud3"),Documentos!C:J,8,FALSE))),"")</f>
        <v/>
      </c>
      <c r="J543" s="107" t="str">
        <f>IFERROR(HYPERLINK(CONCATENATE('(No tocar)'!$G$2,CONCATENATE("OF",VLOOKUP(CONCATENATE(A:A,"Oficio_Solicitud4"),Documentos!C:I,7,FALSE),VLOOKUP(CONCATENATE(A:A,"Oficio_Solicitud4"),Documentos!C:H,6,FALSE),VLOOKUP(CONCATENATE(A:A,"Oficio_Solicitud4"),Documentos!C:J,8,FALSE)),".pdf"),CONCATENATE("OF ",VLOOKUP(CONCATENATE(A:A,"Oficio_Solicitud4"),Documentos!C:I,7,FALSE)," ", VLOOKUP(CONCATENATE(A:A,"Oficio_Solicitud4"),Documentos!C:H,6,FALSE),VLOOKUP(CONCATENATE(A:A,"Oficio_Solicitud4"),Documentos!C:J,8,FALSE))),"")</f>
        <v/>
      </c>
      <c r="K543" s="107" t="str">
        <f>IFERROR(HYPERLINK(CONCATENATE('(No tocar)'!$G$2,CONCATENATE("OF",VLOOKUP(CONCATENATE(A:A,"Oficio_Solicitud5"),Documentos!C:I,7,FALSE),VLOOKUP(CONCATENATE(A:A,"Oficio_Solicitud5"),Documentos!C:H,6,FALSE),VLOOKUP(CONCATENATE(A:A,"Oficio_Solicitud5"),Documentos!C:J,8,FALSE)),".pdf"),CONCATENATE("OF ",VLOOKUP(CONCATENATE(A:A,"Oficio_Solicitud5"),Documentos!C:I,7,FALSE)," ", VLOOKUP(CONCATENATE(A:A,"Oficio_Solicitud5"),Documentos!C:H,6,FALSE),VLOOKUP(CONCATENATE(A:A,"Oficio_Solicitud5"),Documentos!C:J,8,FALSE))),"")</f>
        <v/>
      </c>
      <c r="L543" s="107" t="str">
        <f>IFERROR(HYPERLINK(CONCATENATE('(No tocar)'!$G$2,CONCATENATE("OF",VLOOKUP(CONCATENATE(A:A,"Oficio_Solicitud6"),Documentos!C:I,7,FALSE),VLOOKUP(CONCATENATE(A:A,"Oficio_Solicitud6"),Documentos!C:H,6,FALSE),VLOOKUP(CONCATENATE(A:A,"Oficio_Solicitud6"),Documentos!C:J,8,FALSE)),".pdf"),CONCATENATE("OF ",VLOOKUP(CONCATENATE(A:A,"Oficio_Solicitud6"),Documentos!C:I,7,FALSE)," ", VLOOKUP(CONCATENATE(A:A,"Oficio_Solicitud6"),Documentos!C:H,6,FALSE),VLOOKUP(CONCATENATE(A:A,"Oficio_Solicitud6"),Documentos!C:J,8,FALSE))),"")</f>
        <v/>
      </c>
      <c r="M543" s="108">
        <f>COUNTIF(Documentos!A:A,A543&amp;"Proposicion")</f>
        <v>3</v>
      </c>
      <c r="N543" s="110" t="str">
        <f>IFERROR(HYPERLINK(CONCATENATE('(No tocar)'!$G$2,CONCATENATE("SOL",VLOOKUP(CONCATENATE(A:A,"Proposicion1"),Documentos!C:I,7,FALSE),VLOOKUP(CONCATENATE(A:A,"Proposicion1"),Documentos!C:H,6,FALSE),VLOOKUP(CONCATENATE(A:A,"Proposicion1"),Documentos!C:J,8,FALSE)),".pdf"),CONCATENATE("SOL ",VLOOKUP(CONCATENATE(A:A,"Proposicion1"),Documentos!C:I,7,FALSE)," ", VLOOKUP(CONCATENATE(A:A,"Proposicion1"),Documentos!C:H,6,FALSE),VLOOKUP(CONCATENATE(A:A,"Proposicion1"),Documentos!C:J,8,FALSE))),"")</f>
        <v>SOL 44444 DA</v>
      </c>
      <c r="O543" s="110" t="str">
        <f>IFERROR(HYPERLINK(CONCATENATE('(No tocar)'!$G$2,CONCATENATE("SOL",VLOOKUP(CONCATENATE(A:A,"Proposicion2"),Documentos!C:I,7,FALSE),VLOOKUP(CONCATENATE(A:A,"Proposicion2"),Documentos!C:H,6,FALSE),VLOOKUP(CONCATENATE(A:A,"Proposicion2"),Documentos!C:J,8,FALSE)),".pdf"),CONCATENATE("SOL ",VLOOKUP(CONCATENATE(A:A,"Proposicion2"),Documentos!C:I,7,FALSE)," ", VLOOKUP(CONCATENATE(A:A,"Proposicion2"),Documentos!C:H,6,FALSE),VLOOKUP(CONCATENATE(A:A,"Proposicion2"),Documentos!C:J,8,FALSE))),"")</f>
        <v>SOL 554445 DGC</v>
      </c>
      <c r="P543" s="110" t="str">
        <f>IFERROR(HYPERLINK(CONCATENATE('(No tocar)'!$G$2,CONCATENATE("SOL",VLOOKUP(CONCATENATE(A:A,"Proposicion3"),Documentos!C:I,7,FALSE),VLOOKUP(CONCATENATE(A:A,"Proposicion3"),Documentos!C:H,6,FALSE),VLOOKUP(CONCATENATE(A:A,"Proposicion3"),Documentos!C:J,8,FALSE)),".pdf"),CONCATENATE("SOL ",VLOOKUP(CONCATENATE(A:A,"Proposicion3"),Documentos!C:I,7,FALSE)," ", VLOOKUP(CONCATENATE(A:A,"Proposicion3"),Documentos!C:H,6,FALSE),VLOOKUP(CONCATENATE(A:A,"Proposicion3"),Documentos!C:J,8,FALSE))),"")</f>
        <v>SOL 454554 DA</v>
      </c>
      <c r="Q543" s="110" t="str">
        <f>IFERROR(HYPERLINK(CONCATENATE('(No tocar)'!$G$2,CONCATENATE("SOL",VLOOKUP(CONCATENATE(A:A,"Proposicion4"),Documentos!C:I,7,FALSE),VLOOKUP(CONCATENATE(A:A,"Proposicion4"),Documentos!C:H,6,FALSE),VLOOKUP(CONCATENATE(A:A,"Proposicion4"),Documentos!C:J,8,FALSE)),".pdf"),CONCATENATE("SOL ",VLOOKUP(CONCATENATE(A:A,"Proposicion4"),Documentos!C:I,7,FALSE)," ", VLOOKUP(CONCATENATE(A:A,"Proposicion4"),Documentos!C:H,6,FALSE),VLOOKUP(CONCATENATE(A:A,"Proposicion4"),Documentos!C:J,8,FALSE))),"")</f>
        <v/>
      </c>
      <c r="R543" s="110" t="str">
        <f>IFERROR(HYPERLINK(CONCATENATE('(No tocar)'!$G$2,CONCATENATE("SOL",VLOOKUP(CONCATENATE(A:A,"Proposicion5"),Documentos!C:I,7,FALSE),VLOOKUP(CONCATENATE(A:A,"Proposicion5"),Documentos!C:H,6,FALSE),VLOOKUP(CONCATENATE(A:A,"Proposicion5"),Documentos!C:J,8,FALSE)),".pdf"),CONCATENATE("SOL ",VLOOKUP(CONCATENATE(A:A,"Proposicion5"),Documentos!C:I,7,FALSE)," ", VLOOKUP(CONCATENATE(A:A,"Proposicion5"),Documentos!C:H,6,FALSE),VLOOKUP(CONCATENATE(A:A,"Proposicion5"),Documentos!C:J,8,FALSE))),"")</f>
        <v/>
      </c>
      <c r="S543" s="110" t="str">
        <f>IFERROR(HYPERLINK(CONCATENATE('(No tocar)'!$G$2,CONCATENATE("SOL",VLOOKUP(CONCATENATE(A:A,"Proposicion6"),Documentos!C:I,7,FALSE),VLOOKUP(CONCATENATE(A:A,"Proposicion6"),Documentos!C:H,6,FALSE),VLOOKUP(CONCATENATE(A:A,"Proposicion6"),Documentos!C:J,8,FALSE)),".pdf"),CONCATENATE("SOL ",VLOOKUP(CONCATENATE(A:A,"Proposicion6"),Documentos!C:I,7,FALSE)," ", VLOOKUP(CONCATENATE(A:A,"Proposicion6"),Documentos!C:H,6,FALSE),VLOOKUP(CONCATENATE(A:A,"Proposicion6"),Documentos!C:J,8,FALSE))),"")</f>
        <v/>
      </c>
      <c r="T543" s="109">
        <f>COUNTIF(Documentos!A:A,A543&amp;"Decreto")</f>
        <v>1</v>
      </c>
      <c r="U543" s="107" t="str">
        <f>IFERROR(HYPERLINK(CONCATENATE('(No tocar)'!$G$2,CONCATENATE("DEC",VLOOKUP(CONCATENATE(A:A,"Decreto1"),Documentos!C:I,7,FALSE),VLOOKUP(CONCATENATE(A:A,"Decreto1"),Documentos!C:H,6,FALSE),VLOOKUP(CONCATENATE(A:A,"Decreto1"),Documentos!C:J,8,FALSE)),".pdf"),CONCATENATE("DEC ",VLOOKUP(CONCATENATE(A:A,"Decreto1"),Documentos!C:I,7,FALSE)," ", VLOOKUP(CONCATENATE(A:A,"Decreto1"),Documentos!C:H,6,FALSE),VLOOKUP(CONCATENATE(A:A,"Decreto1"),Documentos!C:J,8,FALSE))),"")</f>
        <v>DEC 656 DA</v>
      </c>
      <c r="V543" s="107" t="str">
        <f>IFERROR(HYPERLINK(CONCATENATE('(No tocar)'!$G$2,CONCATENATE("DEC",VLOOKUP(CONCATENATE(A:A,"Decreto2"),Documentos!C:I,7,FALSE),VLOOKUP(CONCATENATE(A:A,"Decreto2"),Documentos!C:H,6,FALSE),VLOOKUP(CONCATENATE(A:A,"Decreto2"),Documentos!C:J,8,FALSE)),".pdf"),CONCATENATE("DEC ",VLOOKUP(CONCATENATE(A:A,"Decreto2"),Documentos!C:I,7,FALSE)," ", VLOOKUP(CONCATENATE(A:A,"Decreto2"),Documentos!C:H,6,FALSE),VLOOKUP(CONCATENATE(A:A,"Decreto2"),Documentos!C:J,8,FALSE))),"")</f>
        <v/>
      </c>
      <c r="W543" s="107"/>
      <c r="X543" s="107"/>
      <c r="Y543" s="107"/>
      <c r="Z543" s="107" t="str">
        <f>IFERROR(HYPERLINK(CONCATENATE('(No tocar)'!$G$2,CONCATENATE("DEC",VLOOKUP(CONCATENATE(A:A,"Decreto3"),Documentos!C:I,7,FALSE),VLOOKUP(CONCATENATE(A:A,"Decreto3"),Documentos!C:H,6,FALSE),VLOOKUP(CONCATENATE(A:A,"Decreto3"),Documentos!C:J,8,FALSE)),".pdf"),CONCATENATE("DEC ",VLOOKUP(CONCATENATE(A:A,"Decreto3"),Documentos!C:I,7,FALSE)," ", VLOOKUP(CONCATENATE(A:A,"Decreto3"),Documentos!C:H,6,FALSE),VLOOKUP(CONCATENATE(A:A,"Decreto3"),Documentos!C:J,8,FALSE))),"")</f>
        <v/>
      </c>
    </row>
  </sheetData>
  <dataValidations count="3">
    <dataValidation type="whole" allowBlank="1" showInputMessage="1" showErrorMessage="1" promptTitle="(Obligatorio)" prompt="Correlativo único para cada solicitud" sqref="A1:A1048576">
      <formula1>1</formula1>
      <formula2>999999999999999000000</formula2>
    </dataValidation>
    <dataValidation allowBlank="1" showInputMessage="1" showErrorMessage="1" promptTitle="(Opcional)" prompt="Resumen de la solicitud" sqref="B1:B1048576"/>
    <dataValidation allowBlank="1" showInputMessage="1" showErrorMessage="1" promptTitle="(Autogenerada)" prompt="No modificar" sqref="F1:F1048576 G1:G1048576 H1:H1048576 I1:I1048576 J1:L1048576 M1:Z1048576"/>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ThisWorkbook.Button_Export_click">
                <anchor moveWithCells="1" sizeWithCells="1">
                  <from>
                    <xdr:col>25</xdr:col>
                    <xdr:colOff>438150</xdr:colOff>
                    <xdr:row>1</xdr:row>
                    <xdr:rowOff>76200</xdr:rowOff>
                  </from>
                  <to>
                    <xdr:col>27</xdr:col>
                    <xdr:colOff>28575</xdr:colOff>
                    <xdr:row>4</xdr:row>
                    <xdr:rowOff>76200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date" allowBlank="1" showInputMessage="1" showErrorMessage="1" promptTitle="(Obligatoria si desestimada)" prompt="Si la solicitud fue desestimada se debe ingresar su fecha de desestimación">
          <x14:formula1>
            <xm:f>'(No tocar)'!H2</xm:f>
          </x14:formula1>
          <x14:formula2>
            <xm:f>'(No tocar)'!I2</xm:f>
          </x14:formula2>
          <xm:sqref>C1:C1048576</xm:sqref>
        </x14:dataValidation>
        <x14:dataValidation type="date" allowBlank="1" showInputMessage="1" showErrorMessage="1" promptTitle="(Obligatorio si rechazada)" prompt="Si la solicitud fue rechazada se debe ingresar su fecha de desestimación">
          <x14:formula1>
            <xm:f>'(No tocar)'!H2</xm:f>
          </x14:formula1>
          <x14:formula2>
            <xm:f>'(No tocar)'!I2</xm:f>
          </x14:formula2>
          <xm:sqref>D1:D1048576</xm:sqref>
        </x14:dataValidation>
        <x14:dataValidation type="date" allowBlank="1" showInputMessage="1" showErrorMessage="1" promptTitle="(Opcional)" prompt="Fecha de la última modificación a la fila">
          <x14:formula1>
            <xm:f>'(No tocar)'!H2</xm:f>
          </x14:formula1>
          <x14:formula2>
            <xm:f>'(No tocar)'!I2</xm:f>
          </x14:formula2>
          <xm:sqref>E1:E1048576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1574"/>
  <sheetViews>
    <sheetView topLeftCell="D1" zoomScale="124" zoomScaleNormal="124" workbookViewId="0">
      <pane ySplit="1" topLeftCell="A2" activePane="bottomLeft" state="frozen"/>
      <selection activeCell="D1" sqref="D1"/>
      <selection pane="bottomLeft" activeCell="D332" sqref="D332"/>
    </sheetView>
  </sheetViews>
  <sheetFormatPr baseColWidth="10" defaultColWidth="9.140625" defaultRowHeight="60" customHeight="1" x14ac:dyDescent="0.25"/>
  <cols>
    <col min="1" max="1" width="26.5703125" style="27" hidden="1" customWidth="1"/>
    <col min="2" max="2" width="14.140625" style="27" hidden="1" customWidth="1"/>
    <col min="3" max="3" width="34.28515625" style="27" hidden="1" customWidth="1"/>
    <col min="4" max="4" width="15.28515625" style="27" bestFit="1" customWidth="1"/>
    <col min="5" max="5" width="13.28515625" style="27" bestFit="1" customWidth="1"/>
    <col min="6" max="6" width="23.85546875" style="27" bestFit="1" customWidth="1"/>
    <col min="7" max="7" width="29.85546875" style="61" bestFit="1" customWidth="1"/>
    <col min="8" max="8" width="12.7109375" style="62" bestFit="1" customWidth="1"/>
    <col min="9" max="9" width="19.28515625" style="27" bestFit="1" customWidth="1"/>
    <col min="10" max="10" width="19.28515625" style="81" bestFit="1" customWidth="1"/>
    <col min="11" max="11" width="19.140625" style="85" customWidth="1"/>
    <col min="12" max="12" width="17.5703125" style="59" bestFit="1" customWidth="1"/>
    <col min="13" max="13" width="16.5703125" style="59" bestFit="1" customWidth="1"/>
    <col min="14" max="14" width="34.5703125" style="60" customWidth="1"/>
    <col min="15" max="15" width="13.140625" style="27" bestFit="1" customWidth="1"/>
    <col min="16" max="16" width="12.140625" style="27" customWidth="1"/>
    <col min="17" max="17" width="22.5703125" style="63" bestFit="1" customWidth="1"/>
    <col min="18" max="18" width="15.7109375" style="59" bestFit="1" customWidth="1"/>
    <col min="19" max="19" width="12" style="119" bestFit="1" customWidth="1"/>
    <col min="20" max="20" width="11.140625" style="59" bestFit="1" customWidth="1"/>
    <col min="21" max="21" width="17.5703125" style="27" bestFit="1" customWidth="1"/>
    <col min="22" max="22" width="24.85546875" style="59" bestFit="1" customWidth="1"/>
    <col min="23" max="23" width="9.140625" style="61"/>
    <col min="24" max="16384" width="9.140625" style="27"/>
  </cols>
  <sheetData>
    <row r="1" spans="1:23" ht="15.75" customHeight="1" x14ac:dyDescent="0.25">
      <c r="A1" s="45" t="s">
        <v>1286</v>
      </c>
      <c r="B1" s="45" t="s">
        <v>1308</v>
      </c>
      <c r="C1" s="45" t="s">
        <v>1309</v>
      </c>
      <c r="D1" s="45" t="s">
        <v>55</v>
      </c>
      <c r="E1" s="45" t="s">
        <v>0</v>
      </c>
      <c r="F1" s="46" t="s">
        <v>2</v>
      </c>
      <c r="G1" s="46" t="s">
        <v>1237</v>
      </c>
      <c r="H1" s="47" t="s">
        <v>1238</v>
      </c>
      <c r="I1" s="48" t="s">
        <v>49</v>
      </c>
      <c r="J1" s="80" t="s">
        <v>1245</v>
      </c>
      <c r="K1" s="82" t="s">
        <v>1298</v>
      </c>
      <c r="L1" s="48" t="s">
        <v>1008</v>
      </c>
      <c r="M1" s="48" t="s">
        <v>50</v>
      </c>
      <c r="N1" s="49" t="s">
        <v>52</v>
      </c>
      <c r="O1" s="48" t="s">
        <v>1303</v>
      </c>
      <c r="P1" s="48" t="s">
        <v>493</v>
      </c>
      <c r="Q1" s="48" t="s">
        <v>1</v>
      </c>
      <c r="R1" s="45" t="s">
        <v>3</v>
      </c>
      <c r="S1" s="114" t="s">
        <v>1302</v>
      </c>
      <c r="T1" s="45" t="s">
        <v>1009</v>
      </c>
      <c r="U1" s="48" t="s">
        <v>4</v>
      </c>
      <c r="V1" s="48" t="s">
        <v>5</v>
      </c>
      <c r="W1" s="27"/>
    </row>
    <row r="2" spans="1:23" ht="60" hidden="1" customHeight="1" x14ac:dyDescent="0.25">
      <c r="A2" s="45" t="str">
        <f>CONCATENATE(Tabla2[[#This Row],[id_solicitud]],Tabla2[[#This Row],[tipo]])</f>
        <v>45Oficio_Solicitud</v>
      </c>
      <c r="B2" s="45">
        <f>COUNTIF($A$2:A2,A2)</f>
        <v>1</v>
      </c>
      <c r="C2" s="45" t="str">
        <f>Tabla2[[#This Row],[(id_solicitud-tipo_documento)]]&amp;B2</f>
        <v>45Oficio_Solicitud1</v>
      </c>
      <c r="D2" s="45">
        <v>1</v>
      </c>
      <c r="E2" s="45">
        <v>45</v>
      </c>
      <c r="F2" s="45" t="s">
        <v>53</v>
      </c>
      <c r="G2" s="45" t="s">
        <v>2402</v>
      </c>
      <c r="H2" s="50" t="s">
        <v>14</v>
      </c>
      <c r="I2" s="51">
        <v>1</v>
      </c>
      <c r="J2" s="80"/>
      <c r="K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 DGA</v>
      </c>
      <c r="L2" s="48">
        <v>44574</v>
      </c>
      <c r="M2" s="48">
        <v>44578</v>
      </c>
      <c r="N2" s="49" t="s">
        <v>107</v>
      </c>
      <c r="O2" s="45"/>
      <c r="P2" s="80" t="s">
        <v>497</v>
      </c>
      <c r="Q2" s="48"/>
      <c r="R2" s="45"/>
      <c r="S2" s="114"/>
      <c r="T2" s="52"/>
      <c r="U2" s="48"/>
      <c r="V2" s="48"/>
      <c r="W2" s="27"/>
    </row>
    <row r="3" spans="1:23" ht="60" hidden="1" customHeight="1" x14ac:dyDescent="0.25">
      <c r="A3" s="45" t="str">
        <f>CONCATENATE(Tabla2[[#This Row],[id_solicitud]],Tabla2[[#This Row],[tipo]])</f>
        <v>58Oficio_Solicitud</v>
      </c>
      <c r="B3" s="45">
        <f>COUNTIF($A$2:A3,A3)</f>
        <v>1</v>
      </c>
      <c r="C3" s="45" t="str">
        <f>Tabla2[[#This Row],[(id_solicitud-tipo_documento)]]&amp;B3</f>
        <v>58Oficio_Solicitud1</v>
      </c>
      <c r="D3" s="45">
        <v>2</v>
      </c>
      <c r="E3" s="45">
        <v>58</v>
      </c>
      <c r="F3" s="45" t="s">
        <v>53</v>
      </c>
      <c r="G3" s="45" t="s">
        <v>44</v>
      </c>
      <c r="H3" s="50" t="s">
        <v>24</v>
      </c>
      <c r="I3" s="51">
        <v>3</v>
      </c>
      <c r="J3" s="80"/>
      <c r="K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 DP</v>
      </c>
      <c r="L3" s="48">
        <v>44587</v>
      </c>
      <c r="M3" s="48">
        <v>44587</v>
      </c>
      <c r="N3" s="49" t="s">
        <v>116</v>
      </c>
      <c r="O3" s="45">
        <v>0</v>
      </c>
      <c r="P3" s="80" t="s">
        <v>498</v>
      </c>
      <c r="Q3" s="48"/>
      <c r="R3" s="45"/>
      <c r="S3" s="114"/>
      <c r="T3" s="52"/>
      <c r="U3" s="48"/>
      <c r="V3" s="48"/>
      <c r="W3" s="27"/>
    </row>
    <row r="4" spans="1:23" ht="60" hidden="1" customHeight="1" x14ac:dyDescent="0.25">
      <c r="A4" s="45" t="str">
        <f>CONCATENATE(Tabla2[[#This Row],[id_solicitud]],Tabla2[[#This Row],[tipo]])</f>
        <v>39Proposicion</v>
      </c>
      <c r="B4" s="45">
        <f>COUNTIF($A$2:A4,A4)</f>
        <v>1</v>
      </c>
      <c r="C4" s="45" t="str">
        <f>Tabla2[[#This Row],[(id_solicitud-tipo_documento)]]&amp;B4</f>
        <v>39Proposicion1</v>
      </c>
      <c r="D4" s="45">
        <v>3</v>
      </c>
      <c r="E4" s="45">
        <v>39</v>
      </c>
      <c r="F4" s="45" t="s">
        <v>46</v>
      </c>
      <c r="G4" s="45" t="s">
        <v>43</v>
      </c>
      <c r="H4" s="50" t="s">
        <v>33</v>
      </c>
      <c r="I4" s="51">
        <v>6</v>
      </c>
      <c r="J4" s="80"/>
      <c r="K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 SISS</v>
      </c>
      <c r="L4" s="48">
        <v>44566</v>
      </c>
      <c r="M4" s="48">
        <v>44566</v>
      </c>
      <c r="N4" s="49" t="s">
        <v>621</v>
      </c>
      <c r="O4" s="45">
        <v>1</v>
      </c>
      <c r="P4" s="80" t="s">
        <v>494</v>
      </c>
      <c r="Q4" s="24"/>
      <c r="R4" s="24" t="s">
        <v>24</v>
      </c>
      <c r="S4" s="114"/>
      <c r="T4" s="45"/>
      <c r="U4" s="48"/>
      <c r="V4" s="48"/>
      <c r="W4" s="27"/>
    </row>
    <row r="5" spans="1:23" ht="60" hidden="1" customHeight="1" x14ac:dyDescent="0.25">
      <c r="A5" s="45" t="str">
        <f>CONCATENATE(Tabla2[[#This Row],[id_solicitud]],Tabla2[[#This Row],[tipo]])</f>
        <v>27Proposicion</v>
      </c>
      <c r="B5" s="45">
        <f>COUNTIF($A$2:A5,A5)</f>
        <v>1</v>
      </c>
      <c r="C5" s="45" t="str">
        <f>Tabla2[[#This Row],[(id_solicitud-tipo_documento)]]&amp;B5</f>
        <v>27Proposicion1</v>
      </c>
      <c r="D5" s="45">
        <v>4</v>
      </c>
      <c r="E5" s="45">
        <v>27</v>
      </c>
      <c r="F5" s="45" t="s">
        <v>46</v>
      </c>
      <c r="G5" s="45" t="s">
        <v>43</v>
      </c>
      <c r="H5" s="50" t="s">
        <v>6</v>
      </c>
      <c r="I5" s="51">
        <v>7</v>
      </c>
      <c r="J5" s="80"/>
      <c r="K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 APR</v>
      </c>
      <c r="L5" s="48">
        <v>44567</v>
      </c>
      <c r="M5" s="48">
        <v>44568</v>
      </c>
      <c r="N5" s="49" t="s">
        <v>614</v>
      </c>
      <c r="O5" s="45">
        <f>21+112</f>
        <v>133</v>
      </c>
      <c r="P5" s="80" t="s">
        <v>494</v>
      </c>
      <c r="Q5" s="24"/>
      <c r="R5" s="24" t="s">
        <v>24</v>
      </c>
      <c r="S5" s="114"/>
      <c r="T5" s="45"/>
      <c r="U5" s="48"/>
      <c r="V5" s="48"/>
      <c r="W5" s="27"/>
    </row>
    <row r="6" spans="1:23" ht="60" hidden="1" customHeight="1" x14ac:dyDescent="0.25">
      <c r="A6" s="45" t="str">
        <f>CONCATENATE(Tabla2[[#This Row],[id_solicitud]],Tabla2[[#This Row],[tipo]])</f>
        <v>103Oficio_Solicitud</v>
      </c>
      <c r="B6" s="45">
        <f>COUNTIF($A$2:A6,A6)</f>
        <v>1</v>
      </c>
      <c r="C6" s="45" t="str">
        <f>Tabla2[[#This Row],[(id_solicitud-tipo_documento)]]&amp;B6</f>
        <v>103Oficio_Solicitud1</v>
      </c>
      <c r="D6" s="45">
        <v>5</v>
      </c>
      <c r="E6" s="45">
        <v>103</v>
      </c>
      <c r="F6" s="45" t="s">
        <v>53</v>
      </c>
      <c r="G6" s="45" t="s">
        <v>63</v>
      </c>
      <c r="H6" s="50" t="s">
        <v>24</v>
      </c>
      <c r="I6" s="51">
        <v>13</v>
      </c>
      <c r="J6" s="80"/>
      <c r="K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 DP</v>
      </c>
      <c r="L6" s="48">
        <v>44627</v>
      </c>
      <c r="M6" s="48">
        <v>44627</v>
      </c>
      <c r="N6" s="49" t="s">
        <v>152</v>
      </c>
      <c r="O6" s="45"/>
      <c r="P6" s="80" t="s">
        <v>494</v>
      </c>
      <c r="Q6" s="48"/>
      <c r="R6" s="45"/>
      <c r="S6" s="114"/>
      <c r="T6" s="52"/>
      <c r="U6" s="48"/>
      <c r="V6" s="48"/>
      <c r="W6" s="27"/>
    </row>
    <row r="7" spans="1:23" ht="60" hidden="1" customHeight="1" x14ac:dyDescent="0.25">
      <c r="A7" s="45" t="str">
        <f>CONCATENATE(Tabla2[[#This Row],[id_solicitud]],Tabla2[[#This Row],[tipo]])</f>
        <v>425Oficio_Solicitud</v>
      </c>
      <c r="B7" s="45">
        <f>COUNTIF($A$2:A7,A7)</f>
        <v>1</v>
      </c>
      <c r="C7" s="45" t="str">
        <f>Tabla2[[#This Row],[(id_solicitud-tipo_documento)]]&amp;B7</f>
        <v>425Oficio_Solicitud1</v>
      </c>
      <c r="D7" s="45">
        <v>6</v>
      </c>
      <c r="E7" s="45">
        <v>425</v>
      </c>
      <c r="F7" s="45" t="s">
        <v>53</v>
      </c>
      <c r="G7" s="45" t="s">
        <v>60</v>
      </c>
      <c r="H7" s="50" t="s">
        <v>30</v>
      </c>
      <c r="I7" s="51">
        <v>13</v>
      </c>
      <c r="J7" s="80"/>
      <c r="K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 INH</v>
      </c>
      <c r="L7" s="48">
        <v>44819</v>
      </c>
      <c r="M7" s="48">
        <v>44824</v>
      </c>
      <c r="N7" s="49" t="s">
        <v>409</v>
      </c>
      <c r="O7" s="45">
        <v>1</v>
      </c>
      <c r="P7" s="80" t="s">
        <v>494</v>
      </c>
      <c r="Q7" s="48">
        <v>44839</v>
      </c>
      <c r="R7" s="45"/>
      <c r="S7" s="114"/>
      <c r="T7" s="52"/>
      <c r="U7" s="48"/>
      <c r="V7" s="48"/>
      <c r="W7" s="27"/>
    </row>
    <row r="8" spans="1:23" ht="60" hidden="1" customHeight="1" x14ac:dyDescent="0.25">
      <c r="A8" s="45" t="str">
        <f>CONCATENATE(Tabla2[[#This Row],[id_solicitud]],Tabla2[[#This Row],[tipo]])</f>
        <v>8Proposicion</v>
      </c>
      <c r="B8" s="45">
        <f>COUNTIF($A$2:A8,A8)</f>
        <v>1</v>
      </c>
      <c r="C8" s="45" t="str">
        <f>Tabla2[[#This Row],[(id_solicitud-tipo_documento)]]&amp;B8</f>
        <v>8Proposicion1</v>
      </c>
      <c r="D8" s="45">
        <v>7</v>
      </c>
      <c r="E8" s="45">
        <v>8</v>
      </c>
      <c r="F8" s="45" t="s">
        <v>46</v>
      </c>
      <c r="G8" s="45" t="s">
        <v>43</v>
      </c>
      <c r="H8" s="50" t="s">
        <v>8</v>
      </c>
      <c r="I8" s="51">
        <v>14</v>
      </c>
      <c r="J8" s="80"/>
      <c r="K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14 DA</v>
      </c>
      <c r="L8" s="48">
        <v>44571</v>
      </c>
      <c r="M8" s="48">
        <v>44571</v>
      </c>
      <c r="N8" s="49" t="s">
        <v>610</v>
      </c>
      <c r="O8" s="45">
        <v>11</v>
      </c>
      <c r="P8" s="80" t="s">
        <v>494</v>
      </c>
      <c r="Q8" s="24"/>
      <c r="R8" s="24" t="s">
        <v>24</v>
      </c>
      <c r="S8" s="114"/>
      <c r="T8" s="45"/>
      <c r="U8" s="48"/>
      <c r="V8" s="48"/>
      <c r="W8" s="27"/>
    </row>
    <row r="9" spans="1:23" ht="60" hidden="1" customHeight="1" x14ac:dyDescent="0.25">
      <c r="A9" s="45" t="str">
        <f>CONCATENATE(Tabla2[[#This Row],[id_solicitud]],Tabla2[[#This Row],[tipo]])</f>
        <v>473Oficio_Solicitud</v>
      </c>
      <c r="B9" s="45">
        <f>COUNTIF($A$2:A9,A9)</f>
        <v>1</v>
      </c>
      <c r="C9" s="45" t="str">
        <f>Tabla2[[#This Row],[(id_solicitud-tipo_documento)]]&amp;B9</f>
        <v>473Oficio_Solicitud1</v>
      </c>
      <c r="D9" s="45">
        <v>8</v>
      </c>
      <c r="E9" s="45">
        <v>473</v>
      </c>
      <c r="F9" s="45" t="s">
        <v>53</v>
      </c>
      <c r="G9" s="45" t="s">
        <v>40</v>
      </c>
      <c r="H9" s="50" t="s">
        <v>18</v>
      </c>
      <c r="I9" s="51">
        <v>15</v>
      </c>
      <c r="J9" s="80"/>
      <c r="K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15 DGOP</v>
      </c>
      <c r="L9" s="48">
        <v>44846</v>
      </c>
      <c r="M9" s="48">
        <v>44851</v>
      </c>
      <c r="N9" s="49" t="s">
        <v>443</v>
      </c>
      <c r="O9" s="45"/>
      <c r="P9" s="80" t="s">
        <v>494</v>
      </c>
      <c r="Q9" s="48"/>
      <c r="R9" s="45"/>
      <c r="S9" s="114"/>
      <c r="T9" s="52"/>
      <c r="U9" s="48"/>
      <c r="V9" s="48"/>
      <c r="W9" s="27"/>
    </row>
    <row r="10" spans="1:23" ht="60" hidden="1" customHeight="1" x14ac:dyDescent="0.25">
      <c r="A10" s="45" t="str">
        <f>CONCATENATE(Tabla2[[#This Row],[id_solicitud]],Tabla2[[#This Row],[tipo]])</f>
        <v>37Proposicion</v>
      </c>
      <c r="B10" s="45">
        <f>COUNTIF($A$2:A10,A10)</f>
        <v>1</v>
      </c>
      <c r="C10" s="45" t="str">
        <f>Tabla2[[#This Row],[(id_solicitud-tipo_documento)]]&amp;B10</f>
        <v>37Proposicion1</v>
      </c>
      <c r="D10" s="45">
        <v>9</v>
      </c>
      <c r="E10" s="45">
        <v>37</v>
      </c>
      <c r="F10" s="45" t="s">
        <v>46</v>
      </c>
      <c r="G10" s="45" t="s">
        <v>43</v>
      </c>
      <c r="H10" s="50" t="s">
        <v>535</v>
      </c>
      <c r="I10" s="51">
        <v>16</v>
      </c>
      <c r="J10" s="80"/>
      <c r="K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16 DOH_FETCovid19</v>
      </c>
      <c r="L10" s="48">
        <v>44572</v>
      </c>
      <c r="M10" s="48">
        <v>44572</v>
      </c>
      <c r="N10" s="49" t="s">
        <v>99</v>
      </c>
      <c r="O10" s="45">
        <f>2+35</f>
        <v>37</v>
      </c>
      <c r="P10" s="80" t="s">
        <v>494</v>
      </c>
      <c r="Q10" s="24"/>
      <c r="R10" s="24" t="s">
        <v>24</v>
      </c>
      <c r="S10" s="114"/>
      <c r="T10" s="45"/>
      <c r="U10" s="48"/>
      <c r="V10" s="48"/>
      <c r="W10" s="27"/>
    </row>
    <row r="11" spans="1:23" ht="60" hidden="1" customHeight="1" x14ac:dyDescent="0.25">
      <c r="A11" s="45" t="str">
        <f>CONCATENATE(Tabla2[[#This Row],[id_solicitud]],Tabla2[[#This Row],[tipo]])</f>
        <v>489Oficio_Solicitud</v>
      </c>
      <c r="B11" s="45">
        <f>COUNTIF($A$2:A11,A11)</f>
        <v>1</v>
      </c>
      <c r="C11" s="45" t="str">
        <f>Tabla2[[#This Row],[(id_solicitud-tipo_documento)]]&amp;B11</f>
        <v>489Oficio_Solicitud1</v>
      </c>
      <c r="D11" s="45">
        <v>10</v>
      </c>
      <c r="E11" s="45">
        <v>489</v>
      </c>
      <c r="F11" s="45" t="s">
        <v>53</v>
      </c>
      <c r="G11" s="45" t="s">
        <v>40</v>
      </c>
      <c r="H11" s="50" t="s">
        <v>18</v>
      </c>
      <c r="I11" s="51">
        <v>16</v>
      </c>
      <c r="J11" s="80"/>
      <c r="K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 DGOP</v>
      </c>
      <c r="L11" s="48">
        <v>44847</v>
      </c>
      <c r="M11" s="48">
        <v>44851</v>
      </c>
      <c r="N11" s="49" t="s">
        <v>457</v>
      </c>
      <c r="O11" s="45"/>
      <c r="P11" s="80" t="s">
        <v>526</v>
      </c>
      <c r="Q11" s="48"/>
      <c r="R11" s="45"/>
      <c r="S11" s="114"/>
      <c r="T11" s="52"/>
      <c r="U11" s="48"/>
      <c r="V11" s="48"/>
      <c r="W11" s="27"/>
    </row>
    <row r="12" spans="1:23" ht="60" hidden="1" customHeight="1" x14ac:dyDescent="0.25">
      <c r="A12" s="45" t="str">
        <f>CONCATENATE(Tabla2[[#This Row],[id_solicitud]],Tabla2[[#This Row],[tipo]])</f>
        <v>43Oficio_Solicitud</v>
      </c>
      <c r="B12" s="45">
        <f>COUNTIF($A$2:A12,A12)</f>
        <v>1</v>
      </c>
      <c r="C12" s="45" t="str">
        <f>Tabla2[[#This Row],[(id_solicitud-tipo_documento)]]&amp;B12</f>
        <v>43Oficio_Solicitud1</v>
      </c>
      <c r="D12" s="45">
        <v>11</v>
      </c>
      <c r="E12" s="45">
        <v>43</v>
      </c>
      <c r="F12" s="45" t="s">
        <v>53</v>
      </c>
      <c r="G12" s="45" t="s">
        <v>40</v>
      </c>
      <c r="H12" s="50" t="s">
        <v>532</v>
      </c>
      <c r="I12" s="51">
        <v>19</v>
      </c>
      <c r="J12" s="80"/>
      <c r="K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 DA_FETCovid19</v>
      </c>
      <c r="L12" s="48">
        <v>44568</v>
      </c>
      <c r="M12" s="48">
        <v>44572</v>
      </c>
      <c r="N12" s="49" t="s">
        <v>105</v>
      </c>
      <c r="O12" s="45"/>
      <c r="P12" s="80" t="s">
        <v>495</v>
      </c>
      <c r="Q12" s="48"/>
      <c r="R12" s="45"/>
      <c r="S12" s="114"/>
      <c r="T12" s="52"/>
      <c r="U12" s="48"/>
      <c r="V12" s="48"/>
      <c r="W12" s="27"/>
    </row>
    <row r="13" spans="1:23" ht="60" hidden="1" customHeight="1" x14ac:dyDescent="0.25">
      <c r="A13" s="45" t="str">
        <f>CONCATENATE(Tabla2[[#This Row],[id_solicitud]],Tabla2[[#This Row],[tipo]])</f>
        <v>18Decreto</v>
      </c>
      <c r="B13" s="45">
        <f>COUNTIF($A$2:A13,A13)</f>
        <v>1</v>
      </c>
      <c r="C13" s="45" t="str">
        <f>Tabla2[[#This Row],[(id_solicitud-tipo_documento)]]&amp;B13</f>
        <v>18Decreto1</v>
      </c>
      <c r="D13" s="45">
        <v>12</v>
      </c>
      <c r="E13" s="45">
        <v>18</v>
      </c>
      <c r="F13" s="45" t="s">
        <v>47</v>
      </c>
      <c r="G13" s="45" t="s">
        <v>43</v>
      </c>
      <c r="H13" s="50" t="s">
        <v>10</v>
      </c>
      <c r="I13" s="51">
        <v>27</v>
      </c>
      <c r="J13" s="80"/>
      <c r="K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27 DAP</v>
      </c>
      <c r="L13" s="48">
        <v>44575</v>
      </c>
      <c r="M13" s="48">
        <v>44575</v>
      </c>
      <c r="N13" s="49" t="s">
        <v>764</v>
      </c>
      <c r="O13" s="45"/>
      <c r="P13" s="80"/>
      <c r="Q13" s="48"/>
      <c r="R13" s="45"/>
      <c r="S13" s="115">
        <v>1014</v>
      </c>
      <c r="T13" s="20">
        <v>44564</v>
      </c>
      <c r="U13" s="20">
        <v>44589</v>
      </c>
      <c r="V13" s="20">
        <v>44589</v>
      </c>
      <c r="W13" s="27"/>
    </row>
    <row r="14" spans="1:23" ht="60" hidden="1" customHeight="1" x14ac:dyDescent="0.25">
      <c r="A14" s="45" t="str">
        <f>CONCATENATE(Tabla2[[#This Row],[id_solicitud]],Tabla2[[#This Row],[tipo]])</f>
        <v>233Oficio_Solicitud</v>
      </c>
      <c r="B14" s="45">
        <f>COUNTIF($A$2:A14,A14)</f>
        <v>1</v>
      </c>
      <c r="C14" s="45" t="str">
        <f>Tabla2[[#This Row],[(id_solicitud-tipo_documento)]]&amp;B14</f>
        <v>233Oficio_Solicitud1</v>
      </c>
      <c r="D14" s="45">
        <v>13</v>
      </c>
      <c r="E14" s="45">
        <v>233</v>
      </c>
      <c r="F14" s="45" t="s">
        <v>53</v>
      </c>
      <c r="G14" s="45" t="s">
        <v>40</v>
      </c>
      <c r="H14" s="50" t="s">
        <v>24</v>
      </c>
      <c r="I14" s="51">
        <v>27</v>
      </c>
      <c r="J14" s="80"/>
      <c r="K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 DP</v>
      </c>
      <c r="L14" s="48">
        <v>44706</v>
      </c>
      <c r="M14" s="48">
        <v>44578</v>
      </c>
      <c r="N14" s="49" t="s">
        <v>261</v>
      </c>
      <c r="O14" s="45"/>
      <c r="P14" s="80" t="s">
        <v>511</v>
      </c>
      <c r="Q14" s="48"/>
      <c r="R14" s="45"/>
      <c r="S14" s="114"/>
      <c r="T14" s="52"/>
      <c r="U14" s="48"/>
      <c r="V14" s="48"/>
      <c r="W14" s="27"/>
    </row>
    <row r="15" spans="1:23" ht="60" hidden="1" customHeight="1" x14ac:dyDescent="0.25">
      <c r="A15" s="45" t="str">
        <f>CONCATENATE(Tabla2[[#This Row],[id_solicitud]],Tabla2[[#This Row],[tipo]])</f>
        <v>232Oficio_Solicitud</v>
      </c>
      <c r="B15" s="45">
        <f>COUNTIF($A$2:A15,A15)</f>
        <v>1</v>
      </c>
      <c r="C15" s="45" t="str">
        <f>Tabla2[[#This Row],[(id_solicitud-tipo_documento)]]&amp;B15</f>
        <v>232Oficio_Solicitud1</v>
      </c>
      <c r="D15" s="45">
        <v>14</v>
      </c>
      <c r="E15" s="45">
        <v>232</v>
      </c>
      <c r="F15" s="45" t="s">
        <v>53</v>
      </c>
      <c r="G15" s="45" t="s">
        <v>61</v>
      </c>
      <c r="H15" s="50" t="s">
        <v>584</v>
      </c>
      <c r="I15" s="51">
        <v>28</v>
      </c>
      <c r="J15" s="80"/>
      <c r="K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28 DP-DV</v>
      </c>
      <c r="L15" s="48">
        <v>44706</v>
      </c>
      <c r="M15" s="48">
        <v>44578</v>
      </c>
      <c r="N15" s="49" t="s">
        <v>260</v>
      </c>
      <c r="O15" s="45">
        <v>2</v>
      </c>
      <c r="P15" s="80" t="s">
        <v>494</v>
      </c>
      <c r="Q15" s="48"/>
      <c r="R15" s="45"/>
      <c r="S15" s="114"/>
      <c r="T15" s="52"/>
      <c r="U15" s="48"/>
      <c r="V15" s="48"/>
      <c r="W15" s="27"/>
    </row>
    <row r="16" spans="1:23" ht="60" hidden="1" customHeight="1" x14ac:dyDescent="0.25">
      <c r="A16" s="45" t="str">
        <f>CONCATENATE(Tabla2[[#This Row],[id_solicitud]],Tabla2[[#This Row],[tipo]])</f>
        <v>7Proposicion</v>
      </c>
      <c r="B16" s="45">
        <f>COUNTIF($A$2:A16,A16)</f>
        <v>1</v>
      </c>
      <c r="C16" s="45" t="str">
        <f>Tabla2[[#This Row],[(id_solicitud-tipo_documento)]]&amp;B16</f>
        <v>7Proposicion1</v>
      </c>
      <c r="D16" s="45">
        <v>15</v>
      </c>
      <c r="E16" s="45">
        <v>7</v>
      </c>
      <c r="F16" s="45" t="s">
        <v>46</v>
      </c>
      <c r="G16" s="45" t="s">
        <v>43</v>
      </c>
      <c r="H16" s="50" t="s">
        <v>532</v>
      </c>
      <c r="I16" s="51">
        <v>29</v>
      </c>
      <c r="J16" s="80"/>
      <c r="K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29 DA_FETCovid19</v>
      </c>
      <c r="L16" s="48">
        <v>44575</v>
      </c>
      <c r="M16" s="48">
        <v>44579</v>
      </c>
      <c r="N16" s="49" t="s">
        <v>75</v>
      </c>
      <c r="O16" s="45">
        <v>5</v>
      </c>
      <c r="P16" s="80" t="s">
        <v>494</v>
      </c>
      <c r="Q16" s="24"/>
      <c r="R16" s="24" t="s">
        <v>24</v>
      </c>
      <c r="S16" s="114"/>
      <c r="T16" s="45"/>
      <c r="U16" s="48"/>
      <c r="V16" s="48"/>
      <c r="W16" s="27"/>
    </row>
    <row r="17" spans="1:23" ht="60" hidden="1" customHeight="1" x14ac:dyDescent="0.25">
      <c r="A17" s="45" t="str">
        <f>CONCATENATE(Tabla2[[#This Row],[id_solicitud]],Tabla2[[#This Row],[tipo]])</f>
        <v>11Decreto</v>
      </c>
      <c r="B17" s="45">
        <f>COUNTIF($A$2:A17,A17)</f>
        <v>1</v>
      </c>
      <c r="C17" s="45" t="str">
        <f>Tabla2[[#This Row],[(id_solicitud-tipo_documento)]]&amp;B17</f>
        <v>11Decreto1</v>
      </c>
      <c r="D17" s="45">
        <v>16</v>
      </c>
      <c r="E17" s="45">
        <v>11</v>
      </c>
      <c r="F17" s="45" t="s">
        <v>47</v>
      </c>
      <c r="G17" s="45" t="s">
        <v>43</v>
      </c>
      <c r="H17" s="50" t="s">
        <v>14</v>
      </c>
      <c r="I17" s="51">
        <v>29</v>
      </c>
      <c r="J17" s="80"/>
      <c r="K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29 DGA</v>
      </c>
      <c r="L17" s="48">
        <v>44575</v>
      </c>
      <c r="M17" s="48">
        <v>44580</v>
      </c>
      <c r="N17" s="49" t="s">
        <v>759</v>
      </c>
      <c r="O17" s="45"/>
      <c r="P17" s="80"/>
      <c r="Q17" s="48"/>
      <c r="R17" s="45"/>
      <c r="S17" s="115">
        <v>1051</v>
      </c>
      <c r="T17" s="20">
        <v>44564</v>
      </c>
      <c r="U17" s="20">
        <v>44589</v>
      </c>
      <c r="V17" s="20">
        <v>44589</v>
      </c>
      <c r="W17" s="27"/>
    </row>
    <row r="18" spans="1:23" ht="60" hidden="1" customHeight="1" x14ac:dyDescent="0.25">
      <c r="A18" s="45" t="str">
        <f>CONCATENATE(Tabla2[[#This Row],[id_solicitud]],Tabla2[[#This Row],[tipo]])</f>
        <v>71Proposicion</v>
      </c>
      <c r="B18" s="45">
        <f>COUNTIF($A$2:A18,A18)</f>
        <v>1</v>
      </c>
      <c r="C18" s="45" t="str">
        <f>Tabla2[[#This Row],[(id_solicitud-tipo_documento)]]&amp;B18</f>
        <v>71Proposicion1</v>
      </c>
      <c r="D18" s="45">
        <v>17</v>
      </c>
      <c r="E18" s="45">
        <v>71</v>
      </c>
      <c r="F18" s="45" t="s">
        <v>46</v>
      </c>
      <c r="G18" s="45" t="s">
        <v>43</v>
      </c>
      <c r="H18" s="50" t="s">
        <v>8</v>
      </c>
      <c r="I18" s="51">
        <v>29</v>
      </c>
      <c r="J18" s="80"/>
      <c r="K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29 DA</v>
      </c>
      <c r="L18" s="48">
        <v>44575</v>
      </c>
      <c r="M18" s="48">
        <v>44579</v>
      </c>
      <c r="N18" s="49" t="s">
        <v>75</v>
      </c>
      <c r="O18" s="45">
        <v>5</v>
      </c>
      <c r="P18" s="80" t="s">
        <v>494</v>
      </c>
      <c r="Q18" s="24"/>
      <c r="R18" s="24" t="s">
        <v>24</v>
      </c>
      <c r="S18" s="114"/>
      <c r="T18" s="45"/>
      <c r="U18" s="48"/>
      <c r="V18" s="48"/>
      <c r="W18" s="27"/>
    </row>
    <row r="19" spans="1:23" ht="60" hidden="1" customHeight="1" x14ac:dyDescent="0.25">
      <c r="A19" s="45" t="str">
        <f>CONCATENATE(Tabla2[[#This Row],[id_solicitud]],Tabla2[[#This Row],[tipo]])</f>
        <v>249Oficio_Solicitud</v>
      </c>
      <c r="B19" s="45">
        <f>COUNTIF($A$2:A19,A19)</f>
        <v>1</v>
      </c>
      <c r="C19" s="45" t="str">
        <f>Tabla2[[#This Row],[(id_solicitud-tipo_documento)]]&amp;B19</f>
        <v>249Oficio_Solicitud1</v>
      </c>
      <c r="D19" s="45">
        <v>18</v>
      </c>
      <c r="E19" s="45">
        <v>249</v>
      </c>
      <c r="F19" s="45" t="s">
        <v>53</v>
      </c>
      <c r="G19" s="45" t="s">
        <v>40</v>
      </c>
      <c r="H19" s="50" t="s">
        <v>24</v>
      </c>
      <c r="I19" s="51">
        <v>29</v>
      </c>
      <c r="J19" s="80"/>
      <c r="K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29 DP</v>
      </c>
      <c r="L19" s="48">
        <v>44712</v>
      </c>
      <c r="M19" s="48">
        <v>44581</v>
      </c>
      <c r="N19" s="49" t="s">
        <v>276</v>
      </c>
      <c r="O19" s="45"/>
      <c r="P19" s="80" t="s">
        <v>517</v>
      </c>
      <c r="Q19" s="48"/>
      <c r="R19" s="45"/>
      <c r="S19" s="114"/>
      <c r="T19" s="52"/>
      <c r="U19" s="48"/>
      <c r="V19" s="48"/>
      <c r="W19" s="27"/>
    </row>
    <row r="20" spans="1:23" ht="60" hidden="1" customHeight="1" x14ac:dyDescent="0.25">
      <c r="A20" s="45" t="str">
        <f>CONCATENATE(Tabla2[[#This Row],[id_solicitud]],Tabla2[[#This Row],[tipo]])</f>
        <v>38Proposicion</v>
      </c>
      <c r="B20" s="45">
        <f>COUNTIF($A$2:A20,A20)</f>
        <v>1</v>
      </c>
      <c r="C20" s="45" t="str">
        <f>Tabla2[[#This Row],[(id_solicitud-tipo_documento)]]&amp;B20</f>
        <v>38Proposicion1</v>
      </c>
      <c r="D20" s="45">
        <v>19</v>
      </c>
      <c r="E20" s="45">
        <v>38</v>
      </c>
      <c r="F20" s="45" t="s">
        <v>46</v>
      </c>
      <c r="G20" s="45" t="s">
        <v>57</v>
      </c>
      <c r="H20" s="50" t="s">
        <v>16</v>
      </c>
      <c r="I20" s="51">
        <v>30</v>
      </c>
      <c r="J20" s="80"/>
      <c r="K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30 DGC</v>
      </c>
      <c r="L20" s="48">
        <v>44575</v>
      </c>
      <c r="M20" s="48">
        <v>44581</v>
      </c>
      <c r="N20" s="49" t="s">
        <v>100</v>
      </c>
      <c r="O20" s="45">
        <v>13</v>
      </c>
      <c r="P20" s="80" t="s">
        <v>494</v>
      </c>
      <c r="Q20" s="24"/>
      <c r="R20" s="24" t="s">
        <v>24</v>
      </c>
      <c r="S20" s="114"/>
      <c r="T20" s="45"/>
      <c r="U20" s="48"/>
      <c r="V20" s="48"/>
      <c r="W20" s="27"/>
    </row>
    <row r="21" spans="1:23" ht="60" hidden="1" customHeight="1" x14ac:dyDescent="0.25">
      <c r="A21" s="45" t="str">
        <f>CONCATENATE(Tabla2[[#This Row],[id_solicitud]],Tabla2[[#This Row],[tipo]])</f>
        <v>45Proposicion</v>
      </c>
      <c r="B21" s="45">
        <f>COUNTIF($A$2:A21,A21)</f>
        <v>1</v>
      </c>
      <c r="C21" s="45" t="str">
        <f>Tabla2[[#This Row],[(id_solicitud-tipo_documento)]]&amp;B21</f>
        <v>45Proposicion1</v>
      </c>
      <c r="D21" s="45">
        <v>20</v>
      </c>
      <c r="E21" s="45">
        <v>45</v>
      </c>
      <c r="F21" s="45" t="s">
        <v>46</v>
      </c>
      <c r="G21" s="45" t="s">
        <v>42</v>
      </c>
      <c r="H21" s="50" t="s">
        <v>14</v>
      </c>
      <c r="I21" s="51">
        <v>30</v>
      </c>
      <c r="J21" s="80"/>
      <c r="K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30 DGA</v>
      </c>
      <c r="L21" s="48">
        <v>44578</v>
      </c>
      <c r="M21" s="48">
        <v>44581</v>
      </c>
      <c r="N21" s="49" t="s">
        <v>107</v>
      </c>
      <c r="O21" s="45"/>
      <c r="P21" s="80" t="s">
        <v>497</v>
      </c>
      <c r="Q21" s="24"/>
      <c r="R21" s="23" t="s">
        <v>12</v>
      </c>
      <c r="S21" s="114"/>
      <c r="T21" s="45"/>
      <c r="U21" s="48"/>
      <c r="V21" s="48"/>
      <c r="W21" s="27"/>
    </row>
    <row r="22" spans="1:23" ht="60" hidden="1" customHeight="1" x14ac:dyDescent="0.25">
      <c r="A22" s="45" t="str">
        <f>CONCATENATE(Tabla2[[#This Row],[id_solicitud]],Tabla2[[#This Row],[tipo]])</f>
        <v>55Oficio_Solicitud</v>
      </c>
      <c r="B22" s="45">
        <f>COUNTIF($A$2:A22,A22)</f>
        <v>1</v>
      </c>
      <c r="C22" s="45" t="str">
        <f>Tabla2[[#This Row],[(id_solicitud-tipo_documento)]]&amp;B22</f>
        <v>55Oficio_Solicitud1</v>
      </c>
      <c r="D22" s="45">
        <v>21</v>
      </c>
      <c r="E22" s="45">
        <v>55</v>
      </c>
      <c r="F22" s="45" t="s">
        <v>53</v>
      </c>
      <c r="G22" s="45" t="s">
        <v>1258</v>
      </c>
      <c r="H22" s="50" t="s">
        <v>10</v>
      </c>
      <c r="I22" s="51">
        <v>32</v>
      </c>
      <c r="J22" s="80"/>
      <c r="K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32 DAP</v>
      </c>
      <c r="L22" s="48">
        <v>44582</v>
      </c>
      <c r="M22" s="48">
        <v>44581</v>
      </c>
      <c r="N22" s="49" t="s">
        <v>113</v>
      </c>
      <c r="O22" s="45">
        <v>2</v>
      </c>
      <c r="P22" s="80" t="s">
        <v>494</v>
      </c>
      <c r="Q22" s="48"/>
      <c r="R22" s="45"/>
      <c r="S22" s="114"/>
      <c r="T22" s="52"/>
      <c r="U22" s="48"/>
      <c r="V22" s="48"/>
      <c r="W22" s="27"/>
    </row>
    <row r="23" spans="1:23" ht="60" hidden="1" customHeight="1" x14ac:dyDescent="0.25">
      <c r="A23" s="45" t="str">
        <f>CONCATENATE(Tabla2[[#This Row],[id_solicitud]],Tabla2[[#This Row],[tipo]])</f>
        <v>46Proposicion</v>
      </c>
      <c r="B23" s="45">
        <f>COUNTIF($A$2:A23,A23)</f>
        <v>1</v>
      </c>
      <c r="C23" s="45" t="str">
        <f>Tabla2[[#This Row],[(id_solicitud-tipo_documento)]]&amp;B23</f>
        <v>46Proposicion1</v>
      </c>
      <c r="D23" s="45">
        <v>22</v>
      </c>
      <c r="E23" s="45">
        <v>46</v>
      </c>
      <c r="F23" s="45" t="s">
        <v>46</v>
      </c>
      <c r="G23" s="45" t="s">
        <v>43</v>
      </c>
      <c r="H23" s="50" t="s">
        <v>26</v>
      </c>
      <c r="I23" s="51">
        <v>34</v>
      </c>
      <c r="J23" s="80"/>
      <c r="K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34 DV</v>
      </c>
      <c r="L23" s="48">
        <v>44580</v>
      </c>
      <c r="M23" s="48">
        <v>44581</v>
      </c>
      <c r="N23" s="49" t="s">
        <v>624</v>
      </c>
      <c r="O23" s="45">
        <v>3</v>
      </c>
      <c r="P23" s="80" t="s">
        <v>494</v>
      </c>
      <c r="Q23" s="24"/>
      <c r="R23" s="24" t="s">
        <v>24</v>
      </c>
      <c r="S23" s="114"/>
      <c r="T23" s="45"/>
      <c r="U23" s="48"/>
      <c r="V23" s="48"/>
      <c r="W23" s="27"/>
    </row>
    <row r="24" spans="1:23" ht="60" hidden="1" customHeight="1" x14ac:dyDescent="0.25">
      <c r="A24" s="45" t="str">
        <f>CONCATENATE(Tabla2[[#This Row],[id_solicitud]],Tabla2[[#This Row],[tipo]])</f>
        <v>20Proposicion</v>
      </c>
      <c r="B24" s="45">
        <f>COUNTIF($A$2:A24,A24)</f>
        <v>1</v>
      </c>
      <c r="C24" s="45" t="str">
        <f>Tabla2[[#This Row],[(id_solicitud-tipo_documento)]]&amp;B24</f>
        <v>20Proposicion1</v>
      </c>
      <c r="D24" s="45">
        <v>23</v>
      </c>
      <c r="E24" s="45">
        <v>20</v>
      </c>
      <c r="F24" s="45" t="s">
        <v>46</v>
      </c>
      <c r="G24" s="45" t="s">
        <v>43</v>
      </c>
      <c r="H24" s="50" t="s">
        <v>532</v>
      </c>
      <c r="I24" s="51">
        <v>36</v>
      </c>
      <c r="J24" s="80"/>
      <c r="K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 DA_FETCovid19</v>
      </c>
      <c r="L24" s="48">
        <v>44585</v>
      </c>
      <c r="M24" s="48">
        <v>44587</v>
      </c>
      <c r="N24" s="49" t="s">
        <v>88</v>
      </c>
      <c r="O24" s="45">
        <v>3</v>
      </c>
      <c r="P24" s="80" t="s">
        <v>494</v>
      </c>
      <c r="Q24" s="24"/>
      <c r="R24" s="24" t="s">
        <v>24</v>
      </c>
      <c r="S24" s="114"/>
      <c r="T24" s="45"/>
      <c r="U24" s="48"/>
      <c r="V24" s="48"/>
      <c r="W24" s="27"/>
    </row>
    <row r="25" spans="1:23" ht="60" hidden="1" customHeight="1" x14ac:dyDescent="0.25">
      <c r="A25" s="45" t="str">
        <f>CONCATENATE(Tabla2[[#This Row],[id_solicitud]],Tabla2[[#This Row],[tipo]])</f>
        <v>16Decreto</v>
      </c>
      <c r="B25" s="45">
        <f>COUNTIF($A$2:A25,A25)</f>
        <v>1</v>
      </c>
      <c r="C25" s="45" t="str">
        <f>Tabla2[[#This Row],[(id_solicitud-tipo_documento)]]&amp;B25</f>
        <v>16Decreto1</v>
      </c>
      <c r="D25" s="45">
        <v>24</v>
      </c>
      <c r="E25" s="45">
        <v>16</v>
      </c>
      <c r="F25" s="45" t="s">
        <v>47</v>
      </c>
      <c r="G25" s="45" t="s">
        <v>43</v>
      </c>
      <c r="H25" s="50" t="s">
        <v>14</v>
      </c>
      <c r="I25" s="51">
        <v>38</v>
      </c>
      <c r="J25" s="80"/>
      <c r="K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38 DGA</v>
      </c>
      <c r="L25" s="48">
        <v>44575</v>
      </c>
      <c r="M25" s="48">
        <v>44587</v>
      </c>
      <c r="N25" s="49" t="s">
        <v>762</v>
      </c>
      <c r="O25" s="45"/>
      <c r="P25" s="80"/>
      <c r="Q25" s="48"/>
      <c r="R25" s="45"/>
      <c r="S25" s="115">
        <v>1039</v>
      </c>
      <c r="T25" s="20">
        <v>44565</v>
      </c>
      <c r="U25" s="20">
        <v>44589</v>
      </c>
      <c r="V25" s="20">
        <v>44589</v>
      </c>
      <c r="W25" s="27"/>
    </row>
    <row r="26" spans="1:23" ht="60" hidden="1" customHeight="1" x14ac:dyDescent="0.25">
      <c r="A26" s="45" t="str">
        <f>CONCATENATE(Tabla2[[#This Row],[id_solicitud]],Tabla2[[#This Row],[tipo]])</f>
        <v>331Oficio_Solicitud</v>
      </c>
      <c r="B26" s="45">
        <f>COUNTIF($A$2:A26,A26)</f>
        <v>1</v>
      </c>
      <c r="C26" s="45" t="str">
        <f>Tabla2[[#This Row],[(id_solicitud-tipo_documento)]]&amp;B26</f>
        <v>331Oficio_Solicitud1</v>
      </c>
      <c r="D26" s="45">
        <v>25</v>
      </c>
      <c r="E26" s="45">
        <v>331</v>
      </c>
      <c r="F26" s="45" t="s">
        <v>53</v>
      </c>
      <c r="G26" s="45" t="s">
        <v>1259</v>
      </c>
      <c r="H26" s="50" t="s">
        <v>24</v>
      </c>
      <c r="I26" s="51">
        <v>42</v>
      </c>
      <c r="J26" s="80"/>
      <c r="K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42 DP</v>
      </c>
      <c r="L26" s="48">
        <v>44778</v>
      </c>
      <c r="M26" s="48">
        <v>44587</v>
      </c>
      <c r="N26" s="49" t="s">
        <v>1011</v>
      </c>
      <c r="O26" s="45">
        <v>0</v>
      </c>
      <c r="P26" s="80" t="s">
        <v>501</v>
      </c>
      <c r="Q26" s="48"/>
      <c r="R26" s="45"/>
      <c r="S26" s="114"/>
      <c r="T26" s="52"/>
      <c r="U26" s="48"/>
      <c r="V26" s="48"/>
      <c r="W26" s="27"/>
    </row>
    <row r="27" spans="1:23" ht="60" hidden="1" customHeight="1" x14ac:dyDescent="0.25">
      <c r="A27" s="45" t="str">
        <f>CONCATENATE(Tabla2[[#This Row],[id_solicitud]],Tabla2[[#This Row],[tipo]])</f>
        <v>12Decreto</v>
      </c>
      <c r="B27" s="45">
        <f>COUNTIF($A$2:A27,A27)</f>
        <v>1</v>
      </c>
      <c r="C27" s="45" t="str">
        <f>Tabla2[[#This Row],[(id_solicitud-tipo_documento)]]&amp;B27</f>
        <v>12Decreto1</v>
      </c>
      <c r="D27" s="45">
        <v>26</v>
      </c>
      <c r="E27" s="45">
        <v>12</v>
      </c>
      <c r="F27" s="45" t="s">
        <v>47</v>
      </c>
      <c r="G27" s="45" t="s">
        <v>43</v>
      </c>
      <c r="H27" s="50" t="s">
        <v>565</v>
      </c>
      <c r="I27" s="51">
        <v>43</v>
      </c>
      <c r="J27" s="80"/>
      <c r="K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43 DGA_FETCovid19</v>
      </c>
      <c r="L27" s="48">
        <v>44579</v>
      </c>
      <c r="M27" s="48">
        <v>44587</v>
      </c>
      <c r="N27" s="49" t="s">
        <v>760</v>
      </c>
      <c r="O27" s="45"/>
      <c r="P27" s="80"/>
      <c r="Q27" s="48"/>
      <c r="R27" s="45"/>
      <c r="S27" s="115">
        <v>1037</v>
      </c>
      <c r="T27" s="20">
        <v>44566</v>
      </c>
      <c r="U27" s="20">
        <v>44587</v>
      </c>
      <c r="V27" s="20">
        <v>44587</v>
      </c>
      <c r="W27" s="27"/>
    </row>
    <row r="28" spans="1:23" ht="60" hidden="1" customHeight="1" x14ac:dyDescent="0.25">
      <c r="A28" s="45" t="str">
        <f>CONCATENATE(Tabla2[[#This Row],[id_solicitud]],Tabla2[[#This Row],[tipo]])</f>
        <v>19Proposicion</v>
      </c>
      <c r="B28" s="45">
        <f>COUNTIF($A$2:A28,A28)</f>
        <v>1</v>
      </c>
      <c r="C28" s="45" t="str">
        <f>Tabla2[[#This Row],[(id_solicitud-tipo_documento)]]&amp;B28</f>
        <v>19Proposicion1</v>
      </c>
      <c r="D28" s="45">
        <v>27</v>
      </c>
      <c r="E28" s="45">
        <v>19</v>
      </c>
      <c r="F28" s="45" t="s">
        <v>46</v>
      </c>
      <c r="G28" s="45" t="s">
        <v>43</v>
      </c>
      <c r="H28" s="50" t="s">
        <v>8</v>
      </c>
      <c r="I28" s="51">
        <v>43</v>
      </c>
      <c r="J28" s="80"/>
      <c r="K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43 DA</v>
      </c>
      <c r="L28" s="48">
        <v>44587</v>
      </c>
      <c r="M28" s="48">
        <v>44588</v>
      </c>
      <c r="N28" s="49" t="s">
        <v>612</v>
      </c>
      <c r="O28" s="45">
        <v>8</v>
      </c>
      <c r="P28" s="80" t="s">
        <v>494</v>
      </c>
      <c r="Q28" s="24"/>
      <c r="R28" s="24" t="s">
        <v>24</v>
      </c>
      <c r="S28" s="114"/>
      <c r="T28" s="45"/>
      <c r="U28" s="48"/>
      <c r="V28" s="48"/>
      <c r="W28" s="27"/>
    </row>
    <row r="29" spans="1:23" ht="60" hidden="1" customHeight="1" x14ac:dyDescent="0.25">
      <c r="A29" s="45" t="str">
        <f>CONCATENATE(Tabla2[[#This Row],[id_solicitud]],Tabla2[[#This Row],[tipo]])</f>
        <v>2Resolucion</v>
      </c>
      <c r="B29" s="45">
        <f>COUNTIF($A$2:A29,A29)</f>
        <v>1</v>
      </c>
      <c r="C29" s="45" t="str">
        <f>Tabla2[[#This Row],[(id_solicitud-tipo_documento)]]&amp;B29</f>
        <v>2Resolucion1</v>
      </c>
      <c r="D29" s="45">
        <v>28</v>
      </c>
      <c r="E29" s="45">
        <v>2</v>
      </c>
      <c r="F29" s="45" t="s">
        <v>48</v>
      </c>
      <c r="G29" s="45"/>
      <c r="H29" s="50" t="s">
        <v>10</v>
      </c>
      <c r="I29" s="51">
        <v>44</v>
      </c>
      <c r="J29" s="80"/>
      <c r="K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9" s="48">
        <v>44574</v>
      </c>
      <c r="M29" s="48">
        <v>44588</v>
      </c>
      <c r="N29" s="49"/>
      <c r="O29" s="45"/>
      <c r="P29" s="80"/>
      <c r="Q29" s="48"/>
      <c r="R29" s="45"/>
      <c r="S29" s="114"/>
      <c r="T29" s="45"/>
      <c r="U29" s="48"/>
      <c r="V29" s="48"/>
      <c r="W29" s="27"/>
    </row>
    <row r="30" spans="1:23" ht="60" hidden="1" customHeight="1" x14ac:dyDescent="0.25">
      <c r="A30" s="45" t="str">
        <f>CONCATENATE(Tabla2[[#This Row],[id_solicitud]],Tabla2[[#This Row],[tipo]])</f>
        <v>6Resolucion</v>
      </c>
      <c r="B30" s="45">
        <f>COUNTIF($A$2:A30,A30)</f>
        <v>1</v>
      </c>
      <c r="C30" s="45" t="str">
        <f>Tabla2[[#This Row],[(id_solicitud-tipo_documento)]]&amp;B30</f>
        <v>6Resolucion1</v>
      </c>
      <c r="D30" s="45">
        <v>29</v>
      </c>
      <c r="E30" s="45">
        <v>6</v>
      </c>
      <c r="F30" s="45" t="s">
        <v>48</v>
      </c>
      <c r="G30" s="45"/>
      <c r="H30" s="50" t="s">
        <v>10</v>
      </c>
      <c r="I30" s="51">
        <v>44</v>
      </c>
      <c r="J30" s="80"/>
      <c r="K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30" s="48">
        <v>44574</v>
      </c>
      <c r="M30" s="48">
        <v>44587</v>
      </c>
      <c r="N30" s="49"/>
      <c r="O30" s="45"/>
      <c r="P30" s="80"/>
      <c r="Q30" s="48"/>
      <c r="R30" s="45"/>
      <c r="S30" s="114"/>
      <c r="T30" s="45"/>
      <c r="U30" s="48"/>
      <c r="V30" s="48"/>
      <c r="W30" s="27"/>
    </row>
    <row r="31" spans="1:23" ht="60" hidden="1" customHeight="1" x14ac:dyDescent="0.25">
      <c r="A31" s="45" t="str">
        <f>CONCATENATE(Tabla2[[#This Row],[id_solicitud]],Tabla2[[#This Row],[tipo]])</f>
        <v>32Proposicion</v>
      </c>
      <c r="B31" s="45">
        <f>COUNTIF($A$2:A31,A31)</f>
        <v>1</v>
      </c>
      <c r="C31" s="45" t="str">
        <f>Tabla2[[#This Row],[(id_solicitud-tipo_documento)]]&amp;B31</f>
        <v>32Proposicion1</v>
      </c>
      <c r="D31" s="45">
        <v>30</v>
      </c>
      <c r="E31" s="45">
        <v>32</v>
      </c>
      <c r="F31" s="45" t="s">
        <v>46</v>
      </c>
      <c r="G31" s="45" t="s">
        <v>43</v>
      </c>
      <c r="H31" s="50" t="s">
        <v>26</v>
      </c>
      <c r="I31" s="51">
        <v>44</v>
      </c>
      <c r="J31" s="80"/>
      <c r="K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44 DV</v>
      </c>
      <c r="L31" s="48">
        <v>44587</v>
      </c>
      <c r="M31" s="48">
        <v>44588</v>
      </c>
      <c r="N31" s="49" t="s">
        <v>619</v>
      </c>
      <c r="O31" s="45">
        <v>93</v>
      </c>
      <c r="P31" s="80" t="s">
        <v>494</v>
      </c>
      <c r="Q31" s="24"/>
      <c r="R31" s="24" t="s">
        <v>24</v>
      </c>
      <c r="S31" s="114"/>
      <c r="T31" s="45"/>
      <c r="U31" s="48"/>
      <c r="V31" s="48"/>
      <c r="W31" s="27"/>
    </row>
    <row r="32" spans="1:23" ht="60" hidden="1" customHeight="1" x14ac:dyDescent="0.25">
      <c r="A32" s="45" t="str">
        <f>CONCATENATE(Tabla2[[#This Row],[id_solicitud]],Tabla2[[#This Row],[tipo]])</f>
        <v>35Resolucion</v>
      </c>
      <c r="B32" s="45">
        <f>COUNTIF($A$2:A32,A32)</f>
        <v>1</v>
      </c>
      <c r="C32" s="45" t="str">
        <f>Tabla2[[#This Row],[(id_solicitud-tipo_documento)]]&amp;B32</f>
        <v>35Resolucion1</v>
      </c>
      <c r="D32" s="45">
        <v>31</v>
      </c>
      <c r="E32" s="45">
        <v>35</v>
      </c>
      <c r="F32" s="45" t="s">
        <v>48</v>
      </c>
      <c r="G32" s="45"/>
      <c r="H32" s="50" t="s">
        <v>10</v>
      </c>
      <c r="I32" s="51">
        <v>44</v>
      </c>
      <c r="J32" s="80"/>
      <c r="K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32" s="48">
        <v>44574</v>
      </c>
      <c r="M32" s="48">
        <v>44587</v>
      </c>
      <c r="N32" s="49"/>
      <c r="O32" s="45"/>
      <c r="P32" s="80"/>
      <c r="Q32" s="48"/>
      <c r="R32" s="45"/>
      <c r="S32" s="114"/>
      <c r="T32" s="45"/>
      <c r="U32" s="48"/>
      <c r="V32" s="48"/>
      <c r="W32" s="27"/>
    </row>
    <row r="33" spans="1:23" ht="60" hidden="1" customHeight="1" x14ac:dyDescent="0.25">
      <c r="A33" s="45" t="str">
        <f>CONCATENATE(Tabla2[[#This Row],[id_solicitud]],Tabla2[[#This Row],[tipo]])</f>
        <v>50Decreto</v>
      </c>
      <c r="B33" s="45">
        <f>COUNTIF($A$2:A33,A33)</f>
        <v>1</v>
      </c>
      <c r="C33" s="45" t="str">
        <f>Tabla2[[#This Row],[(id_solicitud-tipo_documento)]]&amp;B33</f>
        <v>50Decreto1</v>
      </c>
      <c r="D33" s="45">
        <v>32</v>
      </c>
      <c r="E33" s="45">
        <v>50</v>
      </c>
      <c r="F33" s="45" t="s">
        <v>47</v>
      </c>
      <c r="G33" s="45" t="s">
        <v>58</v>
      </c>
      <c r="H33" s="50" t="s">
        <v>577</v>
      </c>
      <c r="I33" s="51">
        <v>45</v>
      </c>
      <c r="J33" s="80"/>
      <c r="K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45 MOP-MOP_FETCovid19</v>
      </c>
      <c r="L33" s="48">
        <v>44579</v>
      </c>
      <c r="M33" s="48">
        <v>44588</v>
      </c>
      <c r="N33" s="49" t="s">
        <v>783</v>
      </c>
      <c r="O33" s="45"/>
      <c r="P33" s="80"/>
      <c r="Q33" s="48"/>
      <c r="R33" s="45"/>
      <c r="S33" s="115">
        <v>1010</v>
      </c>
      <c r="T33" s="20">
        <v>44566</v>
      </c>
      <c r="U33" s="20">
        <v>44587</v>
      </c>
      <c r="V33" s="20">
        <v>44587</v>
      </c>
      <c r="W33" s="27"/>
    </row>
    <row r="34" spans="1:23" ht="60" hidden="1" customHeight="1" x14ac:dyDescent="0.25">
      <c r="A34" s="45" t="str">
        <f>CONCATENATE(Tabla2[[#This Row],[id_solicitud]],Tabla2[[#This Row],[tipo]])</f>
        <v>56Proposicion</v>
      </c>
      <c r="B34" s="45">
        <f>COUNTIF($A$2:A34,A34)</f>
        <v>1</v>
      </c>
      <c r="C34" s="45" t="str">
        <f>Tabla2[[#This Row],[(id_solicitud-tipo_documento)]]&amp;B34</f>
        <v>56Proposicion1</v>
      </c>
      <c r="D34" s="45">
        <v>33</v>
      </c>
      <c r="E34" s="45">
        <v>56</v>
      </c>
      <c r="F34" s="45" t="s">
        <v>46</v>
      </c>
      <c r="G34" s="45" t="s">
        <v>60</v>
      </c>
      <c r="H34" s="50" t="s">
        <v>16</v>
      </c>
      <c r="I34" s="51">
        <v>45</v>
      </c>
      <c r="J34" s="80"/>
      <c r="K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 DGC</v>
      </c>
      <c r="L34" s="48">
        <v>44587</v>
      </c>
      <c r="M34" s="48">
        <v>44588</v>
      </c>
      <c r="N34" s="49" t="s">
        <v>114</v>
      </c>
      <c r="O34" s="45">
        <v>12</v>
      </c>
      <c r="P34" s="80" t="s">
        <v>494</v>
      </c>
      <c r="Q34" s="24"/>
      <c r="R34" s="24" t="s">
        <v>24</v>
      </c>
      <c r="S34" s="114"/>
      <c r="T34" s="45"/>
      <c r="U34" s="48"/>
      <c r="V34" s="48"/>
      <c r="W34" s="27"/>
    </row>
    <row r="35" spans="1:23" ht="60" hidden="1" customHeight="1" x14ac:dyDescent="0.25">
      <c r="A35" s="45" t="str">
        <f>CONCATENATE(Tabla2[[#This Row],[id_solicitud]],Tabla2[[#This Row],[tipo]])</f>
        <v>26Decreto</v>
      </c>
      <c r="B35" s="45">
        <f>COUNTIF($A$2:A35,A35)</f>
        <v>1</v>
      </c>
      <c r="C35" s="45" t="str">
        <f>Tabla2[[#This Row],[(id_solicitud-tipo_documento)]]&amp;B35</f>
        <v>26Decreto1</v>
      </c>
      <c r="D35" s="45">
        <v>34</v>
      </c>
      <c r="E35" s="45">
        <v>26</v>
      </c>
      <c r="F35" s="45" t="s">
        <v>47</v>
      </c>
      <c r="G35" s="45" t="s">
        <v>43</v>
      </c>
      <c r="H35" s="50" t="s">
        <v>559</v>
      </c>
      <c r="I35" s="51">
        <v>46</v>
      </c>
      <c r="J35" s="80"/>
      <c r="K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46 APR_FETCovid19</v>
      </c>
      <c r="L35" s="48">
        <v>44579</v>
      </c>
      <c r="M35" s="48">
        <v>44587</v>
      </c>
      <c r="N35" s="49" t="s">
        <v>770</v>
      </c>
      <c r="O35" s="45"/>
      <c r="P35" s="80"/>
      <c r="Q35" s="48"/>
      <c r="R35" s="45"/>
      <c r="S35" s="115">
        <v>1047</v>
      </c>
      <c r="T35" s="20">
        <v>44566</v>
      </c>
      <c r="U35" s="20">
        <v>44587</v>
      </c>
      <c r="V35" s="20">
        <v>44587</v>
      </c>
      <c r="W35" s="27"/>
    </row>
    <row r="36" spans="1:23" ht="60" hidden="1" customHeight="1" x14ac:dyDescent="0.25">
      <c r="A36" s="45" t="str">
        <f>CONCATENATE(Tabla2[[#This Row],[id_solicitud]],Tabla2[[#This Row],[tipo]])</f>
        <v>68Oficio_Solicitud</v>
      </c>
      <c r="B36" s="45">
        <f>COUNTIF($A$2:A36,A36)</f>
        <v>1</v>
      </c>
      <c r="C36" s="45" t="str">
        <f>Tabla2[[#This Row],[(id_solicitud-tipo_documento)]]&amp;B36</f>
        <v>68Oficio_Solicitud1</v>
      </c>
      <c r="D36" s="45">
        <v>35</v>
      </c>
      <c r="E36" s="45">
        <v>68</v>
      </c>
      <c r="F36" s="45" t="s">
        <v>53</v>
      </c>
      <c r="G36" s="45" t="s">
        <v>44</v>
      </c>
      <c r="H36" s="50" t="s">
        <v>14</v>
      </c>
      <c r="I36" s="51">
        <v>49</v>
      </c>
      <c r="J36" s="80"/>
      <c r="K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49 DGA</v>
      </c>
      <c r="L36" s="48">
        <v>44594</v>
      </c>
      <c r="M36" s="48">
        <v>44587</v>
      </c>
      <c r="N36" s="49" t="s">
        <v>125</v>
      </c>
      <c r="O36" s="45"/>
      <c r="P36" s="80" t="s">
        <v>498</v>
      </c>
      <c r="Q36" s="48"/>
      <c r="R36" s="45"/>
      <c r="S36" s="114"/>
      <c r="T36" s="52"/>
      <c r="U36" s="48"/>
      <c r="V36" s="48"/>
      <c r="W36" s="27"/>
    </row>
    <row r="37" spans="1:23" ht="60" hidden="1" customHeight="1" x14ac:dyDescent="0.25">
      <c r="A37" s="45" t="str">
        <f>CONCATENATE(Tabla2[[#This Row],[id_solicitud]],Tabla2[[#This Row],[tipo]])</f>
        <v>91Oficio_Solicitud</v>
      </c>
      <c r="B37" s="45">
        <f>COUNTIF($A$2:A37,A37)</f>
        <v>1</v>
      </c>
      <c r="C37" s="45" t="str">
        <f>Tabla2[[#This Row],[(id_solicitud-tipo_documento)]]&amp;B37</f>
        <v>91Oficio_Solicitud1</v>
      </c>
      <c r="D37" s="45">
        <v>36</v>
      </c>
      <c r="E37" s="45">
        <v>91</v>
      </c>
      <c r="F37" s="45" t="s">
        <v>53</v>
      </c>
      <c r="G37" s="45" t="s">
        <v>44</v>
      </c>
      <c r="H37" s="50" t="s">
        <v>565</v>
      </c>
      <c r="I37" s="51">
        <v>49</v>
      </c>
      <c r="J37" s="80"/>
      <c r="K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49 DGA_FETCovid19</v>
      </c>
      <c r="L37" s="48">
        <v>44594</v>
      </c>
      <c r="M37" s="48">
        <v>44593</v>
      </c>
      <c r="N37" s="49" t="s">
        <v>142</v>
      </c>
      <c r="O37" s="45"/>
      <c r="P37" s="80" t="s">
        <v>498</v>
      </c>
      <c r="Q37" s="48"/>
      <c r="R37" s="45"/>
      <c r="S37" s="114"/>
      <c r="T37" s="52"/>
      <c r="U37" s="48"/>
      <c r="V37" s="48"/>
      <c r="W37" s="27"/>
    </row>
    <row r="38" spans="1:23" ht="60" hidden="1" customHeight="1" x14ac:dyDescent="0.25">
      <c r="A38" s="45" t="str">
        <f>CONCATENATE(Tabla2[[#This Row],[id_solicitud]],Tabla2[[#This Row],[tipo]])</f>
        <v>54Decreto</v>
      </c>
      <c r="B38" s="45">
        <f>COUNTIF($A$2:A38,A38)</f>
        <v>1</v>
      </c>
      <c r="C38" s="45" t="str">
        <f>Tabla2[[#This Row],[(id_solicitud-tipo_documento)]]&amp;B38</f>
        <v>54Decreto1</v>
      </c>
      <c r="D38" s="45">
        <v>37</v>
      </c>
      <c r="E38" s="45">
        <v>54</v>
      </c>
      <c r="F38" s="45" t="s">
        <v>47</v>
      </c>
      <c r="G38" s="45" t="s">
        <v>43</v>
      </c>
      <c r="H38" s="50" t="s">
        <v>10</v>
      </c>
      <c r="I38" s="51">
        <v>50</v>
      </c>
      <c r="J38" s="80"/>
      <c r="K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50 DAP</v>
      </c>
      <c r="L38" s="48">
        <v>44581</v>
      </c>
      <c r="M38" s="48">
        <v>44595</v>
      </c>
      <c r="N38" s="49" t="s">
        <v>785</v>
      </c>
      <c r="O38" s="45"/>
      <c r="P38" s="80"/>
      <c r="Q38" s="48"/>
      <c r="R38" s="45"/>
      <c r="S38" s="116" t="s">
        <v>751</v>
      </c>
      <c r="T38" s="20">
        <v>44566</v>
      </c>
      <c r="U38" s="20">
        <v>44589</v>
      </c>
      <c r="V38" s="20">
        <v>44589</v>
      </c>
      <c r="W38" s="27"/>
    </row>
    <row r="39" spans="1:23" ht="60" hidden="1" customHeight="1" x14ac:dyDescent="0.25">
      <c r="A39" s="45" t="str">
        <f>CONCATENATE(Tabla2[[#This Row],[id_solicitud]],Tabla2[[#This Row],[tipo]])</f>
        <v>453Oficio_Solicitud</v>
      </c>
      <c r="B39" s="45">
        <f>COUNTIF($A$2:A39,A39)</f>
        <v>1</v>
      </c>
      <c r="C39" s="45" t="str">
        <f>Tabla2[[#This Row],[(id_solicitud-tipo_documento)]]&amp;B39</f>
        <v>453Oficio_Solicitud1</v>
      </c>
      <c r="D39" s="45">
        <v>38</v>
      </c>
      <c r="E39" s="45">
        <v>453</v>
      </c>
      <c r="F39" s="45" t="s">
        <v>53</v>
      </c>
      <c r="G39" s="45" t="s">
        <v>60</v>
      </c>
      <c r="H39" s="50" t="s">
        <v>24</v>
      </c>
      <c r="I39" s="51">
        <v>50</v>
      </c>
      <c r="J39" s="80"/>
      <c r="K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50 DP</v>
      </c>
      <c r="L39" s="48">
        <v>44839</v>
      </c>
      <c r="M39" s="48">
        <v>44839</v>
      </c>
      <c r="N39" s="49" t="s">
        <v>431</v>
      </c>
      <c r="O39" s="45">
        <v>1</v>
      </c>
      <c r="P39" s="80" t="s">
        <v>494</v>
      </c>
      <c r="Q39" s="48"/>
      <c r="R39" s="45"/>
      <c r="S39" s="114"/>
      <c r="T39" s="52"/>
      <c r="U39" s="48"/>
      <c r="V39" s="48"/>
      <c r="W39" s="27"/>
    </row>
    <row r="40" spans="1:23" ht="60" hidden="1" customHeight="1" x14ac:dyDescent="0.25">
      <c r="A40" s="45" t="str">
        <f>CONCATENATE(Tabla2[[#This Row],[id_solicitud]],Tabla2[[#This Row],[tipo]])</f>
        <v>57Proposicion</v>
      </c>
      <c r="B40" s="45">
        <f>COUNTIF($A$2:A40,A40)</f>
        <v>1</v>
      </c>
      <c r="C40" s="45" t="str">
        <f>Tabla2[[#This Row],[(id_solicitud-tipo_documento)]]&amp;B40</f>
        <v>57Proposicion1</v>
      </c>
      <c r="D40" s="45">
        <v>39</v>
      </c>
      <c r="E40" s="45">
        <v>57</v>
      </c>
      <c r="F40" s="45" t="s">
        <v>46</v>
      </c>
      <c r="G40" s="45" t="s">
        <v>60</v>
      </c>
      <c r="H40" s="50" t="s">
        <v>16</v>
      </c>
      <c r="I40" s="51">
        <v>51</v>
      </c>
      <c r="J40" s="80"/>
      <c r="K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51 DGC</v>
      </c>
      <c r="L40" s="48">
        <v>44589</v>
      </c>
      <c r="M40" s="48">
        <v>44589</v>
      </c>
      <c r="N40" s="49" t="s">
        <v>115</v>
      </c>
      <c r="O40" s="45">
        <v>33</v>
      </c>
      <c r="P40" s="80" t="s">
        <v>494</v>
      </c>
      <c r="Q40" s="24"/>
      <c r="R40" s="24" t="s">
        <v>24</v>
      </c>
      <c r="S40" s="114"/>
      <c r="T40" s="45"/>
      <c r="U40" s="48"/>
      <c r="V40" s="48"/>
      <c r="W40" s="27"/>
    </row>
    <row r="41" spans="1:23" ht="60" hidden="1" customHeight="1" x14ac:dyDescent="0.25">
      <c r="A41" s="45" t="str">
        <f>CONCATENATE(Tabla2[[#This Row],[id_solicitud]],Tabla2[[#This Row],[tipo]])</f>
        <v>43Proposicion</v>
      </c>
      <c r="B41" s="45">
        <f>COUNTIF($A$2:A41,A41)</f>
        <v>1</v>
      </c>
      <c r="C41" s="45" t="str">
        <f>Tabla2[[#This Row],[(id_solicitud-tipo_documento)]]&amp;B41</f>
        <v>43Proposicion1</v>
      </c>
      <c r="D41" s="45">
        <v>40</v>
      </c>
      <c r="E41" s="45">
        <v>43</v>
      </c>
      <c r="F41" s="45" t="s">
        <v>46</v>
      </c>
      <c r="G41" s="45" t="s">
        <v>40</v>
      </c>
      <c r="H41" s="50" t="s">
        <v>532</v>
      </c>
      <c r="I41" s="51">
        <v>52</v>
      </c>
      <c r="J41" s="80"/>
      <c r="K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52 DA_FETCovid19</v>
      </c>
      <c r="L41" s="48">
        <v>44589</v>
      </c>
      <c r="M41" s="48">
        <v>44595</v>
      </c>
      <c r="N41" s="49" t="s">
        <v>623</v>
      </c>
      <c r="O41" s="45"/>
      <c r="P41" s="80" t="s">
        <v>495</v>
      </c>
      <c r="Q41" s="24"/>
      <c r="R41" s="24" t="s">
        <v>24</v>
      </c>
      <c r="S41" s="114"/>
      <c r="T41" s="45"/>
      <c r="U41" s="48"/>
      <c r="V41" s="48"/>
      <c r="W41" s="27"/>
    </row>
    <row r="42" spans="1:23" ht="60" hidden="1" customHeight="1" x14ac:dyDescent="0.25">
      <c r="A42" s="45" t="str">
        <f>CONCATENATE(Tabla2[[#This Row],[id_solicitud]],Tabla2[[#This Row],[tipo]])</f>
        <v>512Oficio_Solicitud</v>
      </c>
      <c r="B42" s="45">
        <f>COUNTIF($A$2:A42,A42)</f>
        <v>1</v>
      </c>
      <c r="C42" s="45" t="str">
        <f>Tabla2[[#This Row],[(id_solicitud-tipo_documento)]]&amp;B42</f>
        <v>512Oficio_Solicitud1</v>
      </c>
      <c r="D42" s="45">
        <v>41</v>
      </c>
      <c r="E42" s="45">
        <v>512</v>
      </c>
      <c r="F42" s="45" t="s">
        <v>53</v>
      </c>
      <c r="G42" s="45" t="s">
        <v>41</v>
      </c>
      <c r="H42" s="50" t="s">
        <v>24</v>
      </c>
      <c r="I42" s="51">
        <v>52</v>
      </c>
      <c r="J42" s="80"/>
      <c r="K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52 DP</v>
      </c>
      <c r="L42" s="48">
        <v>44860</v>
      </c>
      <c r="M42" s="48">
        <v>44595</v>
      </c>
      <c r="N42" s="49" t="s">
        <v>477</v>
      </c>
      <c r="O42" s="45">
        <v>1</v>
      </c>
      <c r="P42" s="80" t="s">
        <v>494</v>
      </c>
      <c r="Q42" s="48"/>
      <c r="R42" s="45"/>
      <c r="S42" s="114"/>
      <c r="T42" s="52"/>
      <c r="U42" s="48"/>
      <c r="V42" s="48"/>
      <c r="W42" s="27"/>
    </row>
    <row r="43" spans="1:23" ht="60" hidden="1" customHeight="1" x14ac:dyDescent="0.25">
      <c r="A43" s="45" t="str">
        <f>CONCATENATE(Tabla2[[#This Row],[id_solicitud]],Tabla2[[#This Row],[tipo]])</f>
        <v>60Proposicion</v>
      </c>
      <c r="B43" s="45">
        <f>COUNTIF($A$2:A43,A43)</f>
        <v>1</v>
      </c>
      <c r="C43" s="45" t="str">
        <f>Tabla2[[#This Row],[(id_solicitud-tipo_documento)]]&amp;B43</f>
        <v>60Proposicion1</v>
      </c>
      <c r="D43" s="45">
        <v>42</v>
      </c>
      <c r="E43" s="45">
        <v>60</v>
      </c>
      <c r="F43" s="45" t="s">
        <v>46</v>
      </c>
      <c r="G43" s="45" t="s">
        <v>60</v>
      </c>
      <c r="H43" s="50" t="s">
        <v>541</v>
      </c>
      <c r="I43" s="51">
        <v>53</v>
      </c>
      <c r="J43" s="80"/>
      <c r="K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53 DOP_FETCovid19</v>
      </c>
      <c r="L43" s="48">
        <v>44589</v>
      </c>
      <c r="M43" s="48">
        <v>44595</v>
      </c>
      <c r="N43" s="49" t="s">
        <v>118</v>
      </c>
      <c r="O43" s="45">
        <v>6</v>
      </c>
      <c r="P43" s="80" t="s">
        <v>494</v>
      </c>
      <c r="Q43" s="24"/>
      <c r="R43" s="24" t="s">
        <v>24</v>
      </c>
      <c r="S43" s="114"/>
      <c r="T43" s="45"/>
      <c r="U43" s="48"/>
      <c r="V43" s="48"/>
      <c r="W43" s="27"/>
    </row>
    <row r="44" spans="1:23" ht="60" hidden="1" customHeight="1" x14ac:dyDescent="0.25">
      <c r="A44" s="45" t="str">
        <f>CONCATENATE(Tabla2[[#This Row],[id_solicitud]],Tabla2[[#This Row],[tipo]])</f>
        <v>1Decreto</v>
      </c>
      <c r="B44" s="45">
        <f>COUNTIF($A$2:A44,A44)</f>
        <v>1</v>
      </c>
      <c r="C44" s="45" t="str">
        <f>Tabla2[[#This Row],[(id_solicitud-tipo_documento)]]&amp;B44</f>
        <v>1Decreto1</v>
      </c>
      <c r="D44" s="45">
        <v>43</v>
      </c>
      <c r="E44" s="45">
        <v>1</v>
      </c>
      <c r="F44" s="45" t="s">
        <v>47</v>
      </c>
      <c r="G44" s="45" t="s">
        <v>43</v>
      </c>
      <c r="H44" s="50" t="s">
        <v>1305</v>
      </c>
      <c r="I44" s="51">
        <v>54</v>
      </c>
      <c r="J44" s="80"/>
      <c r="K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54 DAP_FETCovid19-FISC_FETCovid19-DGA</v>
      </c>
      <c r="L44" s="48">
        <v>44581</v>
      </c>
      <c r="M44" s="48">
        <v>44595</v>
      </c>
      <c r="N44" s="49" t="s">
        <v>752</v>
      </c>
      <c r="O44" s="45"/>
      <c r="P44" s="80"/>
      <c r="Q44" s="48"/>
      <c r="R44" s="45"/>
      <c r="S44" s="115">
        <v>1002</v>
      </c>
      <c r="T44" s="20">
        <v>44566</v>
      </c>
      <c r="U44" s="20">
        <v>44587</v>
      </c>
      <c r="V44" s="20">
        <v>44587</v>
      </c>
      <c r="W44" s="27"/>
    </row>
    <row r="45" spans="1:23" ht="60" hidden="1" customHeight="1" x14ac:dyDescent="0.25">
      <c r="A45" s="45" t="str">
        <f>CONCATENATE(Tabla2[[#This Row],[id_solicitud]],Tabla2[[#This Row],[tipo]])</f>
        <v>55Proposicion</v>
      </c>
      <c r="B45" s="45">
        <f>COUNTIF($A$2:A45,A45)</f>
        <v>1</v>
      </c>
      <c r="C45" s="45" t="str">
        <f>Tabla2[[#This Row],[(id_solicitud-tipo_documento)]]&amp;B45</f>
        <v>55Proposicion1</v>
      </c>
      <c r="D45" s="45">
        <v>44</v>
      </c>
      <c r="E45" s="45">
        <v>55</v>
      </c>
      <c r="F45" s="45" t="s">
        <v>46</v>
      </c>
      <c r="G45" s="45" t="s">
        <v>1258</v>
      </c>
      <c r="H45" s="50" t="s">
        <v>10</v>
      </c>
      <c r="I45" s="51">
        <v>54</v>
      </c>
      <c r="J45" s="80"/>
      <c r="K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54 DAP</v>
      </c>
      <c r="L45" s="48">
        <v>44589</v>
      </c>
      <c r="M45" s="48">
        <v>44589</v>
      </c>
      <c r="N45" s="49" t="s">
        <v>113</v>
      </c>
      <c r="O45" s="45">
        <v>2</v>
      </c>
      <c r="P45" s="80" t="s">
        <v>494</v>
      </c>
      <c r="Q45" s="24"/>
      <c r="R45" s="24" t="s">
        <v>24</v>
      </c>
      <c r="S45" s="114"/>
      <c r="T45" s="45"/>
      <c r="U45" s="48"/>
      <c r="V45" s="48"/>
      <c r="W45" s="27"/>
    </row>
    <row r="46" spans="1:23" ht="60" hidden="1" customHeight="1" x14ac:dyDescent="0.25">
      <c r="A46" s="45" t="str">
        <f>CONCATENATE(Tabla2[[#This Row],[id_solicitud]],Tabla2[[#This Row],[tipo]])</f>
        <v>53Decreto</v>
      </c>
      <c r="B46" s="45">
        <f>COUNTIF($A$2:A46,A46)</f>
        <v>1</v>
      </c>
      <c r="C46" s="45" t="str">
        <f>Tabla2[[#This Row],[(id_solicitud-tipo_documento)]]&amp;B46</f>
        <v>53Decreto1</v>
      </c>
      <c r="D46" s="45">
        <v>45</v>
      </c>
      <c r="E46" s="45">
        <v>53</v>
      </c>
      <c r="F46" s="45" t="s">
        <v>47</v>
      </c>
      <c r="G46" s="45" t="s">
        <v>43</v>
      </c>
      <c r="H46" s="50" t="s">
        <v>544</v>
      </c>
      <c r="I46" s="51">
        <v>55</v>
      </c>
      <c r="J46" s="80"/>
      <c r="K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55 DAP_FETCovid19</v>
      </c>
      <c r="L46" s="48">
        <v>44581</v>
      </c>
      <c r="M46" s="48">
        <v>44581</v>
      </c>
      <c r="N46" s="49" t="s">
        <v>784</v>
      </c>
      <c r="O46" s="45"/>
      <c r="P46" s="80"/>
      <c r="Q46" s="48"/>
      <c r="R46" s="45"/>
      <c r="S46" s="116" t="s">
        <v>750</v>
      </c>
      <c r="T46" s="20">
        <v>44566</v>
      </c>
      <c r="U46" s="20">
        <v>44587</v>
      </c>
      <c r="V46" s="20">
        <v>44587</v>
      </c>
      <c r="W46" s="27"/>
    </row>
    <row r="47" spans="1:23" ht="60" hidden="1" customHeight="1" x14ac:dyDescent="0.25">
      <c r="A47" s="45" t="str">
        <f>CONCATENATE(Tabla2[[#This Row],[id_solicitud]],Tabla2[[#This Row],[tipo]])</f>
        <v>58Proposicion</v>
      </c>
      <c r="B47" s="45">
        <f>COUNTIF($A$2:A47,A47)</f>
        <v>1</v>
      </c>
      <c r="C47" s="45" t="str">
        <f>Tabla2[[#This Row],[(id_solicitud-tipo_documento)]]&amp;B47</f>
        <v>58Proposicion1</v>
      </c>
      <c r="D47" s="45">
        <v>46</v>
      </c>
      <c r="E47" s="45">
        <v>58</v>
      </c>
      <c r="F47" s="45" t="s">
        <v>46</v>
      </c>
      <c r="G47" s="45" t="s">
        <v>44</v>
      </c>
      <c r="H47" s="50" t="s">
        <v>24</v>
      </c>
      <c r="I47" s="51">
        <v>55</v>
      </c>
      <c r="J47" s="80"/>
      <c r="K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55 DP</v>
      </c>
      <c r="L47" s="48">
        <v>44589</v>
      </c>
      <c r="M47" s="48">
        <v>44589</v>
      </c>
      <c r="N47" s="49" t="s">
        <v>116</v>
      </c>
      <c r="O47" s="45">
        <v>0</v>
      </c>
      <c r="P47" s="80" t="s">
        <v>498</v>
      </c>
      <c r="Q47" s="24"/>
      <c r="R47" s="24" t="s">
        <v>24</v>
      </c>
      <c r="S47" s="114"/>
      <c r="T47" s="45"/>
      <c r="U47" s="48"/>
      <c r="V47" s="48"/>
      <c r="W47" s="27"/>
    </row>
    <row r="48" spans="1:23" ht="60" hidden="1" customHeight="1" x14ac:dyDescent="0.25">
      <c r="A48" s="45" t="str">
        <f>CONCATENATE(Tabla2[[#This Row],[id_solicitud]],Tabla2[[#This Row],[tipo]])</f>
        <v>22Decreto</v>
      </c>
      <c r="B48" s="45">
        <f>COUNTIF($A$2:A48,A48)</f>
        <v>1</v>
      </c>
      <c r="C48" s="45" t="str">
        <f>Tabla2[[#This Row],[(id_solicitud-tipo_documento)]]&amp;B48</f>
        <v>22Decreto1</v>
      </c>
      <c r="D48" s="45">
        <v>47</v>
      </c>
      <c r="E48" s="45">
        <v>22</v>
      </c>
      <c r="F48" s="45" t="s">
        <v>47</v>
      </c>
      <c r="G48" s="45" t="s">
        <v>57</v>
      </c>
      <c r="H48" s="50" t="s">
        <v>562</v>
      </c>
      <c r="I48" s="51">
        <v>56</v>
      </c>
      <c r="J48" s="80"/>
      <c r="K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56 DGC_FETCovid19</v>
      </c>
      <c r="L48" s="48">
        <v>44581</v>
      </c>
      <c r="M48" s="48">
        <v>44601</v>
      </c>
      <c r="N48" s="49">
        <f>E48</f>
        <v>22</v>
      </c>
      <c r="O48" s="45"/>
      <c r="P48" s="80"/>
      <c r="Q48" s="48"/>
      <c r="R48" s="45"/>
      <c r="S48" s="115">
        <v>1032</v>
      </c>
      <c r="T48" s="20">
        <v>44566</v>
      </c>
      <c r="U48" s="20">
        <v>44588</v>
      </c>
      <c r="V48" s="20">
        <v>44588</v>
      </c>
      <c r="W48" s="27"/>
    </row>
    <row r="49" spans="1:23" ht="60" hidden="1" customHeight="1" x14ac:dyDescent="0.25">
      <c r="A49" s="45" t="str">
        <f>CONCATENATE(Tabla2[[#This Row],[id_solicitud]],Tabla2[[#This Row],[tipo]])</f>
        <v>52Decreto</v>
      </c>
      <c r="B49" s="45">
        <f>COUNTIF($A$2:A49,A49)</f>
        <v>1</v>
      </c>
      <c r="C49" s="45" t="str">
        <f>Tabla2[[#This Row],[(id_solicitud-tipo_documento)]]&amp;B49</f>
        <v>52Decreto1</v>
      </c>
      <c r="D49" s="45">
        <v>48</v>
      </c>
      <c r="E49" s="45">
        <v>52</v>
      </c>
      <c r="F49" s="45" t="s">
        <v>47</v>
      </c>
      <c r="G49" s="45" t="s">
        <v>57</v>
      </c>
      <c r="H49" s="50" t="s">
        <v>16</v>
      </c>
      <c r="I49" s="51">
        <v>57</v>
      </c>
      <c r="J49" s="80"/>
      <c r="K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57 DGC</v>
      </c>
      <c r="L49" s="48">
        <v>44581</v>
      </c>
      <c r="M49" s="48">
        <v>44601</v>
      </c>
      <c r="N49" s="49">
        <f>E49</f>
        <v>52</v>
      </c>
      <c r="O49" s="45"/>
      <c r="P49" s="80"/>
      <c r="Q49" s="48"/>
      <c r="R49" s="45"/>
      <c r="S49" s="115">
        <v>10</v>
      </c>
      <c r="T49" s="20">
        <v>44566</v>
      </c>
      <c r="U49" s="53">
        <v>44594</v>
      </c>
      <c r="V49" s="53">
        <v>44594</v>
      </c>
      <c r="W49" s="27"/>
    </row>
    <row r="50" spans="1:23" ht="60" hidden="1" customHeight="1" x14ac:dyDescent="0.25">
      <c r="A50" s="45" t="str">
        <f>CONCATENATE(Tabla2[[#This Row],[id_solicitud]],Tabla2[[#This Row],[tipo]])</f>
        <v>48Proposicion</v>
      </c>
      <c r="B50" s="45">
        <f>COUNTIF($A$2:A50,A50)</f>
        <v>1</v>
      </c>
      <c r="C50" s="45" t="str">
        <f>Tabla2[[#This Row],[(id_solicitud-tipo_documento)]]&amp;B50</f>
        <v>48Proposicion1</v>
      </c>
      <c r="D50" s="45">
        <v>49</v>
      </c>
      <c r="E50" s="45">
        <v>48</v>
      </c>
      <c r="F50" s="45" t="s">
        <v>46</v>
      </c>
      <c r="G50" s="45" t="s">
        <v>43</v>
      </c>
      <c r="H50" s="50" t="s">
        <v>20</v>
      </c>
      <c r="I50" s="51">
        <v>58</v>
      </c>
      <c r="J50" s="80"/>
      <c r="K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 DOH</v>
      </c>
      <c r="L50" s="48">
        <v>44589</v>
      </c>
      <c r="M50" s="48">
        <v>44601</v>
      </c>
      <c r="N50" s="49" t="s">
        <v>626</v>
      </c>
      <c r="O50" s="45">
        <f>15+61</f>
        <v>76</v>
      </c>
      <c r="P50" s="80" t="s">
        <v>494</v>
      </c>
      <c r="Q50" s="24"/>
      <c r="R50" s="24" t="s">
        <v>24</v>
      </c>
      <c r="S50" s="114"/>
      <c r="T50" s="45"/>
      <c r="U50" s="48"/>
      <c r="V50" s="48"/>
      <c r="W50" s="27"/>
    </row>
    <row r="51" spans="1:23" ht="60" hidden="1" customHeight="1" x14ac:dyDescent="0.25">
      <c r="A51" s="45" t="str">
        <f>CONCATENATE(Tabla2[[#This Row],[id_solicitud]],Tabla2[[#This Row],[tipo]])</f>
        <v>49Proposicion</v>
      </c>
      <c r="B51" s="45">
        <f>COUNTIF($A$2:A51,A51)</f>
        <v>1</v>
      </c>
      <c r="C51" s="45" t="str">
        <f>Tabla2[[#This Row],[(id_solicitud-tipo_documento)]]&amp;B51</f>
        <v>49Proposicion1</v>
      </c>
      <c r="D51" s="45">
        <v>50</v>
      </c>
      <c r="E51" s="45">
        <v>49</v>
      </c>
      <c r="F51" s="45" t="s">
        <v>46</v>
      </c>
      <c r="G51" s="45" t="s">
        <v>43</v>
      </c>
      <c r="H51" s="50" t="s">
        <v>535</v>
      </c>
      <c r="I51" s="51">
        <v>61</v>
      </c>
      <c r="J51" s="80"/>
      <c r="K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61 DOH_FETCovid19</v>
      </c>
      <c r="L51" s="48">
        <v>44592</v>
      </c>
      <c r="M51" s="48">
        <v>44601</v>
      </c>
      <c r="N51" s="49" t="s">
        <v>627</v>
      </c>
      <c r="O51" s="45">
        <f>20+3</f>
        <v>23</v>
      </c>
      <c r="P51" s="80" t="s">
        <v>494</v>
      </c>
      <c r="Q51" s="24"/>
      <c r="R51" s="24" t="s">
        <v>24</v>
      </c>
      <c r="S51" s="114"/>
      <c r="T51" s="45"/>
      <c r="U51" s="48"/>
      <c r="V51" s="48"/>
      <c r="W51" s="27"/>
    </row>
    <row r="52" spans="1:23" ht="60" hidden="1" customHeight="1" x14ac:dyDescent="0.25">
      <c r="A52" s="45" t="str">
        <f>CONCATENATE(Tabla2[[#This Row],[id_solicitud]],Tabla2[[#This Row],[tipo]])</f>
        <v>41Proposicion</v>
      </c>
      <c r="B52" s="45">
        <f>COUNTIF($A$2:A52,A52)</f>
        <v>1</v>
      </c>
      <c r="C52" s="45" t="str">
        <f>Tabla2[[#This Row],[(id_solicitud-tipo_documento)]]&amp;B52</f>
        <v>41Proposicion1</v>
      </c>
      <c r="D52" s="45">
        <v>51</v>
      </c>
      <c r="E52" s="45">
        <v>41</v>
      </c>
      <c r="F52" s="45" t="s">
        <v>46</v>
      </c>
      <c r="G52" s="45" t="s">
        <v>43</v>
      </c>
      <c r="H52" s="50" t="s">
        <v>6</v>
      </c>
      <c r="I52" s="51">
        <v>63</v>
      </c>
      <c r="J52" s="80"/>
      <c r="K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63 APR</v>
      </c>
      <c r="L52" s="48">
        <v>44593</v>
      </c>
      <c r="M52" s="48">
        <v>44602</v>
      </c>
      <c r="N52" s="49" t="s">
        <v>103</v>
      </c>
      <c r="O52" s="45">
        <v>31</v>
      </c>
      <c r="P52" s="80" t="s">
        <v>494</v>
      </c>
      <c r="Q52" s="24"/>
      <c r="R52" s="24" t="s">
        <v>24</v>
      </c>
      <c r="S52" s="114"/>
      <c r="T52" s="45"/>
      <c r="U52" s="48"/>
      <c r="V52" s="48"/>
      <c r="W52" s="27"/>
    </row>
    <row r="53" spans="1:23" ht="60" hidden="1" customHeight="1" x14ac:dyDescent="0.25">
      <c r="A53" s="45" t="str">
        <f>CONCATENATE(Tabla2[[#This Row],[id_solicitud]],Tabla2[[#This Row],[tipo]])</f>
        <v>59Proposicion</v>
      </c>
      <c r="B53" s="45">
        <f>COUNTIF($A$2:A53,A53)</f>
        <v>1</v>
      </c>
      <c r="C53" s="45" t="str">
        <f>Tabla2[[#This Row],[(id_solicitud-tipo_documento)]]&amp;B53</f>
        <v>59Proposicion1</v>
      </c>
      <c r="D53" s="45">
        <v>52</v>
      </c>
      <c r="E53" s="45">
        <v>59</v>
      </c>
      <c r="F53" s="45" t="s">
        <v>46</v>
      </c>
      <c r="G53" s="45" t="s">
        <v>60</v>
      </c>
      <c r="H53" s="50" t="s">
        <v>26</v>
      </c>
      <c r="I53" s="51">
        <v>64</v>
      </c>
      <c r="J53" s="80"/>
      <c r="K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64 DV</v>
      </c>
      <c r="L53" s="48">
        <v>44593</v>
      </c>
      <c r="M53" s="48">
        <v>44593</v>
      </c>
      <c r="N53" s="49" t="s">
        <v>629</v>
      </c>
      <c r="O53" s="45">
        <v>1</v>
      </c>
      <c r="P53" s="80" t="s">
        <v>494</v>
      </c>
      <c r="Q53" s="24"/>
      <c r="R53" s="24" t="s">
        <v>24</v>
      </c>
      <c r="S53" s="114"/>
      <c r="T53" s="45"/>
      <c r="U53" s="48"/>
      <c r="V53" s="48"/>
      <c r="W53" s="27"/>
    </row>
    <row r="54" spans="1:23" ht="60" hidden="1" customHeight="1" x14ac:dyDescent="0.25">
      <c r="A54" s="45" t="str">
        <f>CONCATENATE(Tabla2[[#This Row],[id_solicitud]],Tabla2[[#This Row],[tipo]])</f>
        <v>42Proposicion</v>
      </c>
      <c r="B54" s="45">
        <f>COUNTIF($A$2:A54,A54)</f>
        <v>1</v>
      </c>
      <c r="C54" s="45" t="str">
        <f>Tabla2[[#This Row],[(id_solicitud-tipo_documento)]]&amp;B54</f>
        <v>42Proposicion1</v>
      </c>
      <c r="D54" s="45">
        <v>53</v>
      </c>
      <c r="E54" s="45">
        <v>42</v>
      </c>
      <c r="F54" s="45" t="s">
        <v>46</v>
      </c>
      <c r="G54" s="45" t="s">
        <v>43</v>
      </c>
      <c r="H54" s="50" t="s">
        <v>559</v>
      </c>
      <c r="I54" s="51">
        <v>65</v>
      </c>
      <c r="J54" s="80"/>
      <c r="K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65 APR_FETCovid19</v>
      </c>
      <c r="L54" s="48">
        <v>44593</v>
      </c>
      <c r="M54" s="48">
        <v>44593</v>
      </c>
      <c r="N54" s="49" t="s">
        <v>104</v>
      </c>
      <c r="O54" s="45">
        <v>31</v>
      </c>
      <c r="P54" s="80" t="s">
        <v>494</v>
      </c>
      <c r="Q54" s="24"/>
      <c r="R54" s="24" t="s">
        <v>24</v>
      </c>
      <c r="S54" s="114"/>
      <c r="T54" s="45"/>
      <c r="U54" s="48"/>
      <c r="V54" s="48"/>
      <c r="W54" s="27"/>
    </row>
    <row r="55" spans="1:23" ht="60" hidden="1" customHeight="1" x14ac:dyDescent="0.25">
      <c r="A55" s="45" t="str">
        <f>CONCATENATE(Tabla2[[#This Row],[id_solicitud]],Tabla2[[#This Row],[tipo]])</f>
        <v>60Oficio_Solicitud</v>
      </c>
      <c r="B55" s="45">
        <f>COUNTIF($A$2:A55,A55)</f>
        <v>1</v>
      </c>
      <c r="C55" s="45" t="str">
        <f>Tabla2[[#This Row],[(id_solicitud-tipo_documento)]]&amp;B55</f>
        <v>60Oficio_Solicitud1</v>
      </c>
      <c r="D55" s="45">
        <v>54</v>
      </c>
      <c r="E55" s="45">
        <v>60</v>
      </c>
      <c r="F55" s="45" t="s">
        <v>53</v>
      </c>
      <c r="G55" s="45" t="s">
        <v>60</v>
      </c>
      <c r="H55" s="50" t="s">
        <v>541</v>
      </c>
      <c r="I55" s="51">
        <v>65</v>
      </c>
      <c r="J55" s="80"/>
      <c r="K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65 DOP_FETCovid19</v>
      </c>
      <c r="L55" s="48">
        <v>44587</v>
      </c>
      <c r="M55" s="48">
        <v>44587</v>
      </c>
      <c r="N55" s="49" t="s">
        <v>118</v>
      </c>
      <c r="O55" s="45">
        <v>6</v>
      </c>
      <c r="P55" s="80" t="s">
        <v>494</v>
      </c>
      <c r="Q55" s="48"/>
      <c r="R55" s="45"/>
      <c r="S55" s="114"/>
      <c r="T55" s="52"/>
      <c r="U55" s="48"/>
      <c r="V55" s="48"/>
      <c r="W55" s="27"/>
    </row>
    <row r="56" spans="1:23" ht="60" hidden="1" customHeight="1" x14ac:dyDescent="0.25">
      <c r="A56" s="45" t="str">
        <f>CONCATENATE(Tabla2[[#This Row],[id_solicitud]],Tabla2[[#This Row],[tipo]])</f>
        <v>5Resolucion</v>
      </c>
      <c r="B56" s="45">
        <f>COUNTIF($A$2:A56,A56)</f>
        <v>1</v>
      </c>
      <c r="C56" s="45" t="str">
        <f>Tabla2[[#This Row],[(id_solicitud-tipo_documento)]]&amp;B56</f>
        <v>5Resolucion1</v>
      </c>
      <c r="D56" s="45">
        <v>55</v>
      </c>
      <c r="E56" s="45">
        <v>5</v>
      </c>
      <c r="F56" s="45" t="s">
        <v>48</v>
      </c>
      <c r="G56" s="45"/>
      <c r="H56" s="50" t="s">
        <v>18</v>
      </c>
      <c r="I56" s="51">
        <v>66</v>
      </c>
      <c r="J56" s="80"/>
      <c r="K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56" s="48">
        <v>44593</v>
      </c>
      <c r="M56" s="48">
        <v>44624</v>
      </c>
      <c r="N56" s="49"/>
      <c r="O56" s="45"/>
      <c r="P56" s="80"/>
      <c r="Q56" s="48"/>
      <c r="R56" s="45"/>
      <c r="S56" s="114"/>
      <c r="T56" s="45"/>
      <c r="U56" s="48"/>
      <c r="V56" s="48"/>
      <c r="W56" s="27"/>
    </row>
    <row r="57" spans="1:23" ht="60" hidden="1" customHeight="1" x14ac:dyDescent="0.25">
      <c r="A57" s="45" t="str">
        <f>CONCATENATE(Tabla2[[#This Row],[id_solicitud]],Tabla2[[#This Row],[tipo]])</f>
        <v>13Resolucion</v>
      </c>
      <c r="B57" s="45">
        <f>COUNTIF($A$2:A57,A57)</f>
        <v>1</v>
      </c>
      <c r="C57" s="45" t="str">
        <f>Tabla2[[#This Row],[(id_solicitud-tipo_documento)]]&amp;B57</f>
        <v>13Resolucion1</v>
      </c>
      <c r="D57" s="45">
        <v>56</v>
      </c>
      <c r="E57" s="45">
        <v>13</v>
      </c>
      <c r="F57" s="45" t="s">
        <v>48</v>
      </c>
      <c r="G57" s="45"/>
      <c r="H57" s="50" t="s">
        <v>18</v>
      </c>
      <c r="I57" s="51">
        <v>66</v>
      </c>
      <c r="J57" s="80"/>
      <c r="K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57" s="48">
        <v>44593</v>
      </c>
      <c r="M57" s="48">
        <v>44624</v>
      </c>
      <c r="N57" s="49"/>
      <c r="O57" s="45"/>
      <c r="P57" s="80"/>
      <c r="Q57" s="48"/>
      <c r="R57" s="45"/>
      <c r="S57" s="114"/>
      <c r="T57" s="45"/>
      <c r="U57" s="48"/>
      <c r="V57" s="48"/>
      <c r="W57" s="27"/>
    </row>
    <row r="58" spans="1:23" ht="60" hidden="1" customHeight="1" x14ac:dyDescent="0.25">
      <c r="A58" s="45" t="str">
        <f>CONCATENATE(Tabla2[[#This Row],[id_solicitud]],Tabla2[[#This Row],[tipo]])</f>
        <v>28Resolucion</v>
      </c>
      <c r="B58" s="45">
        <f>COUNTIF($A$2:A58,A58)</f>
        <v>1</v>
      </c>
      <c r="C58" s="45" t="str">
        <f>Tabla2[[#This Row],[(id_solicitud-tipo_documento)]]&amp;B58</f>
        <v>28Resolucion1</v>
      </c>
      <c r="D58" s="45">
        <v>57</v>
      </c>
      <c r="E58" s="45">
        <v>28</v>
      </c>
      <c r="F58" s="45" t="s">
        <v>48</v>
      </c>
      <c r="G58" s="45"/>
      <c r="H58" s="50" t="s">
        <v>18</v>
      </c>
      <c r="I58" s="51">
        <v>66</v>
      </c>
      <c r="J58" s="80"/>
      <c r="K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58" s="48">
        <v>44593</v>
      </c>
      <c r="M58" s="48">
        <v>44624</v>
      </c>
      <c r="N58" s="49"/>
      <c r="O58" s="45"/>
      <c r="P58" s="80"/>
      <c r="Q58" s="48"/>
      <c r="R58" s="45"/>
      <c r="S58" s="114"/>
      <c r="T58" s="45"/>
      <c r="U58" s="48"/>
      <c r="V58" s="48"/>
      <c r="W58" s="27"/>
    </row>
    <row r="59" spans="1:23" ht="60" hidden="1" customHeight="1" x14ac:dyDescent="0.25">
      <c r="A59" s="45" t="str">
        <f>CONCATENATE(Tabla2[[#This Row],[id_solicitud]],Tabla2[[#This Row],[tipo]])</f>
        <v>66Proposicion</v>
      </c>
      <c r="B59" s="45">
        <f>COUNTIF($A$2:A59,A59)</f>
        <v>1</v>
      </c>
      <c r="C59" s="45" t="str">
        <f>Tabla2[[#This Row],[(id_solicitud-tipo_documento)]]&amp;B59</f>
        <v>66Proposicion1</v>
      </c>
      <c r="D59" s="45">
        <v>58</v>
      </c>
      <c r="E59" s="45">
        <v>66</v>
      </c>
      <c r="F59" s="45" t="s">
        <v>46</v>
      </c>
      <c r="G59" s="45" t="s">
        <v>60</v>
      </c>
      <c r="H59" s="50" t="s">
        <v>541</v>
      </c>
      <c r="I59" s="51">
        <v>66</v>
      </c>
      <c r="J59" s="80"/>
      <c r="K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66 DOP_FETCovid19</v>
      </c>
      <c r="L59" s="48">
        <v>44594</v>
      </c>
      <c r="M59" s="48">
        <v>44624</v>
      </c>
      <c r="N59" s="49" t="s">
        <v>123</v>
      </c>
      <c r="O59" s="45">
        <v>1</v>
      </c>
      <c r="P59" s="80" t="s">
        <v>494</v>
      </c>
      <c r="Q59" s="24"/>
      <c r="R59" s="24" t="s">
        <v>24</v>
      </c>
      <c r="S59" s="114"/>
      <c r="T59" s="45"/>
      <c r="U59" s="48"/>
      <c r="V59" s="48"/>
      <c r="W59" s="27"/>
    </row>
    <row r="60" spans="1:23" ht="60" hidden="1" customHeight="1" x14ac:dyDescent="0.25">
      <c r="A60" s="45" t="str">
        <f>CONCATENATE(Tabla2[[#This Row],[id_solicitud]],Tabla2[[#This Row],[tipo]])</f>
        <v>65Proposicion</v>
      </c>
      <c r="B60" s="45">
        <f>COUNTIF($A$2:A60,A60)</f>
        <v>1</v>
      </c>
      <c r="C60" s="45" t="str">
        <f>Tabla2[[#This Row],[(id_solicitud-tipo_documento)]]&amp;B60</f>
        <v>65Proposicion1</v>
      </c>
      <c r="D60" s="45">
        <v>59</v>
      </c>
      <c r="E60" s="45">
        <v>65</v>
      </c>
      <c r="F60" s="45" t="s">
        <v>46</v>
      </c>
      <c r="G60" s="45" t="s">
        <v>60</v>
      </c>
      <c r="H60" s="50" t="s">
        <v>22</v>
      </c>
      <c r="I60" s="51">
        <v>67</v>
      </c>
      <c r="J60" s="80"/>
      <c r="K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67 DOP</v>
      </c>
      <c r="L60" s="48">
        <v>44594</v>
      </c>
      <c r="M60" s="48">
        <v>44624</v>
      </c>
      <c r="N60" s="49" t="s">
        <v>122</v>
      </c>
      <c r="O60" s="45">
        <v>27</v>
      </c>
      <c r="P60" s="80" t="s">
        <v>494</v>
      </c>
      <c r="Q60" s="24"/>
      <c r="R60" s="24" t="s">
        <v>24</v>
      </c>
      <c r="S60" s="114"/>
      <c r="T60" s="45"/>
      <c r="U60" s="48"/>
      <c r="V60" s="48"/>
      <c r="W60" s="27"/>
    </row>
    <row r="61" spans="1:23" ht="60" hidden="1" customHeight="1" x14ac:dyDescent="0.25">
      <c r="A61" s="45" t="str">
        <f>CONCATENATE(Tabla2[[#This Row],[id_solicitud]],Tabla2[[#This Row],[tipo]])</f>
        <v>10Oficio_Solicitud</v>
      </c>
      <c r="B61" s="45">
        <f>COUNTIF($A$2:A61,A61)</f>
        <v>1</v>
      </c>
      <c r="C61" s="45" t="str">
        <f>Tabla2[[#This Row],[(id_solicitud-tipo_documento)]]&amp;B61</f>
        <v>10Oficio_Solicitud1</v>
      </c>
      <c r="D61" s="45">
        <v>60</v>
      </c>
      <c r="E61" s="45">
        <v>10</v>
      </c>
      <c r="F61" s="45" t="s">
        <v>53</v>
      </c>
      <c r="G61" s="45" t="s">
        <v>43</v>
      </c>
      <c r="H61" s="50" t="s">
        <v>24</v>
      </c>
      <c r="I61" s="51">
        <v>68</v>
      </c>
      <c r="J61" s="80"/>
      <c r="K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68 DP</v>
      </c>
      <c r="L61" s="48">
        <v>44533</v>
      </c>
      <c r="M61" s="48">
        <v>44627</v>
      </c>
      <c r="N61" s="49" t="s">
        <v>78</v>
      </c>
      <c r="O61" s="45">
        <v>1</v>
      </c>
      <c r="P61" s="80" t="s">
        <v>494</v>
      </c>
      <c r="Q61" s="48"/>
      <c r="R61" s="45"/>
      <c r="S61" s="114"/>
      <c r="T61" s="52"/>
      <c r="U61" s="48"/>
      <c r="V61" s="48"/>
      <c r="W61" s="27"/>
    </row>
    <row r="62" spans="1:23" ht="60" hidden="1" customHeight="1" x14ac:dyDescent="0.25">
      <c r="A62" s="45" t="str">
        <f>CONCATENATE(Tabla2[[#This Row],[id_solicitud]],Tabla2[[#This Row],[tipo]])</f>
        <v>83Decreto</v>
      </c>
      <c r="B62" s="45">
        <f>COUNTIF($A$2:A62,A62)</f>
        <v>1</v>
      </c>
      <c r="C62" s="45" t="str">
        <f>Tabla2[[#This Row],[(id_solicitud-tipo_documento)]]&amp;B62</f>
        <v>83Decreto1</v>
      </c>
      <c r="D62" s="45">
        <v>61</v>
      </c>
      <c r="E62" s="45">
        <v>83</v>
      </c>
      <c r="F62" s="45" t="s">
        <v>47</v>
      </c>
      <c r="G62" s="45" t="s">
        <v>42</v>
      </c>
      <c r="H62" s="50" t="s">
        <v>32</v>
      </c>
      <c r="I62" s="51">
        <v>70</v>
      </c>
      <c r="J62" s="80"/>
      <c r="K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70 MOP</v>
      </c>
      <c r="L62" s="48">
        <v>44587</v>
      </c>
      <c r="M62" s="48">
        <v>44627</v>
      </c>
      <c r="N62" s="49" t="s">
        <v>807</v>
      </c>
      <c r="O62" s="45"/>
      <c r="P62" s="80"/>
      <c r="Q62" s="48"/>
      <c r="R62" s="45"/>
      <c r="S62" s="115">
        <v>25</v>
      </c>
      <c r="T62" s="20">
        <v>44586</v>
      </c>
      <c r="U62" s="53">
        <v>44606</v>
      </c>
      <c r="V62" s="53">
        <v>44607</v>
      </c>
      <c r="W62" s="27"/>
    </row>
    <row r="63" spans="1:23" ht="60" hidden="1" customHeight="1" x14ac:dyDescent="0.25">
      <c r="A63" s="45" t="str">
        <f>CONCATENATE(Tabla2[[#This Row],[id_solicitud]],Tabla2[[#This Row],[tipo]])</f>
        <v>3Decreto</v>
      </c>
      <c r="B63" s="45">
        <f>COUNTIF($A$2:A63,A63)</f>
        <v>1</v>
      </c>
      <c r="C63" s="45" t="str">
        <f>Tabla2[[#This Row],[(id_solicitud-tipo_documento)]]&amp;B63</f>
        <v>3Decreto1</v>
      </c>
      <c r="D63" s="45">
        <v>62</v>
      </c>
      <c r="E63" s="45">
        <v>3</v>
      </c>
      <c r="F63" s="45" t="s">
        <v>47</v>
      </c>
      <c r="G63" s="45" t="s">
        <v>43</v>
      </c>
      <c r="H63" s="50" t="s">
        <v>22</v>
      </c>
      <c r="I63" s="51">
        <v>72</v>
      </c>
      <c r="J63" s="80"/>
      <c r="K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72 DOP</v>
      </c>
      <c r="L63" s="48">
        <v>44587</v>
      </c>
      <c r="M63" s="48">
        <v>44627</v>
      </c>
      <c r="N63" s="49" t="s">
        <v>754</v>
      </c>
      <c r="O63" s="45"/>
      <c r="P63" s="80"/>
      <c r="Q63" s="48"/>
      <c r="R63" s="45"/>
      <c r="S63" s="115">
        <v>1008</v>
      </c>
      <c r="T63" s="20">
        <v>44578</v>
      </c>
      <c r="U63" s="20">
        <v>44602</v>
      </c>
      <c r="V63" s="20">
        <v>44602</v>
      </c>
      <c r="W63" s="27"/>
    </row>
    <row r="64" spans="1:23" ht="60" hidden="1" customHeight="1" x14ac:dyDescent="0.25">
      <c r="A64" s="45" t="str">
        <f>CONCATENATE(Tabla2[[#This Row],[id_solicitud]],Tabla2[[#This Row],[tipo]])</f>
        <v>14Oficio_Solicitud</v>
      </c>
      <c r="B64" s="45">
        <f>COUNTIF($A$2:A64,A64)</f>
        <v>1</v>
      </c>
      <c r="C64" s="45" t="str">
        <f>Tabla2[[#This Row],[(id_solicitud-tipo_documento)]]&amp;B64</f>
        <v>14Oficio_Solicitud1</v>
      </c>
      <c r="D64" s="45">
        <v>63</v>
      </c>
      <c r="E64" s="45">
        <v>14</v>
      </c>
      <c r="F64" s="45" t="s">
        <v>53</v>
      </c>
      <c r="G64" s="45" t="s">
        <v>43</v>
      </c>
      <c r="H64" s="50" t="s">
        <v>24</v>
      </c>
      <c r="I64" s="51">
        <v>72</v>
      </c>
      <c r="J64" s="80"/>
      <c r="K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72 DP</v>
      </c>
      <c r="L64" s="48">
        <v>44540</v>
      </c>
      <c r="M64" s="48">
        <v>44627</v>
      </c>
      <c r="N64" s="49" t="s">
        <v>82</v>
      </c>
      <c r="O64" s="45">
        <v>1</v>
      </c>
      <c r="P64" s="80" t="s">
        <v>494</v>
      </c>
      <c r="Q64" s="48"/>
      <c r="R64" s="45"/>
      <c r="S64" s="114"/>
      <c r="T64" s="52"/>
      <c r="U64" s="48"/>
      <c r="V64" s="48"/>
      <c r="W64" s="27"/>
    </row>
    <row r="65" spans="1:23" ht="60" hidden="1" customHeight="1" x14ac:dyDescent="0.25">
      <c r="A65" s="45" t="str">
        <f>CONCATENATE(Tabla2[[#This Row],[id_solicitud]],Tabla2[[#This Row],[tipo]])</f>
        <v>142Oficio_Solicitud</v>
      </c>
      <c r="B65" s="45">
        <f>COUNTIF($A$2:A65,A65)</f>
        <v>1</v>
      </c>
      <c r="C65" s="45" t="str">
        <f>Tabla2[[#This Row],[(id_solicitud-tipo_documento)]]&amp;B65</f>
        <v>142Oficio_Solicitud1</v>
      </c>
      <c r="D65" s="45">
        <v>64</v>
      </c>
      <c r="E65" s="45">
        <v>142</v>
      </c>
      <c r="F65" s="45" t="s">
        <v>53</v>
      </c>
      <c r="G65" s="45" t="s">
        <v>43</v>
      </c>
      <c r="H65" s="50" t="s">
        <v>18</v>
      </c>
      <c r="I65" s="51">
        <v>73</v>
      </c>
      <c r="J65" s="80"/>
      <c r="K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73 DGOP</v>
      </c>
      <c r="L65" s="48">
        <v>44650</v>
      </c>
      <c r="M65" s="48">
        <v>44630</v>
      </c>
      <c r="N65" s="49" t="s">
        <v>1262</v>
      </c>
      <c r="O65" s="45"/>
      <c r="P65" s="80" t="s">
        <v>505</v>
      </c>
      <c r="Q65" s="48"/>
      <c r="R65" s="45"/>
      <c r="S65" s="114"/>
      <c r="T65" s="52"/>
      <c r="U65" s="48"/>
      <c r="V65" s="48"/>
      <c r="W65" s="27"/>
    </row>
    <row r="66" spans="1:23" ht="60" hidden="1" customHeight="1" x14ac:dyDescent="0.25">
      <c r="A66" s="45" t="str">
        <f>CONCATENATE(Tabla2[[#This Row],[id_solicitud]],Tabla2[[#This Row],[tipo]])</f>
        <v>76Proposicion</v>
      </c>
      <c r="B66" s="45">
        <f>COUNTIF($A$2:A66,A66)</f>
        <v>1</v>
      </c>
      <c r="C66" s="45" t="str">
        <f>Tabla2[[#This Row],[(id_solicitud-tipo_documento)]]&amp;B66</f>
        <v>76Proposicion1</v>
      </c>
      <c r="D66" s="45">
        <v>65</v>
      </c>
      <c r="E66" s="45">
        <v>76</v>
      </c>
      <c r="F66" s="45" t="s">
        <v>46</v>
      </c>
      <c r="G66" s="45" t="s">
        <v>43</v>
      </c>
      <c r="H66" s="50" t="s">
        <v>538</v>
      </c>
      <c r="I66" s="51">
        <v>75</v>
      </c>
      <c r="J66" s="80"/>
      <c r="K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75 DV_FETCovid19</v>
      </c>
      <c r="L66" s="48">
        <v>44600</v>
      </c>
      <c r="M66" s="48">
        <v>44631</v>
      </c>
      <c r="N66" s="49" t="s">
        <v>633</v>
      </c>
      <c r="O66" s="45">
        <v>1</v>
      </c>
      <c r="P66" s="80" t="s">
        <v>494</v>
      </c>
      <c r="Q66" s="24"/>
      <c r="R66" s="24" t="s">
        <v>24</v>
      </c>
      <c r="S66" s="114"/>
      <c r="T66" s="45"/>
      <c r="U66" s="48"/>
      <c r="V66" s="48"/>
      <c r="W66" s="27"/>
    </row>
    <row r="67" spans="1:23" ht="60" hidden="1" customHeight="1" x14ac:dyDescent="0.25">
      <c r="A67" s="45" t="str">
        <f>CONCATENATE(Tabla2[[#This Row],[id_solicitud]],Tabla2[[#This Row],[tipo]])</f>
        <v>110Decreto</v>
      </c>
      <c r="B67" s="45">
        <f>COUNTIF($A$2:A67,A67)</f>
        <v>1</v>
      </c>
      <c r="C67" s="45" t="str">
        <f>Tabla2[[#This Row],[(id_solicitud-tipo_documento)]]&amp;B67</f>
        <v>110Decreto1</v>
      </c>
      <c r="D67" s="45">
        <v>66</v>
      </c>
      <c r="E67" s="45">
        <v>110</v>
      </c>
      <c r="F67" s="45" t="s">
        <v>47</v>
      </c>
      <c r="G67" s="45" t="s">
        <v>43</v>
      </c>
      <c r="H67" s="50" t="s">
        <v>26</v>
      </c>
      <c r="I67" s="51">
        <v>420</v>
      </c>
      <c r="J67" s="80"/>
      <c r="K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420 DV</v>
      </c>
      <c r="L67" s="48">
        <v>44630</v>
      </c>
      <c r="M67" s="48"/>
      <c r="N67" s="49" t="s">
        <v>821</v>
      </c>
      <c r="O67" s="45"/>
      <c r="P67" s="80"/>
      <c r="Q67" s="48"/>
      <c r="R67" s="45"/>
      <c r="S67" s="115">
        <v>157</v>
      </c>
      <c r="T67" s="20">
        <v>44621</v>
      </c>
      <c r="U67" s="20">
        <v>44644</v>
      </c>
      <c r="V67" s="20">
        <v>44644</v>
      </c>
      <c r="W67" s="27"/>
    </row>
    <row r="68" spans="1:23" ht="60" hidden="1" customHeight="1" x14ac:dyDescent="0.25">
      <c r="A68" s="45" t="str">
        <f>CONCATENATE(Tabla2[[#This Row],[id_solicitud]],Tabla2[[#This Row],[tipo]])</f>
        <v>61Proposicion</v>
      </c>
      <c r="B68" s="45">
        <f>COUNTIF($A$2:A68,A68)</f>
        <v>1</v>
      </c>
      <c r="C68" s="45" t="str">
        <f>Tabla2[[#This Row],[(id_solicitud-tipo_documento)]]&amp;B68</f>
        <v>61Proposicion1</v>
      </c>
      <c r="D68" s="45">
        <v>67</v>
      </c>
      <c r="E68" s="45">
        <v>61</v>
      </c>
      <c r="F68" s="45" t="s">
        <v>46</v>
      </c>
      <c r="G68" s="45" t="s">
        <v>61</v>
      </c>
      <c r="H68" s="50" t="s">
        <v>33</v>
      </c>
      <c r="I68" s="51">
        <v>77</v>
      </c>
      <c r="J68" s="80"/>
      <c r="K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77 SISS</v>
      </c>
      <c r="L68" s="48">
        <v>44602</v>
      </c>
      <c r="M68" s="48">
        <v>44630</v>
      </c>
      <c r="N68" s="49" t="s">
        <v>630</v>
      </c>
      <c r="O68" s="45">
        <v>1</v>
      </c>
      <c r="P68" s="80" t="s">
        <v>494</v>
      </c>
      <c r="Q68" s="24"/>
      <c r="R68" s="24" t="s">
        <v>24</v>
      </c>
      <c r="S68" s="114"/>
      <c r="T68" s="45"/>
      <c r="U68" s="48"/>
      <c r="V68" s="48"/>
      <c r="W68" s="27"/>
    </row>
    <row r="69" spans="1:23" ht="60" hidden="1" customHeight="1" x14ac:dyDescent="0.25">
      <c r="A69" s="45" t="str">
        <f>CONCATENATE(Tabla2[[#This Row],[id_solicitud]],Tabla2[[#This Row],[tipo]])</f>
        <v>77Proposicion</v>
      </c>
      <c r="B69" s="45">
        <f>COUNTIF($A$2:A69,A69)</f>
        <v>1</v>
      </c>
      <c r="C69" s="45" t="str">
        <f>Tabla2[[#This Row],[(id_solicitud-tipo_documento)]]&amp;B69</f>
        <v>77Proposicion1</v>
      </c>
      <c r="D69" s="45">
        <v>68</v>
      </c>
      <c r="E69" s="45">
        <v>77</v>
      </c>
      <c r="F69" s="45" t="s">
        <v>46</v>
      </c>
      <c r="G69" s="45" t="s">
        <v>62</v>
      </c>
      <c r="H69" s="50" t="s">
        <v>578</v>
      </c>
      <c r="I69" s="51">
        <v>77</v>
      </c>
      <c r="J69" s="80"/>
      <c r="K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77 DV-SISS</v>
      </c>
      <c r="L69" s="48">
        <v>44602</v>
      </c>
      <c r="M69" s="48">
        <v>44665</v>
      </c>
      <c r="N69" s="49" t="s">
        <v>630</v>
      </c>
      <c r="O69" s="45">
        <v>1</v>
      </c>
      <c r="P69" s="80" t="s">
        <v>494</v>
      </c>
      <c r="Q69" s="24"/>
      <c r="R69" s="24" t="s">
        <v>24</v>
      </c>
      <c r="S69" s="114"/>
      <c r="T69" s="45"/>
      <c r="U69" s="48"/>
      <c r="V69" s="48"/>
      <c r="W69" s="27"/>
    </row>
    <row r="70" spans="1:23" ht="60" hidden="1" customHeight="1" x14ac:dyDescent="0.25">
      <c r="A70" s="45" t="str">
        <f>CONCATENATE(Tabla2[[#This Row],[id_solicitud]],Tabla2[[#This Row],[tipo]])</f>
        <v>75Proposicion</v>
      </c>
      <c r="B70" s="45">
        <f>COUNTIF($A$2:A70,A70)</f>
        <v>1</v>
      </c>
      <c r="C70" s="45" t="str">
        <f>Tabla2[[#This Row],[(id_solicitud-tipo_documento)]]&amp;B70</f>
        <v>75Proposicion1</v>
      </c>
      <c r="D70" s="45">
        <v>69</v>
      </c>
      <c r="E70" s="45">
        <v>75</v>
      </c>
      <c r="F70" s="45" t="s">
        <v>46</v>
      </c>
      <c r="G70" s="45" t="s">
        <v>43</v>
      </c>
      <c r="H70" s="50" t="s">
        <v>26</v>
      </c>
      <c r="I70" s="51">
        <v>78</v>
      </c>
      <c r="J70" s="80"/>
      <c r="K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78 DV</v>
      </c>
      <c r="L70" s="48">
        <v>44603</v>
      </c>
      <c r="M70" s="48">
        <v>44664</v>
      </c>
      <c r="N70" s="49" t="s">
        <v>632</v>
      </c>
      <c r="O70" s="45">
        <v>98</v>
      </c>
      <c r="P70" s="80" t="s">
        <v>494</v>
      </c>
      <c r="Q70" s="24"/>
      <c r="R70" s="24" t="s">
        <v>24</v>
      </c>
      <c r="S70" s="114"/>
      <c r="T70" s="45"/>
      <c r="U70" s="48"/>
      <c r="V70" s="48"/>
      <c r="W70" s="27"/>
    </row>
    <row r="71" spans="1:23" ht="60" hidden="1" customHeight="1" x14ac:dyDescent="0.25">
      <c r="A71" s="45" t="str">
        <f>CONCATENATE(Tabla2[[#This Row],[id_solicitud]],Tabla2[[#This Row],[tipo]])</f>
        <v>110Decreto</v>
      </c>
      <c r="B71" s="45">
        <f>COUNTIF($A$2:A71,A71)</f>
        <v>2</v>
      </c>
      <c r="C71" s="45" t="str">
        <f>Tabla2[[#This Row],[(id_solicitud-tipo_documento)]]&amp;B71</f>
        <v>110Decreto2</v>
      </c>
      <c r="D71" s="45">
        <v>70</v>
      </c>
      <c r="E71" s="45">
        <v>110</v>
      </c>
      <c r="F71" s="45" t="s">
        <v>47</v>
      </c>
      <c r="G71" s="45" t="s">
        <v>43</v>
      </c>
      <c r="H71" s="50" t="s">
        <v>26</v>
      </c>
      <c r="I71" s="51">
        <v>643</v>
      </c>
      <c r="J71" s="80"/>
      <c r="K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643 DV</v>
      </c>
      <c r="L71" s="48">
        <v>44687</v>
      </c>
      <c r="M71" s="48"/>
      <c r="N71" s="49" t="s">
        <v>858</v>
      </c>
      <c r="O71" s="45"/>
      <c r="P71" s="80"/>
      <c r="Q71" s="48"/>
      <c r="R71" s="45"/>
      <c r="S71" s="115">
        <v>218</v>
      </c>
      <c r="T71" s="20">
        <v>44670</v>
      </c>
      <c r="U71" s="20">
        <v>44693</v>
      </c>
      <c r="V71" s="20">
        <v>44693</v>
      </c>
      <c r="W71" s="27"/>
    </row>
    <row r="72" spans="1:23" ht="60" hidden="1" customHeight="1" x14ac:dyDescent="0.25">
      <c r="A72" s="45" t="str">
        <f>CONCATENATE(Tabla2[[#This Row],[id_solicitud]],Tabla2[[#This Row],[tipo]])</f>
        <v>79Proposicion</v>
      </c>
      <c r="B72" s="45">
        <f>COUNTIF($A$2:A72,A72)</f>
        <v>1</v>
      </c>
      <c r="C72" s="45" t="str">
        <f>Tabla2[[#This Row],[(id_solicitud-tipo_documento)]]&amp;B72</f>
        <v>79Proposicion1</v>
      </c>
      <c r="D72" s="45">
        <v>71</v>
      </c>
      <c r="E72" s="45">
        <v>79</v>
      </c>
      <c r="F72" s="45" t="s">
        <v>46</v>
      </c>
      <c r="G72" s="45" t="s">
        <v>60</v>
      </c>
      <c r="H72" s="50" t="s">
        <v>559</v>
      </c>
      <c r="I72" s="51">
        <v>79</v>
      </c>
      <c r="J72" s="80"/>
      <c r="K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79 APR_FETCovid19</v>
      </c>
      <c r="L72" s="48">
        <v>44603</v>
      </c>
      <c r="M72" s="48">
        <v>44669</v>
      </c>
      <c r="N72" s="49" t="s">
        <v>131</v>
      </c>
      <c r="O72" s="45">
        <v>1</v>
      </c>
      <c r="P72" s="80" t="s">
        <v>494</v>
      </c>
      <c r="Q72" s="24"/>
      <c r="R72" s="24" t="s">
        <v>24</v>
      </c>
      <c r="S72" s="114"/>
      <c r="T72" s="45"/>
      <c r="U72" s="48"/>
      <c r="V72" s="48"/>
      <c r="W72" s="27"/>
    </row>
    <row r="73" spans="1:23" ht="60" hidden="1" customHeight="1" x14ac:dyDescent="0.25">
      <c r="A73" s="45" t="str">
        <f>CONCATENATE(Tabla2[[#This Row],[id_solicitud]],Tabla2[[#This Row],[tipo]])</f>
        <v>85Oficio_Solicitud</v>
      </c>
      <c r="B73" s="45">
        <f>COUNTIF($A$2:A73,A73)</f>
        <v>1</v>
      </c>
      <c r="C73" s="45" t="str">
        <f>Tabla2[[#This Row],[(id_solicitud-tipo_documento)]]&amp;B73</f>
        <v>85Oficio_Solicitud1</v>
      </c>
      <c r="D73" s="45">
        <v>72</v>
      </c>
      <c r="E73" s="45">
        <v>85</v>
      </c>
      <c r="F73" s="45" t="s">
        <v>53</v>
      </c>
      <c r="G73" s="45" t="s">
        <v>1258</v>
      </c>
      <c r="H73" s="50" t="s">
        <v>544</v>
      </c>
      <c r="I73" s="51">
        <v>82</v>
      </c>
      <c r="J73" s="80"/>
      <c r="K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82 DAP_FETCovid19</v>
      </c>
      <c r="L73" s="48">
        <v>44607</v>
      </c>
      <c r="M73" s="48">
        <v>44665</v>
      </c>
      <c r="N73" s="49" t="s">
        <v>136</v>
      </c>
      <c r="O73" s="45">
        <v>1</v>
      </c>
      <c r="P73" s="80" t="s">
        <v>494</v>
      </c>
      <c r="Q73" s="48">
        <v>44609</v>
      </c>
      <c r="R73" s="45"/>
      <c r="S73" s="114"/>
      <c r="T73" s="52"/>
      <c r="U73" s="48"/>
      <c r="V73" s="48"/>
      <c r="W73" s="27"/>
    </row>
    <row r="74" spans="1:23" ht="60" hidden="1" customHeight="1" x14ac:dyDescent="0.25">
      <c r="A74" s="45" t="str">
        <f>CONCATENATE(Tabla2[[#This Row],[id_solicitud]],Tabla2[[#This Row],[tipo]])</f>
        <v>74Proposicion</v>
      </c>
      <c r="B74" s="45">
        <f>COUNTIF($A$2:A74,A74)</f>
        <v>1</v>
      </c>
      <c r="C74" s="45" t="str">
        <f>Tabla2[[#This Row],[(id_solicitud-tipo_documento)]]&amp;B74</f>
        <v>74Proposicion1</v>
      </c>
      <c r="D74" s="45">
        <v>73</v>
      </c>
      <c r="E74" s="45">
        <v>74</v>
      </c>
      <c r="F74" s="45" t="s">
        <v>46</v>
      </c>
      <c r="G74" s="45" t="s">
        <v>40</v>
      </c>
      <c r="H74" s="50" t="s">
        <v>26</v>
      </c>
      <c r="I74" s="51">
        <v>83</v>
      </c>
      <c r="J74" s="80"/>
      <c r="K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83 DV</v>
      </c>
      <c r="L74" s="48">
        <v>44608</v>
      </c>
      <c r="M74" s="48">
        <v>44665</v>
      </c>
      <c r="N74" s="49" t="s">
        <v>631</v>
      </c>
      <c r="O74" s="45"/>
      <c r="P74" s="80" t="s">
        <v>501</v>
      </c>
      <c r="Q74" s="24"/>
      <c r="R74" s="24" t="s">
        <v>24</v>
      </c>
      <c r="S74" s="114"/>
      <c r="T74" s="45"/>
      <c r="U74" s="48"/>
      <c r="V74" s="48"/>
      <c r="W74" s="27"/>
    </row>
    <row r="75" spans="1:23" ht="60" hidden="1" customHeight="1" x14ac:dyDescent="0.25">
      <c r="A75" s="45" t="str">
        <f>CONCATENATE(Tabla2[[#This Row],[id_solicitud]],Tabla2[[#This Row],[tipo]])</f>
        <v>81Proposicion</v>
      </c>
      <c r="B75" s="45">
        <f>COUNTIF($A$2:A75,A75)</f>
        <v>1</v>
      </c>
      <c r="C75" s="45" t="str">
        <f>Tabla2[[#This Row],[(id_solicitud-tipo_documento)]]&amp;B75</f>
        <v>81Proposicion1</v>
      </c>
      <c r="D75" s="45">
        <v>74</v>
      </c>
      <c r="E75" s="45">
        <v>81</v>
      </c>
      <c r="F75" s="45" t="s">
        <v>46</v>
      </c>
      <c r="G75" s="45" t="s">
        <v>60</v>
      </c>
      <c r="H75" s="50" t="s">
        <v>16</v>
      </c>
      <c r="I75" s="51">
        <v>84</v>
      </c>
      <c r="J75" s="80"/>
      <c r="K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84 DGC</v>
      </c>
      <c r="L75" s="48">
        <v>44608</v>
      </c>
      <c r="M75" s="48">
        <v>44669</v>
      </c>
      <c r="N75" s="49" t="s">
        <v>634</v>
      </c>
      <c r="O75" s="45">
        <v>1</v>
      </c>
      <c r="P75" s="80" t="s">
        <v>494</v>
      </c>
      <c r="Q75" s="24"/>
      <c r="R75" s="24" t="s">
        <v>24</v>
      </c>
      <c r="S75" s="114"/>
      <c r="T75" s="45"/>
      <c r="U75" s="48"/>
      <c r="V75" s="48"/>
      <c r="W75" s="27"/>
    </row>
    <row r="76" spans="1:23" ht="60" hidden="1" customHeight="1" x14ac:dyDescent="0.25">
      <c r="A76" s="45" t="str">
        <f>CONCATENATE(Tabla2[[#This Row],[id_solicitud]],Tabla2[[#This Row],[tipo]])</f>
        <v>85Proposicion</v>
      </c>
      <c r="B76" s="45">
        <f>COUNTIF($A$2:A76,A76)</f>
        <v>1</v>
      </c>
      <c r="C76" s="45" t="str">
        <f>Tabla2[[#This Row],[(id_solicitud-tipo_documento)]]&amp;B76</f>
        <v>85Proposicion1</v>
      </c>
      <c r="D76" s="45">
        <v>75</v>
      </c>
      <c r="E76" s="45">
        <v>85</v>
      </c>
      <c r="F76" s="45" t="s">
        <v>46</v>
      </c>
      <c r="G76" s="45" t="s">
        <v>1258</v>
      </c>
      <c r="H76" s="50" t="s">
        <v>544</v>
      </c>
      <c r="I76" s="51">
        <v>86</v>
      </c>
      <c r="J76" s="80"/>
      <c r="K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86 DAP_FETCovid19</v>
      </c>
      <c r="L76" s="48">
        <v>44610</v>
      </c>
      <c r="M76" s="48">
        <v>44670</v>
      </c>
      <c r="N76" s="49" t="s">
        <v>136</v>
      </c>
      <c r="O76" s="45">
        <v>1</v>
      </c>
      <c r="P76" s="80" t="s">
        <v>494</v>
      </c>
      <c r="Q76" s="24"/>
      <c r="R76" s="24" t="s">
        <v>24</v>
      </c>
      <c r="S76" s="114"/>
      <c r="T76" s="45"/>
      <c r="U76" s="48"/>
      <c r="V76" s="48"/>
      <c r="W76" s="27"/>
    </row>
    <row r="77" spans="1:23" ht="60" hidden="1" customHeight="1" x14ac:dyDescent="0.25">
      <c r="A77" s="45" t="str">
        <f>CONCATENATE(Tabla2[[#This Row],[id_solicitud]],Tabla2[[#This Row],[tipo]])</f>
        <v>64Proposicion</v>
      </c>
      <c r="B77" s="45">
        <f>COUNTIF($A$2:A77,A77)</f>
        <v>1</v>
      </c>
      <c r="C77" s="45" t="str">
        <f>Tabla2[[#This Row],[(id_solicitud-tipo_documento)]]&amp;B77</f>
        <v>64Proposicion1</v>
      </c>
      <c r="D77" s="45">
        <v>76</v>
      </c>
      <c r="E77" s="45">
        <v>64</v>
      </c>
      <c r="F77" s="45" t="s">
        <v>46</v>
      </c>
      <c r="G77" s="45" t="s">
        <v>60</v>
      </c>
      <c r="H77" s="50" t="s">
        <v>6</v>
      </c>
      <c r="I77" s="51">
        <v>87</v>
      </c>
      <c r="J77" s="80"/>
      <c r="K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87 APR</v>
      </c>
      <c r="L77" s="48">
        <v>44613</v>
      </c>
      <c r="M77" s="48">
        <v>44678</v>
      </c>
      <c r="N77" s="49" t="s">
        <v>121</v>
      </c>
      <c r="O77" s="45">
        <v>8</v>
      </c>
      <c r="P77" s="80" t="s">
        <v>494</v>
      </c>
      <c r="Q77" s="24"/>
      <c r="R77" s="24" t="s">
        <v>24</v>
      </c>
      <c r="S77" s="114"/>
      <c r="T77" s="45"/>
      <c r="U77" s="48"/>
      <c r="V77" s="48"/>
      <c r="W77" s="27"/>
    </row>
    <row r="78" spans="1:23" ht="60" hidden="1" customHeight="1" x14ac:dyDescent="0.25">
      <c r="A78" s="45" t="str">
        <f>CONCATENATE(Tabla2[[#This Row],[id_solicitud]],Tabla2[[#This Row],[tipo]])</f>
        <v>63Proposicion</v>
      </c>
      <c r="B78" s="45">
        <f>COUNTIF($A$2:A78,A78)</f>
        <v>1</v>
      </c>
      <c r="C78" s="45" t="str">
        <f>Tabla2[[#This Row],[(id_solicitud-tipo_documento)]]&amp;B78</f>
        <v>63Proposicion1</v>
      </c>
      <c r="D78" s="45">
        <v>77</v>
      </c>
      <c r="E78" s="45">
        <v>63</v>
      </c>
      <c r="F78" s="45" t="s">
        <v>46</v>
      </c>
      <c r="G78" s="45" t="s">
        <v>60</v>
      </c>
      <c r="H78" s="50" t="s">
        <v>6</v>
      </c>
      <c r="I78" s="51">
        <v>88</v>
      </c>
      <c r="J78" s="80"/>
      <c r="K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88 APR</v>
      </c>
      <c r="L78" s="48">
        <v>44610</v>
      </c>
      <c r="M78" s="48">
        <v>44677</v>
      </c>
      <c r="N78" s="49" t="s">
        <v>1023</v>
      </c>
      <c r="O78" s="45">
        <v>15</v>
      </c>
      <c r="P78" s="80" t="s">
        <v>494</v>
      </c>
      <c r="Q78" s="24"/>
      <c r="R78" s="24" t="s">
        <v>24</v>
      </c>
      <c r="S78" s="114"/>
      <c r="T78" s="45"/>
      <c r="U78" s="48"/>
      <c r="V78" s="48"/>
      <c r="W78" s="27"/>
    </row>
    <row r="79" spans="1:23" ht="60" hidden="1" customHeight="1" x14ac:dyDescent="0.25">
      <c r="A79" s="45" t="str">
        <f>CONCATENATE(Tabla2[[#This Row],[id_solicitud]],Tabla2[[#This Row],[tipo]])</f>
        <v>62Proposicion</v>
      </c>
      <c r="B79" s="45">
        <f>COUNTIF($A$2:A79,A79)</f>
        <v>1</v>
      </c>
      <c r="C79" s="45" t="str">
        <f>Tabla2[[#This Row],[(id_solicitud-tipo_documento)]]&amp;B79</f>
        <v>62Proposicion1</v>
      </c>
      <c r="D79" s="45">
        <v>78</v>
      </c>
      <c r="E79" s="45">
        <v>62</v>
      </c>
      <c r="F79" s="45" t="s">
        <v>46</v>
      </c>
      <c r="G79" s="45" t="s">
        <v>60</v>
      </c>
      <c r="H79" s="50" t="s">
        <v>6</v>
      </c>
      <c r="I79" s="51">
        <v>89</v>
      </c>
      <c r="J79" s="80"/>
      <c r="K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89 APR</v>
      </c>
      <c r="L79" s="48">
        <v>44610</v>
      </c>
      <c r="M79" s="48">
        <v>44677</v>
      </c>
      <c r="N79" s="49" t="s">
        <v>120</v>
      </c>
      <c r="O79" s="45">
        <v>14</v>
      </c>
      <c r="P79" s="80" t="s">
        <v>494</v>
      </c>
      <c r="Q79" s="24"/>
      <c r="R79" s="24" t="s">
        <v>24</v>
      </c>
      <c r="S79" s="114"/>
      <c r="T79" s="45"/>
      <c r="U79" s="48"/>
      <c r="V79" s="48"/>
      <c r="W79" s="27"/>
    </row>
    <row r="80" spans="1:23" ht="60" hidden="1" customHeight="1" x14ac:dyDescent="0.25">
      <c r="A80" s="45" t="str">
        <f>CONCATENATE(Tabla2[[#This Row],[id_solicitud]],Tabla2[[#This Row],[tipo]])</f>
        <v>15Decreto</v>
      </c>
      <c r="B80" s="45">
        <f>COUNTIF($A$2:A80,A80)</f>
        <v>1</v>
      </c>
      <c r="C80" s="45" t="str">
        <f>Tabla2[[#This Row],[(id_solicitud-tipo_documento)]]&amp;B80</f>
        <v>15Decreto1</v>
      </c>
      <c r="D80" s="45">
        <v>79</v>
      </c>
      <c r="E80" s="45">
        <v>15</v>
      </c>
      <c r="F80" s="45" t="s">
        <v>47</v>
      </c>
      <c r="G80" s="45" t="s">
        <v>43</v>
      </c>
      <c r="H80" s="50" t="s">
        <v>541</v>
      </c>
      <c r="I80" s="51">
        <v>94</v>
      </c>
      <c r="J80" s="80"/>
      <c r="K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94 DOP_FETCovid19</v>
      </c>
      <c r="L80" s="48">
        <v>44587</v>
      </c>
      <c r="M80" s="48">
        <v>44630</v>
      </c>
      <c r="N80" s="49" t="s">
        <v>761</v>
      </c>
      <c r="O80" s="45"/>
      <c r="P80" s="80"/>
      <c r="Q80" s="48"/>
      <c r="R80" s="45"/>
      <c r="S80" s="115">
        <v>1020</v>
      </c>
      <c r="T80" s="20">
        <v>44572</v>
      </c>
      <c r="U80" s="20">
        <v>44596</v>
      </c>
      <c r="V80" s="20">
        <v>44596</v>
      </c>
      <c r="W80" s="27"/>
    </row>
    <row r="81" spans="1:23" ht="60" hidden="1" customHeight="1" x14ac:dyDescent="0.25">
      <c r="A81" s="45" t="str">
        <f>CONCATENATE(Tabla2[[#This Row],[id_solicitud]],Tabla2[[#This Row],[tipo]])</f>
        <v>56Oficio_Solicitud</v>
      </c>
      <c r="B81" s="45">
        <f>COUNTIF($A$2:A81,A81)</f>
        <v>1</v>
      </c>
      <c r="C81" s="45" t="str">
        <f>Tabla2[[#This Row],[(id_solicitud-tipo_documento)]]&amp;B81</f>
        <v>56Oficio_Solicitud1</v>
      </c>
      <c r="D81" s="45">
        <v>80</v>
      </c>
      <c r="E81" s="45">
        <v>56</v>
      </c>
      <c r="F81" s="45" t="s">
        <v>53</v>
      </c>
      <c r="G81" s="45" t="s">
        <v>60</v>
      </c>
      <c r="H81" s="50" t="s">
        <v>16</v>
      </c>
      <c r="I81" s="51">
        <v>94</v>
      </c>
      <c r="J81" s="80"/>
      <c r="K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94 DGC</v>
      </c>
      <c r="L81" s="48">
        <v>44582</v>
      </c>
      <c r="M81" s="48">
        <v>44582</v>
      </c>
      <c r="N81" s="49" t="s">
        <v>114</v>
      </c>
      <c r="O81" s="45">
        <v>12</v>
      </c>
      <c r="P81" s="80" t="s">
        <v>494</v>
      </c>
      <c r="Q81" s="48"/>
      <c r="R81" s="45"/>
      <c r="S81" s="114"/>
      <c r="T81" s="52"/>
      <c r="U81" s="48"/>
      <c r="V81" s="48"/>
      <c r="W81" s="27"/>
    </row>
    <row r="82" spans="1:23" ht="60" hidden="1" customHeight="1" x14ac:dyDescent="0.25">
      <c r="A82" s="45" t="str">
        <f>CONCATENATE(Tabla2[[#This Row],[id_solicitud]],Tabla2[[#This Row],[tipo]])</f>
        <v>87Oficio_Solicitud</v>
      </c>
      <c r="B82" s="45">
        <f>COUNTIF($A$2:A82,A82)</f>
        <v>1</v>
      </c>
      <c r="C82" s="45" t="str">
        <f>Tabla2[[#This Row],[(id_solicitud-tipo_documento)]]&amp;B82</f>
        <v>87Oficio_Solicitud1</v>
      </c>
      <c r="D82" s="45">
        <v>81</v>
      </c>
      <c r="E82" s="45">
        <v>87</v>
      </c>
      <c r="F82" s="45" t="s">
        <v>53</v>
      </c>
      <c r="G82" s="45" t="s">
        <v>60</v>
      </c>
      <c r="H82" s="50" t="s">
        <v>544</v>
      </c>
      <c r="I82" s="51">
        <v>94</v>
      </c>
      <c r="J82" s="80"/>
      <c r="K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94 DAP_FETCovid19</v>
      </c>
      <c r="L82" s="48">
        <v>44610</v>
      </c>
      <c r="M82" s="48">
        <v>44610</v>
      </c>
      <c r="N82" s="49" t="s">
        <v>138</v>
      </c>
      <c r="O82" s="45">
        <f>1+15</f>
        <v>16</v>
      </c>
      <c r="P82" s="80" t="s">
        <v>494</v>
      </c>
      <c r="Q82" s="48">
        <v>44615</v>
      </c>
      <c r="R82" s="45"/>
      <c r="S82" s="114"/>
      <c r="T82" s="52"/>
      <c r="U82" s="48"/>
      <c r="V82" s="48"/>
      <c r="W82" s="27"/>
    </row>
    <row r="83" spans="1:23" ht="60" hidden="1" customHeight="1" x14ac:dyDescent="0.25">
      <c r="A83" s="45" t="str">
        <f>CONCATENATE(Tabla2[[#This Row],[id_solicitud]],Tabla2[[#This Row],[tipo]])</f>
        <v>66Oficio_Solicitud</v>
      </c>
      <c r="B83" s="45">
        <f>COUNTIF($A$2:A83,A83)</f>
        <v>1</v>
      </c>
      <c r="C83" s="45" t="str">
        <f>Tabla2[[#This Row],[(id_solicitud-tipo_documento)]]&amp;B83</f>
        <v>66Oficio_Solicitud1</v>
      </c>
      <c r="D83" s="45">
        <v>82</v>
      </c>
      <c r="E83" s="45">
        <v>66</v>
      </c>
      <c r="F83" s="45" t="s">
        <v>53</v>
      </c>
      <c r="G83" s="45" t="s">
        <v>60</v>
      </c>
      <c r="H83" s="50" t="s">
        <v>541</v>
      </c>
      <c r="I83" s="51">
        <v>95</v>
      </c>
      <c r="J83" s="80"/>
      <c r="K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95 DOP_FETCovid19</v>
      </c>
      <c r="L83" s="48">
        <v>44593</v>
      </c>
      <c r="M83" s="48">
        <v>44593</v>
      </c>
      <c r="N83" s="49" t="s">
        <v>123</v>
      </c>
      <c r="O83" s="45">
        <v>1</v>
      </c>
      <c r="P83" s="80" t="s">
        <v>494</v>
      </c>
      <c r="Q83" s="48"/>
      <c r="R83" s="45"/>
      <c r="S83" s="114"/>
      <c r="T83" s="52"/>
      <c r="U83" s="48"/>
      <c r="V83" s="48"/>
      <c r="W83" s="27"/>
    </row>
    <row r="84" spans="1:23" ht="60" hidden="1" customHeight="1" x14ac:dyDescent="0.25">
      <c r="A84" s="45" t="str">
        <f>CONCATENATE(Tabla2[[#This Row],[id_solicitud]],Tabla2[[#This Row],[tipo]])</f>
        <v>90Proposicion</v>
      </c>
      <c r="B84" s="45">
        <f>COUNTIF($A$2:A84,A84)</f>
        <v>1</v>
      </c>
      <c r="C84" s="45" t="str">
        <f>Tabla2[[#This Row],[(id_solicitud-tipo_documento)]]&amp;B84</f>
        <v>90Proposicion1</v>
      </c>
      <c r="D84" s="45">
        <v>83</v>
      </c>
      <c r="E84" s="45">
        <v>90</v>
      </c>
      <c r="F84" s="45" t="s">
        <v>46</v>
      </c>
      <c r="G84" s="45" t="s">
        <v>40</v>
      </c>
      <c r="H84" s="50" t="s">
        <v>12</v>
      </c>
      <c r="I84" s="51">
        <v>95</v>
      </c>
      <c r="J84" s="80"/>
      <c r="K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95 DCyF</v>
      </c>
      <c r="L84" s="48">
        <v>44617</v>
      </c>
      <c r="M84" s="48">
        <v>44687</v>
      </c>
      <c r="N84" s="49" t="s">
        <v>636</v>
      </c>
      <c r="O84" s="45"/>
      <c r="P84" s="80" t="s">
        <v>498</v>
      </c>
      <c r="Q84" s="24"/>
      <c r="R84" s="24" t="s">
        <v>24</v>
      </c>
      <c r="S84" s="114"/>
      <c r="T84" s="45"/>
      <c r="U84" s="48"/>
      <c r="V84" s="48"/>
      <c r="W84" s="27"/>
    </row>
    <row r="85" spans="1:23" ht="60" hidden="1" customHeight="1" x14ac:dyDescent="0.25">
      <c r="A85" s="45" t="str">
        <f>CONCATENATE(Tabla2[[#This Row],[id_solicitud]],Tabla2[[#This Row],[tipo]])</f>
        <v>131Oficio_Solicitud</v>
      </c>
      <c r="B85" s="45">
        <f>COUNTIF($A$2:A85,A85)</f>
        <v>1</v>
      </c>
      <c r="C85" s="45" t="str">
        <f>Tabla2[[#This Row],[(id_solicitud-tipo_documento)]]&amp;B85</f>
        <v>131Oficio_Solicitud1</v>
      </c>
      <c r="D85" s="45">
        <v>84</v>
      </c>
      <c r="E85" s="45">
        <v>131</v>
      </c>
      <c r="F85" s="45" t="s">
        <v>53</v>
      </c>
      <c r="G85" s="45" t="s">
        <v>44</v>
      </c>
      <c r="H85" s="50" t="s">
        <v>14</v>
      </c>
      <c r="I85" s="51">
        <v>95</v>
      </c>
      <c r="J85" s="80"/>
      <c r="K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95 DGA</v>
      </c>
      <c r="L85" s="48">
        <v>44620</v>
      </c>
      <c r="M85" s="48">
        <v>44687</v>
      </c>
      <c r="N85" s="49" t="s">
        <v>176</v>
      </c>
      <c r="O85" s="45"/>
      <c r="P85" s="80" t="s">
        <v>500</v>
      </c>
      <c r="Q85" s="48"/>
      <c r="R85" s="45"/>
      <c r="S85" s="114"/>
      <c r="T85" s="52"/>
      <c r="U85" s="48"/>
      <c r="V85" s="48"/>
      <c r="W85" s="27"/>
    </row>
    <row r="86" spans="1:23" ht="60" hidden="1" customHeight="1" x14ac:dyDescent="0.25">
      <c r="A86" s="45" t="str">
        <f>CONCATENATE(Tabla2[[#This Row],[id_solicitud]],Tabla2[[#This Row],[tipo]])</f>
        <v>131Proposicion</v>
      </c>
      <c r="B86" s="45">
        <f>COUNTIF($A$2:A86,A86)</f>
        <v>1</v>
      </c>
      <c r="C86" s="45" t="str">
        <f>Tabla2[[#This Row],[(id_solicitud-tipo_documento)]]&amp;B86</f>
        <v>131Proposicion1</v>
      </c>
      <c r="D86" s="45">
        <v>85</v>
      </c>
      <c r="E86" s="45">
        <v>131</v>
      </c>
      <c r="F86" s="45" t="s">
        <v>46</v>
      </c>
      <c r="G86" s="45" t="s">
        <v>44</v>
      </c>
      <c r="H86" s="50" t="s">
        <v>14</v>
      </c>
      <c r="I86" s="51">
        <v>95</v>
      </c>
      <c r="J86" s="80"/>
      <c r="K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95 DGA</v>
      </c>
      <c r="L86" s="48">
        <v>44620</v>
      </c>
      <c r="M86" s="48">
        <v>44687</v>
      </c>
      <c r="N86" s="49" t="s">
        <v>176</v>
      </c>
      <c r="O86" s="45"/>
      <c r="P86" s="80" t="s">
        <v>500</v>
      </c>
      <c r="Q86" s="24"/>
      <c r="R86" s="24" t="s">
        <v>14</v>
      </c>
      <c r="S86" s="114"/>
      <c r="T86" s="45"/>
      <c r="U86" s="48"/>
      <c r="V86" s="48"/>
      <c r="W86" s="27"/>
    </row>
    <row r="87" spans="1:23" ht="60" hidden="1" customHeight="1" x14ac:dyDescent="0.25">
      <c r="A87" s="45" t="str">
        <f>CONCATENATE(Tabla2[[#This Row],[id_solicitud]],Tabla2[[#This Row],[tipo]])</f>
        <v>57Oficio_Solicitud</v>
      </c>
      <c r="B87" s="45">
        <f>COUNTIF($A$2:A87,A87)</f>
        <v>1</v>
      </c>
      <c r="C87" s="45" t="str">
        <f>Tabla2[[#This Row],[(id_solicitud-tipo_documento)]]&amp;B87</f>
        <v>57Oficio_Solicitud1</v>
      </c>
      <c r="D87" s="45">
        <v>86</v>
      </c>
      <c r="E87" s="45">
        <v>57</v>
      </c>
      <c r="F87" s="45" t="s">
        <v>53</v>
      </c>
      <c r="G87" s="45" t="s">
        <v>60</v>
      </c>
      <c r="H87" s="50" t="s">
        <v>16</v>
      </c>
      <c r="I87" s="51">
        <v>96</v>
      </c>
      <c r="J87" s="80"/>
      <c r="K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96 DGC</v>
      </c>
      <c r="L87" s="48">
        <v>44585</v>
      </c>
      <c r="M87" s="48">
        <v>44687</v>
      </c>
      <c r="N87" s="49" t="s">
        <v>115</v>
      </c>
      <c r="O87" s="45">
        <v>33</v>
      </c>
      <c r="P87" s="80" t="s">
        <v>494</v>
      </c>
      <c r="Q87" s="48"/>
      <c r="R87" s="45"/>
      <c r="S87" s="114"/>
      <c r="T87" s="52"/>
      <c r="U87" s="48"/>
      <c r="V87" s="48"/>
      <c r="W87" s="27"/>
    </row>
    <row r="88" spans="1:23" ht="60" hidden="1" customHeight="1" x14ac:dyDescent="0.25">
      <c r="A88" s="45" t="str">
        <f>CONCATENATE(Tabla2[[#This Row],[id_solicitud]],Tabla2[[#This Row],[tipo]])</f>
        <v>65Oficio_Solicitud</v>
      </c>
      <c r="B88" s="45">
        <f>COUNTIF($A$2:A88,A88)</f>
        <v>1</v>
      </c>
      <c r="C88" s="45" t="str">
        <f>Tabla2[[#This Row],[(id_solicitud-tipo_documento)]]&amp;B88</f>
        <v>65Oficio_Solicitud1</v>
      </c>
      <c r="D88" s="45">
        <v>87</v>
      </c>
      <c r="E88" s="45">
        <v>65</v>
      </c>
      <c r="F88" s="45" t="s">
        <v>53</v>
      </c>
      <c r="G88" s="45" t="s">
        <v>60</v>
      </c>
      <c r="H88" s="50" t="s">
        <v>22</v>
      </c>
      <c r="I88" s="51">
        <v>96</v>
      </c>
      <c r="J88" s="80"/>
      <c r="K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96 DOP</v>
      </c>
      <c r="L88" s="48">
        <v>44593</v>
      </c>
      <c r="M88" s="48">
        <v>44593</v>
      </c>
      <c r="N88" s="49" t="s">
        <v>122</v>
      </c>
      <c r="O88" s="45">
        <v>27</v>
      </c>
      <c r="P88" s="80" t="s">
        <v>494</v>
      </c>
      <c r="Q88" s="48"/>
      <c r="R88" s="45"/>
      <c r="S88" s="114"/>
      <c r="T88" s="52"/>
      <c r="U88" s="48"/>
      <c r="V88" s="48"/>
      <c r="W88" s="27"/>
    </row>
    <row r="89" spans="1:23" ht="60" hidden="1" customHeight="1" x14ac:dyDescent="0.25">
      <c r="A89" s="45" t="str">
        <f>CONCATENATE(Tabla2[[#This Row],[id_solicitud]],Tabla2[[#This Row],[tipo]])</f>
        <v>91Proposicion</v>
      </c>
      <c r="B89" s="45">
        <f>COUNTIF($A$2:A89,A89)</f>
        <v>1</v>
      </c>
      <c r="C89" s="45" t="str">
        <f>Tabla2[[#This Row],[(id_solicitud-tipo_documento)]]&amp;B89</f>
        <v>91Proposicion1</v>
      </c>
      <c r="D89" s="45">
        <v>88</v>
      </c>
      <c r="E89" s="45">
        <v>91</v>
      </c>
      <c r="F89" s="45" t="s">
        <v>46</v>
      </c>
      <c r="G89" s="45" t="s">
        <v>44</v>
      </c>
      <c r="H89" s="50" t="s">
        <v>565</v>
      </c>
      <c r="I89" s="51">
        <v>96</v>
      </c>
      <c r="J89" s="80"/>
      <c r="K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96 DGA_FETCovid19</v>
      </c>
      <c r="L89" s="48">
        <v>44617</v>
      </c>
      <c r="M89" s="48">
        <v>44687</v>
      </c>
      <c r="N89" s="49" t="s">
        <v>142</v>
      </c>
      <c r="O89" s="45"/>
      <c r="P89" s="80" t="s">
        <v>498</v>
      </c>
      <c r="Q89" s="24"/>
      <c r="R89" s="24" t="s">
        <v>24</v>
      </c>
      <c r="S89" s="114"/>
      <c r="T89" s="45"/>
      <c r="U89" s="48"/>
      <c r="V89" s="48"/>
      <c r="W89" s="27"/>
    </row>
    <row r="90" spans="1:23" ht="60" hidden="1" customHeight="1" x14ac:dyDescent="0.25">
      <c r="A90" s="45" t="str">
        <f>CONCATENATE(Tabla2[[#This Row],[id_solicitud]],Tabla2[[#This Row],[tipo]])</f>
        <v>68Proposicion</v>
      </c>
      <c r="B90" s="45">
        <f>COUNTIF($A$2:A90,A90)</f>
        <v>1</v>
      </c>
      <c r="C90" s="45" t="str">
        <f>Tabla2[[#This Row],[(id_solicitud-tipo_documento)]]&amp;B90</f>
        <v>68Proposicion1</v>
      </c>
      <c r="D90" s="45">
        <v>89</v>
      </c>
      <c r="E90" s="45">
        <v>68</v>
      </c>
      <c r="F90" s="45" t="s">
        <v>46</v>
      </c>
      <c r="G90" s="45" t="s">
        <v>44</v>
      </c>
      <c r="H90" s="50" t="s">
        <v>14</v>
      </c>
      <c r="I90" s="51">
        <v>97</v>
      </c>
      <c r="J90" s="80"/>
      <c r="K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97 DGA</v>
      </c>
      <c r="L90" s="48">
        <v>44617</v>
      </c>
      <c r="M90" s="48">
        <v>44687</v>
      </c>
      <c r="N90" s="49" t="s">
        <v>125</v>
      </c>
      <c r="O90" s="45"/>
      <c r="P90" s="80" t="s">
        <v>498</v>
      </c>
      <c r="Q90" s="24"/>
      <c r="R90" s="24" t="s">
        <v>24</v>
      </c>
      <c r="S90" s="114"/>
      <c r="T90" s="45"/>
      <c r="U90" s="48"/>
      <c r="V90" s="48"/>
      <c r="W90" s="27"/>
    </row>
    <row r="91" spans="1:23" ht="60" hidden="1" customHeight="1" x14ac:dyDescent="0.25">
      <c r="A91" s="45" t="str">
        <f>CONCATENATE(Tabla2[[#This Row],[id_solicitud]],Tabla2[[#This Row],[tipo]])</f>
        <v>4Decreto</v>
      </c>
      <c r="B91" s="45">
        <f>COUNTIF($A$2:A91,A91)</f>
        <v>1</v>
      </c>
      <c r="C91" s="45" t="str">
        <f>Tabla2[[#This Row],[(id_solicitud-tipo_documento)]]&amp;B91</f>
        <v>4Decreto1</v>
      </c>
      <c r="D91" s="45">
        <v>90</v>
      </c>
      <c r="E91" s="45">
        <v>4</v>
      </c>
      <c r="F91" s="45" t="s">
        <v>47</v>
      </c>
      <c r="G91" s="45" t="s">
        <v>43</v>
      </c>
      <c r="H91" s="50" t="s">
        <v>541</v>
      </c>
      <c r="I91" s="51">
        <v>98</v>
      </c>
      <c r="J91" s="80"/>
      <c r="K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98 DOP_FETCovid19</v>
      </c>
      <c r="L91" s="48">
        <v>44587</v>
      </c>
      <c r="M91" s="48">
        <v>44665</v>
      </c>
      <c r="N91" s="49" t="s">
        <v>755</v>
      </c>
      <c r="O91" s="45"/>
      <c r="P91" s="80"/>
      <c r="Q91" s="48"/>
      <c r="R91" s="45"/>
      <c r="S91" s="115">
        <v>1018</v>
      </c>
      <c r="T91" s="20">
        <v>44571</v>
      </c>
      <c r="U91" s="20">
        <v>44596</v>
      </c>
      <c r="V91" s="20">
        <v>44596</v>
      </c>
      <c r="W91" s="27"/>
    </row>
    <row r="92" spans="1:23" ht="60" hidden="1" customHeight="1" x14ac:dyDescent="0.25">
      <c r="A92" s="45" t="str">
        <f>CONCATENATE(Tabla2[[#This Row],[id_solicitud]],Tabla2[[#This Row],[tipo]])</f>
        <v>80Proposicion</v>
      </c>
      <c r="B92" s="45">
        <f>COUNTIF($A$2:A92,A92)</f>
        <v>1</v>
      </c>
      <c r="C92" s="45" t="str">
        <f>Tabla2[[#This Row],[(id_solicitud-tipo_documento)]]&amp;B92</f>
        <v>80Proposicion1</v>
      </c>
      <c r="D92" s="45">
        <v>91</v>
      </c>
      <c r="E92" s="45">
        <v>80</v>
      </c>
      <c r="F92" s="45" t="s">
        <v>46</v>
      </c>
      <c r="G92" s="45" t="s">
        <v>60</v>
      </c>
      <c r="H92" s="50" t="s">
        <v>20</v>
      </c>
      <c r="I92" s="51">
        <v>98</v>
      </c>
      <c r="J92" s="80"/>
      <c r="K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98 DOH</v>
      </c>
      <c r="L92" s="48">
        <v>44617</v>
      </c>
      <c r="M92" s="48">
        <v>44692</v>
      </c>
      <c r="N92" s="49" t="s">
        <v>132</v>
      </c>
      <c r="O92" s="45">
        <v>1</v>
      </c>
      <c r="P92" s="80" t="s">
        <v>494</v>
      </c>
      <c r="Q92" s="24"/>
      <c r="R92" s="24" t="s">
        <v>24</v>
      </c>
      <c r="S92" s="114"/>
      <c r="T92" s="45"/>
      <c r="U92" s="48"/>
      <c r="V92" s="48"/>
      <c r="W92" s="27"/>
    </row>
    <row r="93" spans="1:23" ht="60" hidden="1" customHeight="1" x14ac:dyDescent="0.25">
      <c r="A93" s="45" t="str">
        <f>CONCATENATE(Tabla2[[#This Row],[id_solicitud]],Tabla2[[#This Row],[tipo]])</f>
        <v>96Oficio_Solicitud</v>
      </c>
      <c r="B93" s="45">
        <f>COUNTIF($A$2:A93,A93)</f>
        <v>1</v>
      </c>
      <c r="C93" s="45" t="str">
        <f>Tabla2[[#This Row],[(id_solicitud-tipo_documento)]]&amp;B93</f>
        <v>96Oficio_Solicitud1</v>
      </c>
      <c r="D93" s="45">
        <v>92</v>
      </c>
      <c r="E93" s="45">
        <v>96</v>
      </c>
      <c r="F93" s="45" t="s">
        <v>53</v>
      </c>
      <c r="G93" s="45" t="s">
        <v>44</v>
      </c>
      <c r="H93" s="50" t="s">
        <v>10</v>
      </c>
      <c r="I93" s="51">
        <v>100</v>
      </c>
      <c r="J93" s="80"/>
      <c r="K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100 DAP</v>
      </c>
      <c r="L93" s="48">
        <v>44613</v>
      </c>
      <c r="M93" s="48">
        <v>44693</v>
      </c>
      <c r="N93" s="49" t="s">
        <v>147</v>
      </c>
      <c r="O93" s="45">
        <v>0</v>
      </c>
      <c r="P93" s="80" t="s">
        <v>498</v>
      </c>
      <c r="Q93" s="48"/>
      <c r="R93" s="45"/>
      <c r="S93" s="114"/>
      <c r="T93" s="52"/>
      <c r="U93" s="48"/>
      <c r="V93" s="48"/>
      <c r="W93" s="27"/>
    </row>
    <row r="94" spans="1:23" ht="60" hidden="1" customHeight="1" x14ac:dyDescent="0.25">
      <c r="A94" s="45" t="str">
        <f>CONCATENATE(Tabla2[[#This Row],[id_solicitud]],Tabla2[[#This Row],[tipo]])</f>
        <v>87Proposicion</v>
      </c>
      <c r="B94" s="45">
        <f>COUNTIF($A$2:A94,A94)</f>
        <v>1</v>
      </c>
      <c r="C94" s="45" t="str">
        <f>Tabla2[[#This Row],[(id_solicitud-tipo_documento)]]&amp;B94</f>
        <v>87Proposicion1</v>
      </c>
      <c r="D94" s="45">
        <v>93</v>
      </c>
      <c r="E94" s="45">
        <v>87</v>
      </c>
      <c r="F94" s="45" t="s">
        <v>46</v>
      </c>
      <c r="G94" s="45" t="s">
        <v>60</v>
      </c>
      <c r="H94" s="50" t="s">
        <v>544</v>
      </c>
      <c r="I94" s="51">
        <v>102</v>
      </c>
      <c r="J94" s="80"/>
      <c r="K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102 DAP_FETCovid19</v>
      </c>
      <c r="L94" s="48">
        <v>44621</v>
      </c>
      <c r="M94" s="48">
        <v>44693</v>
      </c>
      <c r="N94" s="49" t="s">
        <v>138</v>
      </c>
      <c r="O94" s="45">
        <f>1+15</f>
        <v>16</v>
      </c>
      <c r="P94" s="80" t="s">
        <v>494</v>
      </c>
      <c r="Q94" s="24"/>
      <c r="R94" s="24" t="s">
        <v>24</v>
      </c>
      <c r="S94" s="114"/>
      <c r="T94" s="45"/>
      <c r="U94" s="48"/>
      <c r="V94" s="48"/>
      <c r="W94" s="27"/>
    </row>
    <row r="95" spans="1:23" ht="60" hidden="1" customHeight="1" x14ac:dyDescent="0.25">
      <c r="A95" s="45" t="str">
        <f>CONCATENATE(Tabla2[[#This Row],[id_solicitud]],Tabla2[[#This Row],[tipo]])</f>
        <v>96Proposicion</v>
      </c>
      <c r="B95" s="45">
        <f>COUNTIF($A$2:A95,A95)</f>
        <v>1</v>
      </c>
      <c r="C95" s="45" t="str">
        <f>Tabla2[[#This Row],[(id_solicitud-tipo_documento)]]&amp;B95</f>
        <v>96Proposicion1</v>
      </c>
      <c r="D95" s="45">
        <v>94</v>
      </c>
      <c r="E95" s="45">
        <v>96</v>
      </c>
      <c r="F95" s="45" t="s">
        <v>46</v>
      </c>
      <c r="G95" s="45" t="s">
        <v>44</v>
      </c>
      <c r="H95" s="50" t="s">
        <v>10</v>
      </c>
      <c r="I95" s="51">
        <v>103</v>
      </c>
      <c r="J95" s="80"/>
      <c r="K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103 DAP</v>
      </c>
      <c r="L95" s="48">
        <v>44622</v>
      </c>
      <c r="M95" s="48">
        <v>44692</v>
      </c>
      <c r="N95" s="49" t="s">
        <v>147</v>
      </c>
      <c r="O95" s="45">
        <v>0</v>
      </c>
      <c r="P95" s="80" t="s">
        <v>498</v>
      </c>
      <c r="Q95" s="24"/>
      <c r="R95" s="24" t="s">
        <v>24</v>
      </c>
      <c r="S95" s="114"/>
      <c r="T95" s="45"/>
      <c r="U95" s="48"/>
      <c r="V95" s="48"/>
      <c r="W95" s="27"/>
    </row>
    <row r="96" spans="1:23" ht="60" hidden="1" customHeight="1" x14ac:dyDescent="0.25">
      <c r="A96" s="45" t="str">
        <f>CONCATENATE(Tabla2[[#This Row],[id_solicitud]],Tabla2[[#This Row],[tipo]])</f>
        <v>84Proposicion</v>
      </c>
      <c r="B96" s="45">
        <f>COUNTIF($A$2:A96,A96)</f>
        <v>1</v>
      </c>
      <c r="C96" s="45" t="str">
        <f>Tabla2[[#This Row],[(id_solicitud-tipo_documento)]]&amp;B96</f>
        <v>84Proposicion1</v>
      </c>
      <c r="D96" s="45">
        <v>95</v>
      </c>
      <c r="E96" s="45">
        <v>84</v>
      </c>
      <c r="F96" s="45" t="s">
        <v>46</v>
      </c>
      <c r="G96" s="45" t="s">
        <v>60</v>
      </c>
      <c r="H96" s="50" t="s">
        <v>16</v>
      </c>
      <c r="I96" s="51">
        <v>104</v>
      </c>
      <c r="J96" s="80"/>
      <c r="K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104 DGC</v>
      </c>
      <c r="L96" s="48">
        <v>44622</v>
      </c>
      <c r="M96" s="48">
        <v>44692</v>
      </c>
      <c r="N96" s="49" t="s">
        <v>135</v>
      </c>
      <c r="O96" s="45">
        <v>2</v>
      </c>
      <c r="P96" s="80" t="s">
        <v>494</v>
      </c>
      <c r="Q96" s="24"/>
      <c r="R96" s="24" t="s">
        <v>24</v>
      </c>
      <c r="S96" s="114"/>
      <c r="T96" s="45"/>
      <c r="U96" s="48"/>
      <c r="V96" s="48"/>
      <c r="W96" s="27"/>
    </row>
    <row r="97" spans="1:23" ht="60" hidden="1" customHeight="1" x14ac:dyDescent="0.25">
      <c r="A97" s="45" t="str">
        <f>CONCATENATE(Tabla2[[#This Row],[id_solicitud]],Tabla2[[#This Row],[tipo]])</f>
        <v>82Proposicion</v>
      </c>
      <c r="B97" s="45">
        <f>COUNTIF($A$2:A97,A97)</f>
        <v>1</v>
      </c>
      <c r="C97" s="45" t="str">
        <f>Tabla2[[#This Row],[(id_solicitud-tipo_documento)]]&amp;B97</f>
        <v>82Proposicion1</v>
      </c>
      <c r="D97" s="45">
        <v>96</v>
      </c>
      <c r="E97" s="45">
        <v>82</v>
      </c>
      <c r="F97" s="45" t="s">
        <v>46</v>
      </c>
      <c r="G97" s="45" t="s">
        <v>42</v>
      </c>
      <c r="H97" s="50" t="s">
        <v>18</v>
      </c>
      <c r="I97" s="51">
        <v>105</v>
      </c>
      <c r="J97" s="80"/>
      <c r="K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105 DGOP</v>
      </c>
      <c r="L97" s="48">
        <v>44606</v>
      </c>
      <c r="M97" s="48">
        <v>44692</v>
      </c>
      <c r="N97" s="49" t="s">
        <v>134</v>
      </c>
      <c r="O97" s="45"/>
      <c r="P97" s="80" t="s">
        <v>497</v>
      </c>
      <c r="Q97" s="24"/>
      <c r="R97" s="23" t="s">
        <v>12</v>
      </c>
      <c r="S97" s="114"/>
      <c r="T97" s="45"/>
      <c r="U97" s="48"/>
      <c r="V97" s="48"/>
      <c r="W97" s="27"/>
    </row>
    <row r="98" spans="1:23" ht="60" hidden="1" customHeight="1" x14ac:dyDescent="0.25">
      <c r="A98" s="45" t="str">
        <f>CONCATENATE(Tabla2[[#This Row],[id_solicitud]],Tabla2[[#This Row],[tipo]])</f>
        <v>95Oficio_Solicitud</v>
      </c>
      <c r="B98" s="45">
        <f>COUNTIF($A$2:A98,A98)</f>
        <v>1</v>
      </c>
      <c r="C98" s="45" t="str">
        <f>Tabla2[[#This Row],[(id_solicitud-tipo_documento)]]&amp;B98</f>
        <v>95Oficio_Solicitud1</v>
      </c>
      <c r="D98" s="45">
        <v>97</v>
      </c>
      <c r="E98" s="45">
        <v>95</v>
      </c>
      <c r="F98" s="45" t="s">
        <v>53</v>
      </c>
      <c r="G98" s="45" t="s">
        <v>61</v>
      </c>
      <c r="H98" s="50" t="s">
        <v>10</v>
      </c>
      <c r="I98" s="51">
        <v>105</v>
      </c>
      <c r="J98" s="80"/>
      <c r="K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105 DAP</v>
      </c>
      <c r="L98" s="48">
        <v>44616</v>
      </c>
      <c r="M98" s="48">
        <v>44693</v>
      </c>
      <c r="N98" s="49" t="s">
        <v>146</v>
      </c>
      <c r="O98" s="45">
        <f>1+8+28</f>
        <v>37</v>
      </c>
      <c r="P98" s="80" t="s">
        <v>494</v>
      </c>
      <c r="Q98" s="48">
        <v>44624</v>
      </c>
      <c r="R98" s="45"/>
      <c r="S98" s="114"/>
      <c r="T98" s="52"/>
      <c r="U98" s="48"/>
      <c r="V98" s="48"/>
      <c r="W98" s="27"/>
    </row>
    <row r="99" spans="1:23" ht="60" hidden="1" customHeight="1" x14ac:dyDescent="0.25">
      <c r="A99" s="45" t="str">
        <f>CONCATENATE(Tabla2[[#This Row],[id_solicitud]],Tabla2[[#This Row],[tipo]])</f>
        <v>112Oficio_Solicitud</v>
      </c>
      <c r="B99" s="45">
        <f>COUNTIF($A$2:A99,A99)</f>
        <v>1</v>
      </c>
      <c r="C99" s="45" t="str">
        <f>Tabla2[[#This Row],[(id_solicitud-tipo_documento)]]&amp;B99</f>
        <v>112Oficio_Solicitud1</v>
      </c>
      <c r="D99" s="45">
        <v>98</v>
      </c>
      <c r="E99" s="45">
        <v>112</v>
      </c>
      <c r="F99" s="45" t="s">
        <v>53</v>
      </c>
      <c r="G99" s="45" t="s">
        <v>44</v>
      </c>
      <c r="H99" s="50" t="s">
        <v>35</v>
      </c>
      <c r="I99" s="51">
        <v>105</v>
      </c>
      <c r="J99" s="80"/>
      <c r="K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105 SOP</v>
      </c>
      <c r="L99" s="48">
        <v>44630</v>
      </c>
      <c r="M99" s="48">
        <v>44692</v>
      </c>
      <c r="N99" s="49" t="s">
        <v>159</v>
      </c>
      <c r="O99" s="45"/>
      <c r="P99" s="80" t="s">
        <v>498</v>
      </c>
      <c r="Q99" s="48"/>
      <c r="R99" s="45"/>
      <c r="S99" s="114"/>
      <c r="T99" s="52"/>
      <c r="U99" s="48"/>
      <c r="V99" s="48"/>
      <c r="W99" s="27"/>
    </row>
    <row r="100" spans="1:23" ht="60" hidden="1" customHeight="1" x14ac:dyDescent="0.25">
      <c r="A100" s="45" t="str">
        <f>CONCATENATE(Tabla2[[#This Row],[id_solicitud]],Tabla2[[#This Row],[tipo]])</f>
        <v>322Oficio_Solicitud</v>
      </c>
      <c r="B100" s="45">
        <f>COUNTIF($A$2:A100,A100)</f>
        <v>1</v>
      </c>
      <c r="C100" s="45" t="str">
        <f>Tabla2[[#This Row],[(id_solicitud-tipo_documento)]]&amp;B100</f>
        <v>322Oficio_Solicitud1</v>
      </c>
      <c r="D100" s="45">
        <v>99</v>
      </c>
      <c r="E100" s="45">
        <v>322</v>
      </c>
      <c r="F100" s="45" t="s">
        <v>53</v>
      </c>
      <c r="G100" s="45" t="s">
        <v>40</v>
      </c>
      <c r="H100" s="50" t="s">
        <v>30</v>
      </c>
      <c r="I100" s="51">
        <v>106</v>
      </c>
      <c r="J100" s="80"/>
      <c r="K1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106 INH</v>
      </c>
      <c r="L100" s="48">
        <v>44768</v>
      </c>
      <c r="M100" s="48">
        <v>44693</v>
      </c>
      <c r="N100" s="49" t="s">
        <v>332</v>
      </c>
      <c r="O100" s="45"/>
      <c r="P100" s="80" t="s">
        <v>501</v>
      </c>
      <c r="Q100" s="48">
        <v>44778</v>
      </c>
      <c r="R100" s="45"/>
      <c r="S100" s="114"/>
      <c r="T100" s="52"/>
      <c r="U100" s="48"/>
      <c r="V100" s="48"/>
      <c r="W100" s="27"/>
    </row>
    <row r="101" spans="1:23" ht="60" hidden="1" customHeight="1" x14ac:dyDescent="0.25">
      <c r="A101" s="45" t="str">
        <f>CONCATENATE(Tabla2[[#This Row],[id_solicitud]],Tabla2[[#This Row],[tipo]])</f>
        <v>73Proposicion</v>
      </c>
      <c r="B101" s="45">
        <f>COUNTIF($A$2:A101,A101)</f>
        <v>1</v>
      </c>
      <c r="C101" s="45" t="str">
        <f>Tabla2[[#This Row],[(id_solicitud-tipo_documento)]]&amp;B101</f>
        <v>73Proposicion1</v>
      </c>
      <c r="D101" s="45">
        <v>100</v>
      </c>
      <c r="E101" s="45">
        <v>73</v>
      </c>
      <c r="F101" s="45" t="s">
        <v>46</v>
      </c>
      <c r="G101" s="45" t="s">
        <v>40</v>
      </c>
      <c r="H101" s="50" t="s">
        <v>562</v>
      </c>
      <c r="I101" s="51">
        <v>107</v>
      </c>
      <c r="J101" s="80"/>
      <c r="K1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107 DGC_FETCovid19</v>
      </c>
      <c r="L101" s="48">
        <v>44606</v>
      </c>
      <c r="M101" s="48">
        <v>44692</v>
      </c>
      <c r="N101" s="49" t="s">
        <v>127</v>
      </c>
      <c r="O101" s="45"/>
      <c r="P101" s="80" t="s">
        <v>500</v>
      </c>
      <c r="Q101" s="24"/>
      <c r="R101" s="23" t="s">
        <v>12</v>
      </c>
      <c r="S101" s="114"/>
      <c r="T101" s="45"/>
      <c r="U101" s="48"/>
      <c r="V101" s="48"/>
      <c r="W101" s="27"/>
    </row>
    <row r="102" spans="1:23" ht="60" hidden="1" customHeight="1" x14ac:dyDescent="0.25">
      <c r="A102" s="45" t="str">
        <f>CONCATENATE(Tabla2[[#This Row],[id_solicitud]],Tabla2[[#This Row],[tipo]])</f>
        <v>97Proposicion</v>
      </c>
      <c r="B102" s="45">
        <f>COUNTIF($A$2:A102,A102)</f>
        <v>1</v>
      </c>
      <c r="C102" s="45" t="str">
        <f>Tabla2[[#This Row],[(id_solicitud-tipo_documento)]]&amp;B102</f>
        <v>97Proposicion1</v>
      </c>
      <c r="D102" s="45">
        <v>101</v>
      </c>
      <c r="E102" s="45">
        <v>97</v>
      </c>
      <c r="F102" s="45" t="s">
        <v>46</v>
      </c>
      <c r="G102" s="45" t="s">
        <v>60</v>
      </c>
      <c r="H102" s="50" t="s">
        <v>8</v>
      </c>
      <c r="I102" s="51">
        <v>107</v>
      </c>
      <c r="J102" s="80"/>
      <c r="K1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107 DA</v>
      </c>
      <c r="L102" s="48">
        <v>44622</v>
      </c>
      <c r="M102" s="48">
        <v>44693</v>
      </c>
      <c r="N102" s="49" t="s">
        <v>1012</v>
      </c>
      <c r="O102" s="45">
        <v>5</v>
      </c>
      <c r="P102" s="80" t="s">
        <v>494</v>
      </c>
      <c r="Q102" s="24"/>
      <c r="R102" s="24" t="s">
        <v>24</v>
      </c>
      <c r="S102" s="114"/>
      <c r="T102" s="45"/>
      <c r="U102" s="48"/>
      <c r="V102" s="48"/>
      <c r="W102" s="27"/>
    </row>
    <row r="103" spans="1:23" ht="60" hidden="1" customHeight="1" x14ac:dyDescent="0.25">
      <c r="A103" s="45" t="str">
        <f>CONCATENATE(Tabla2[[#This Row],[id_solicitud]],Tabla2[[#This Row],[tipo]])</f>
        <v>78Proposicion</v>
      </c>
      <c r="B103" s="45">
        <f>COUNTIF($A$2:A103,A103)</f>
        <v>1</v>
      </c>
      <c r="C103" s="45" t="str">
        <f>Tabla2[[#This Row],[(id_solicitud-tipo_documento)]]&amp;B103</f>
        <v>78Proposicion1</v>
      </c>
      <c r="D103" s="45">
        <v>102</v>
      </c>
      <c r="E103" s="45">
        <v>78</v>
      </c>
      <c r="F103" s="45" t="s">
        <v>46</v>
      </c>
      <c r="G103" s="45" t="s">
        <v>60</v>
      </c>
      <c r="H103" s="50" t="s">
        <v>559</v>
      </c>
      <c r="I103" s="51">
        <v>108</v>
      </c>
      <c r="J103" s="80"/>
      <c r="K1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108 APR_FETCovid19</v>
      </c>
      <c r="L103" s="48">
        <v>44623</v>
      </c>
      <c r="M103" s="48">
        <v>44697</v>
      </c>
      <c r="N103" s="49" t="s">
        <v>130</v>
      </c>
      <c r="O103" s="45">
        <v>58</v>
      </c>
      <c r="P103" s="80" t="s">
        <v>494</v>
      </c>
      <c r="Q103" s="24"/>
      <c r="R103" s="24" t="s">
        <v>24</v>
      </c>
      <c r="S103" s="114"/>
      <c r="T103" s="45"/>
      <c r="U103" s="48"/>
      <c r="V103" s="48"/>
      <c r="W103" s="27"/>
    </row>
    <row r="104" spans="1:23" ht="60" hidden="1" customHeight="1" x14ac:dyDescent="0.25">
      <c r="A104" s="45" t="str">
        <f>CONCATENATE(Tabla2[[#This Row],[id_solicitud]],Tabla2[[#This Row],[tipo]])</f>
        <v>92Proposicion</v>
      </c>
      <c r="B104" s="45">
        <f>COUNTIF($A$2:A104,A104)</f>
        <v>1</v>
      </c>
      <c r="C104" s="45" t="str">
        <f>Tabla2[[#This Row],[(id_solicitud-tipo_documento)]]&amp;B104</f>
        <v>92Proposicion1</v>
      </c>
      <c r="D104" s="45">
        <v>103</v>
      </c>
      <c r="E104" s="45">
        <v>92</v>
      </c>
      <c r="F104" s="45" t="s">
        <v>46</v>
      </c>
      <c r="G104" s="45" t="s">
        <v>40</v>
      </c>
      <c r="H104" s="50" t="s">
        <v>28</v>
      </c>
      <c r="I104" s="51">
        <v>109</v>
      </c>
      <c r="J104" s="80"/>
      <c r="K1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109 FISC</v>
      </c>
      <c r="L104" s="48">
        <v>44623</v>
      </c>
      <c r="M104" s="48">
        <v>44697</v>
      </c>
      <c r="N104" s="49" t="s">
        <v>637</v>
      </c>
      <c r="O104" s="45"/>
      <c r="P104" s="80" t="s">
        <v>498</v>
      </c>
      <c r="Q104" s="24"/>
      <c r="R104" s="24" t="s">
        <v>24</v>
      </c>
      <c r="S104" s="114"/>
      <c r="T104" s="45"/>
      <c r="U104" s="48"/>
      <c r="V104" s="48"/>
      <c r="W104" s="27"/>
    </row>
    <row r="105" spans="1:23" ht="60" hidden="1" customHeight="1" x14ac:dyDescent="0.25">
      <c r="A105" s="45" t="str">
        <f>CONCATENATE(Tabla2[[#This Row],[id_solicitud]],Tabla2[[#This Row],[tipo]])</f>
        <v>99Proposicion</v>
      </c>
      <c r="B105" s="45">
        <f>COUNTIF($A$2:A105,A105)</f>
        <v>1</v>
      </c>
      <c r="C105" s="45" t="str">
        <f>Tabla2[[#This Row],[(id_solicitud-tipo_documento)]]&amp;B105</f>
        <v>99Proposicion1</v>
      </c>
      <c r="D105" s="45">
        <v>104</v>
      </c>
      <c r="E105" s="45">
        <v>99</v>
      </c>
      <c r="F105" s="45" t="s">
        <v>46</v>
      </c>
      <c r="G105" s="45" t="s">
        <v>1258</v>
      </c>
      <c r="H105" s="50" t="s">
        <v>22</v>
      </c>
      <c r="I105" s="51">
        <v>110</v>
      </c>
      <c r="J105" s="80"/>
      <c r="K1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110 DOP</v>
      </c>
      <c r="L105" s="48">
        <v>44627</v>
      </c>
      <c r="M105" s="48">
        <v>44699</v>
      </c>
      <c r="N105" s="49" t="s">
        <v>638</v>
      </c>
      <c r="O105" s="45">
        <v>1</v>
      </c>
      <c r="P105" s="80" t="s">
        <v>494</v>
      </c>
      <c r="Q105" s="24"/>
      <c r="R105" s="24" t="s">
        <v>24</v>
      </c>
      <c r="S105" s="114"/>
      <c r="T105" s="45"/>
      <c r="U105" s="48"/>
      <c r="V105" s="48"/>
      <c r="W105" s="27"/>
    </row>
    <row r="106" spans="1:23" ht="60" hidden="1" customHeight="1" x14ac:dyDescent="0.25">
      <c r="A106" s="45" t="str">
        <f>CONCATENATE(Tabla2[[#This Row],[id_solicitud]],Tabla2[[#This Row],[tipo]])</f>
        <v>36Decreto</v>
      </c>
      <c r="B106" s="45">
        <f>COUNTIF($A$2:A106,A106)</f>
        <v>1</v>
      </c>
      <c r="C106" s="45" t="str">
        <f>Tabla2[[#This Row],[(id_solicitud-tipo_documento)]]&amp;B106</f>
        <v>36Decreto1</v>
      </c>
      <c r="D106" s="45">
        <v>105</v>
      </c>
      <c r="E106" s="45">
        <v>36</v>
      </c>
      <c r="F106" s="45" t="s">
        <v>47</v>
      </c>
      <c r="G106" s="45" t="s">
        <v>43</v>
      </c>
      <c r="H106" s="50" t="s">
        <v>20</v>
      </c>
      <c r="I106" s="51">
        <v>111</v>
      </c>
      <c r="J106" s="80"/>
      <c r="K1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111 DOH</v>
      </c>
      <c r="L106" s="48">
        <v>44587</v>
      </c>
      <c r="M106" s="48">
        <v>44587</v>
      </c>
      <c r="N106" s="49" t="s">
        <v>775</v>
      </c>
      <c r="O106" s="45"/>
      <c r="P106" s="80"/>
      <c r="Q106" s="48"/>
      <c r="R106" s="45"/>
      <c r="S106" s="115">
        <v>4</v>
      </c>
      <c r="T106" s="20">
        <v>44568</v>
      </c>
      <c r="U106" s="53">
        <v>44606</v>
      </c>
      <c r="V106" s="53">
        <v>44606</v>
      </c>
      <c r="W106" s="27"/>
    </row>
    <row r="107" spans="1:23" ht="60" hidden="1" customHeight="1" x14ac:dyDescent="0.25">
      <c r="A107" s="45" t="str">
        <f>CONCATENATE(Tabla2[[#This Row],[id_solicitud]],Tabla2[[#This Row],[tipo]])</f>
        <v>89Proposicion</v>
      </c>
      <c r="B107" s="45">
        <f>COUNTIF($A$2:A107,A107)</f>
        <v>1</v>
      </c>
      <c r="C107" s="45" t="str">
        <f>Tabla2[[#This Row],[(id_solicitud-tipo_documento)]]&amp;B107</f>
        <v>89Proposicion1</v>
      </c>
      <c r="D107" s="45">
        <v>106</v>
      </c>
      <c r="E107" s="45">
        <v>89</v>
      </c>
      <c r="F107" s="45" t="s">
        <v>46</v>
      </c>
      <c r="G107" s="45" t="s">
        <v>40</v>
      </c>
      <c r="H107" s="50" t="s">
        <v>26</v>
      </c>
      <c r="I107" s="51">
        <v>111</v>
      </c>
      <c r="J107" s="80"/>
      <c r="K1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111 DV</v>
      </c>
      <c r="L107" s="48">
        <v>44627</v>
      </c>
      <c r="M107" s="48">
        <v>44699</v>
      </c>
      <c r="N107" s="49" t="s">
        <v>635</v>
      </c>
      <c r="O107" s="45"/>
      <c r="P107" s="80" t="s">
        <v>501</v>
      </c>
      <c r="Q107" s="24"/>
      <c r="R107" s="24" t="s">
        <v>24</v>
      </c>
      <c r="S107" s="114"/>
      <c r="T107" s="45"/>
      <c r="U107" s="48"/>
      <c r="V107" s="48"/>
      <c r="W107" s="27"/>
    </row>
    <row r="108" spans="1:23" ht="60" hidden="1" customHeight="1" x14ac:dyDescent="0.25">
      <c r="A108" s="45" t="str">
        <f>CONCATENATE(Tabla2[[#This Row],[id_solicitud]],Tabla2[[#This Row],[tipo]])</f>
        <v>17Decreto</v>
      </c>
      <c r="B108" s="45">
        <f>COUNTIF($A$2:A108,A108)</f>
        <v>1</v>
      </c>
      <c r="C108" s="45" t="str">
        <f>Tabla2[[#This Row],[(id_solicitud-tipo_documento)]]&amp;B108</f>
        <v>17Decreto1</v>
      </c>
      <c r="D108" s="45">
        <v>107</v>
      </c>
      <c r="E108" s="45">
        <v>17</v>
      </c>
      <c r="F108" s="45" t="s">
        <v>47</v>
      </c>
      <c r="G108" s="45" t="s">
        <v>43</v>
      </c>
      <c r="H108" s="50" t="s">
        <v>565</v>
      </c>
      <c r="I108" s="51">
        <v>113</v>
      </c>
      <c r="J108" s="80"/>
      <c r="K1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113 DGA_FETCovid19</v>
      </c>
      <c r="L108" s="48">
        <v>44587</v>
      </c>
      <c r="M108" s="48">
        <v>44692</v>
      </c>
      <c r="N108" s="49" t="s">
        <v>763</v>
      </c>
      <c r="O108" s="45"/>
      <c r="P108" s="80"/>
      <c r="Q108" s="48"/>
      <c r="R108" s="45"/>
      <c r="S108" s="115">
        <v>1044</v>
      </c>
      <c r="T108" s="20">
        <v>44567</v>
      </c>
      <c r="U108" s="20">
        <v>44596</v>
      </c>
      <c r="V108" s="20">
        <v>44596</v>
      </c>
      <c r="W108" s="27"/>
    </row>
    <row r="109" spans="1:23" ht="60" hidden="1" customHeight="1" x14ac:dyDescent="0.25">
      <c r="A109" s="45" t="str">
        <f>CONCATENATE(Tabla2[[#This Row],[id_solicitud]],Tabla2[[#This Row],[tipo]])</f>
        <v>100Proposicion</v>
      </c>
      <c r="B109" s="45">
        <f>COUNTIF($A$2:A109,A109)</f>
        <v>1</v>
      </c>
      <c r="C109" s="45" t="str">
        <f>Tabla2[[#This Row],[(id_solicitud-tipo_documento)]]&amp;B109</f>
        <v>100Proposicion1</v>
      </c>
      <c r="D109" s="45">
        <v>108</v>
      </c>
      <c r="E109" s="45">
        <v>100</v>
      </c>
      <c r="F109" s="45" t="s">
        <v>46</v>
      </c>
      <c r="G109" s="45" t="s">
        <v>60</v>
      </c>
      <c r="H109" s="50" t="s">
        <v>541</v>
      </c>
      <c r="I109" s="51">
        <v>113</v>
      </c>
      <c r="J109" s="80"/>
      <c r="K1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113 DOP_FETCovid19</v>
      </c>
      <c r="L109" s="48">
        <v>44630</v>
      </c>
      <c r="M109" s="48">
        <v>44699</v>
      </c>
      <c r="N109" s="49" t="s">
        <v>639</v>
      </c>
      <c r="O109" s="45">
        <v>5</v>
      </c>
      <c r="P109" s="80" t="s">
        <v>494</v>
      </c>
      <c r="Q109" s="24"/>
      <c r="R109" s="24" t="s">
        <v>24</v>
      </c>
      <c r="S109" s="114"/>
      <c r="T109" s="45"/>
      <c r="U109" s="48"/>
      <c r="V109" s="48"/>
      <c r="W109" s="27"/>
    </row>
    <row r="110" spans="1:23" ht="60" hidden="1" customHeight="1" x14ac:dyDescent="0.25">
      <c r="A110" s="45" t="str">
        <f>CONCATENATE(Tabla2[[#This Row],[id_solicitud]],Tabla2[[#This Row],[tipo]])</f>
        <v>39Decreto</v>
      </c>
      <c r="B110" s="45">
        <f>COUNTIF($A$2:A110,A110)</f>
        <v>1</v>
      </c>
      <c r="C110" s="45" t="str">
        <f>Tabla2[[#This Row],[(id_solicitud-tipo_documento)]]&amp;B110</f>
        <v>39Decreto1</v>
      </c>
      <c r="D110" s="45">
        <v>109</v>
      </c>
      <c r="E110" s="45">
        <v>39</v>
      </c>
      <c r="F110" s="45" t="s">
        <v>47</v>
      </c>
      <c r="G110" s="45" t="s">
        <v>43</v>
      </c>
      <c r="H110" s="50" t="s">
        <v>33</v>
      </c>
      <c r="I110" s="51">
        <v>114</v>
      </c>
      <c r="J110" s="80"/>
      <c r="K1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114 SISS</v>
      </c>
      <c r="L110" s="48">
        <v>44587</v>
      </c>
      <c r="M110" s="48">
        <v>44699</v>
      </c>
      <c r="N110" s="49" t="s">
        <v>621</v>
      </c>
      <c r="O110" s="45"/>
      <c r="P110" s="80"/>
      <c r="Q110" s="48"/>
      <c r="R110" s="45"/>
      <c r="S110" s="115">
        <v>16</v>
      </c>
      <c r="T110" s="20">
        <v>44567</v>
      </c>
      <c r="U110" s="53">
        <v>44606</v>
      </c>
      <c r="V110" s="53">
        <v>44606</v>
      </c>
      <c r="W110" s="27"/>
    </row>
    <row r="111" spans="1:23" ht="60" hidden="1" customHeight="1" x14ac:dyDescent="0.25">
      <c r="A111" s="45" t="str">
        <f>CONCATENATE(Tabla2[[#This Row],[id_solicitud]],Tabla2[[#This Row],[tipo]])</f>
        <v>107Proposicion</v>
      </c>
      <c r="B111" s="45">
        <f>COUNTIF($A$2:A111,A111)</f>
        <v>1</v>
      </c>
      <c r="C111" s="45" t="str">
        <f>Tabla2[[#This Row],[(id_solicitud-tipo_documento)]]&amp;B111</f>
        <v>107Proposicion1</v>
      </c>
      <c r="D111" s="45">
        <v>110</v>
      </c>
      <c r="E111" s="45">
        <v>107</v>
      </c>
      <c r="F111" s="45" t="s">
        <v>46</v>
      </c>
      <c r="G111" s="45" t="s">
        <v>63</v>
      </c>
      <c r="H111" s="50" t="s">
        <v>579</v>
      </c>
      <c r="I111" s="51">
        <v>114</v>
      </c>
      <c r="J111" s="80"/>
      <c r="K1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114 DV-DP</v>
      </c>
      <c r="L111" s="48">
        <v>44630</v>
      </c>
      <c r="M111" s="48">
        <v>44699</v>
      </c>
      <c r="N111" s="49" t="s">
        <v>156</v>
      </c>
      <c r="O111" s="45">
        <v>1</v>
      </c>
      <c r="P111" s="80" t="s">
        <v>494</v>
      </c>
      <c r="Q111" s="24"/>
      <c r="R111" s="24" t="s">
        <v>24</v>
      </c>
      <c r="S111" s="114"/>
      <c r="T111" s="45"/>
      <c r="U111" s="48"/>
      <c r="V111" s="48"/>
      <c r="W111" s="27"/>
    </row>
    <row r="112" spans="1:23" ht="60" hidden="1" customHeight="1" x14ac:dyDescent="0.25">
      <c r="A112" s="45" t="str">
        <f>CONCATENATE(Tabla2[[#This Row],[id_solicitud]],Tabla2[[#This Row],[tipo]])</f>
        <v>141Oficio_Solicitud</v>
      </c>
      <c r="B112" s="45">
        <f>COUNTIF($A$2:A112,A112)</f>
        <v>1</v>
      </c>
      <c r="C112" s="45" t="str">
        <f>Tabla2[[#This Row],[(id_solicitud-tipo_documento)]]&amp;B112</f>
        <v>141Oficio_Solicitud1</v>
      </c>
      <c r="D112" s="45">
        <v>111</v>
      </c>
      <c r="E112" s="45">
        <v>141</v>
      </c>
      <c r="F112" s="45" t="s">
        <v>53</v>
      </c>
      <c r="G112" s="45" t="s">
        <v>44</v>
      </c>
      <c r="H112" s="50" t="s">
        <v>35</v>
      </c>
      <c r="I112" s="51">
        <v>114</v>
      </c>
      <c r="J112" s="80"/>
      <c r="K1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114 SOP</v>
      </c>
      <c r="L112" s="48">
        <v>44645</v>
      </c>
      <c r="M112" s="48">
        <v>44699</v>
      </c>
      <c r="N112" s="49" t="s">
        <v>186</v>
      </c>
      <c r="O112" s="45"/>
      <c r="P112" s="80" t="s">
        <v>498</v>
      </c>
      <c r="Q112" s="48"/>
      <c r="R112" s="45"/>
      <c r="S112" s="114"/>
      <c r="T112" s="52"/>
      <c r="U112" s="48"/>
      <c r="V112" s="48"/>
      <c r="W112" s="27"/>
    </row>
    <row r="113" spans="1:23" ht="60" hidden="1" customHeight="1" x14ac:dyDescent="0.25">
      <c r="A113" s="45" t="str">
        <f>CONCATENATE(Tabla2[[#This Row],[id_solicitud]],Tabla2[[#This Row],[tipo]])</f>
        <v>98Proposicion</v>
      </c>
      <c r="B113" s="45">
        <f>COUNTIF($A$2:A113,A113)</f>
        <v>1</v>
      </c>
      <c r="C113" s="45" t="str">
        <f>Tabla2[[#This Row],[(id_solicitud-tipo_documento)]]&amp;B113</f>
        <v>98Proposicion1</v>
      </c>
      <c r="D113" s="45">
        <v>112</v>
      </c>
      <c r="E113" s="45">
        <v>98</v>
      </c>
      <c r="F113" s="45" t="s">
        <v>46</v>
      </c>
      <c r="G113" s="45" t="s">
        <v>60</v>
      </c>
      <c r="H113" s="50" t="s">
        <v>532</v>
      </c>
      <c r="I113" s="51">
        <v>115</v>
      </c>
      <c r="J113" s="80"/>
      <c r="K1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115 DA_FETCovid19</v>
      </c>
      <c r="L113" s="48">
        <v>44630</v>
      </c>
      <c r="M113" s="48">
        <v>44704</v>
      </c>
      <c r="N113" s="49" t="s">
        <v>148</v>
      </c>
      <c r="O113" s="45">
        <v>1</v>
      </c>
      <c r="P113" s="80" t="s">
        <v>494</v>
      </c>
      <c r="Q113" s="24"/>
      <c r="R113" s="24" t="s">
        <v>24</v>
      </c>
      <c r="S113" s="114"/>
      <c r="T113" s="45"/>
      <c r="U113" s="48"/>
      <c r="V113" s="48"/>
      <c r="W113" s="27"/>
    </row>
    <row r="114" spans="1:23" ht="60" hidden="1" customHeight="1" x14ac:dyDescent="0.25">
      <c r="A114" s="45" t="str">
        <f>CONCATENATE(Tabla2[[#This Row],[id_solicitud]],Tabla2[[#This Row],[tipo]])</f>
        <v>21Decreto</v>
      </c>
      <c r="B114" s="45">
        <f>COUNTIF($A$2:A114,A114)</f>
        <v>1</v>
      </c>
      <c r="C114" s="45" t="str">
        <f>Tabla2[[#This Row],[(id_solicitud-tipo_documento)]]&amp;B114</f>
        <v>21Decreto1</v>
      </c>
      <c r="D114" s="45">
        <v>113</v>
      </c>
      <c r="E114" s="45">
        <v>21</v>
      </c>
      <c r="F114" s="45" t="s">
        <v>47</v>
      </c>
      <c r="G114" s="45" t="s">
        <v>57</v>
      </c>
      <c r="H114" s="50" t="s">
        <v>16</v>
      </c>
      <c r="I114" s="51">
        <v>116</v>
      </c>
      <c r="J114" s="80"/>
      <c r="K1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116 DGC</v>
      </c>
      <c r="L114" s="48">
        <v>44587</v>
      </c>
      <c r="M114" s="48">
        <v>44699</v>
      </c>
      <c r="N114" s="49" t="s">
        <v>767</v>
      </c>
      <c r="O114" s="45"/>
      <c r="P114" s="80"/>
      <c r="Q114" s="48"/>
      <c r="R114" s="45"/>
      <c r="S114" s="115">
        <v>14</v>
      </c>
      <c r="T114" s="20">
        <v>44567</v>
      </c>
      <c r="U114" s="53">
        <v>44606</v>
      </c>
      <c r="V114" s="53">
        <v>44606</v>
      </c>
      <c r="W114" s="27"/>
    </row>
    <row r="115" spans="1:23" ht="60" hidden="1" customHeight="1" x14ac:dyDescent="0.25">
      <c r="A115" s="45" t="str">
        <f>CONCATENATE(Tabla2[[#This Row],[id_solicitud]],Tabla2[[#This Row],[tipo]])</f>
        <v>25Decreto</v>
      </c>
      <c r="B115" s="45">
        <f>COUNTIF($A$2:A115,A115)</f>
        <v>1</v>
      </c>
      <c r="C115" s="45" t="str">
        <f>Tabla2[[#This Row],[(id_solicitud-tipo_documento)]]&amp;B115</f>
        <v>25Decreto1</v>
      </c>
      <c r="D115" s="45">
        <v>114</v>
      </c>
      <c r="E115" s="45">
        <v>25</v>
      </c>
      <c r="F115" s="45" t="s">
        <v>47</v>
      </c>
      <c r="G115" s="45" t="s">
        <v>43</v>
      </c>
      <c r="H115" s="50" t="s">
        <v>22</v>
      </c>
      <c r="I115" s="51">
        <v>118</v>
      </c>
      <c r="J115" s="80"/>
      <c r="K1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118 DOP</v>
      </c>
      <c r="L115" s="48">
        <v>44587</v>
      </c>
      <c r="M115" s="48">
        <v>44699</v>
      </c>
      <c r="N115" s="49" t="s">
        <v>769</v>
      </c>
      <c r="O115" s="45"/>
      <c r="P115" s="80"/>
      <c r="Q115" s="48"/>
      <c r="R115" s="45"/>
      <c r="S115" s="115">
        <v>1026</v>
      </c>
      <c r="T115" s="20">
        <v>44578</v>
      </c>
      <c r="U115" s="20">
        <v>44603</v>
      </c>
      <c r="V115" s="20">
        <v>44603</v>
      </c>
      <c r="W115" s="27"/>
    </row>
    <row r="116" spans="1:23" ht="60" hidden="1" customHeight="1" x14ac:dyDescent="0.25">
      <c r="A116" s="45" t="str">
        <f>CONCATENATE(Tabla2[[#This Row],[id_solicitud]],Tabla2[[#This Row],[tipo]])</f>
        <v>27Decreto</v>
      </c>
      <c r="B116" s="45">
        <f>COUNTIF($A$2:A116,A116)</f>
        <v>1</v>
      </c>
      <c r="C116" s="45" t="str">
        <f>Tabla2[[#This Row],[(id_solicitud-tipo_documento)]]&amp;B116</f>
        <v>27Decreto1</v>
      </c>
      <c r="D116" s="45">
        <v>115</v>
      </c>
      <c r="E116" s="45">
        <v>27</v>
      </c>
      <c r="F116" s="45" t="s">
        <v>47</v>
      </c>
      <c r="G116" s="45" t="s">
        <v>43</v>
      </c>
      <c r="H116" s="50" t="s">
        <v>6</v>
      </c>
      <c r="I116" s="51">
        <v>119</v>
      </c>
      <c r="J116" s="80"/>
      <c r="K1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119 APR</v>
      </c>
      <c r="L116" s="48">
        <v>44587</v>
      </c>
      <c r="M116" s="48">
        <v>44706</v>
      </c>
      <c r="N116" s="49" t="s">
        <v>771</v>
      </c>
      <c r="O116" s="45"/>
      <c r="P116" s="80"/>
      <c r="Q116" s="48"/>
      <c r="R116" s="45"/>
      <c r="S116" s="115">
        <v>18</v>
      </c>
      <c r="T116" s="20">
        <v>44578</v>
      </c>
      <c r="U116" s="20">
        <v>44629</v>
      </c>
      <c r="V116" s="20">
        <v>44629</v>
      </c>
      <c r="W116" s="27"/>
    </row>
    <row r="117" spans="1:23" ht="60" hidden="1" customHeight="1" x14ac:dyDescent="0.25">
      <c r="A117" s="45" t="str">
        <f>CONCATENATE(Tabla2[[#This Row],[id_solicitud]],Tabla2[[#This Row],[tipo]])</f>
        <v>23Decreto</v>
      </c>
      <c r="B117" s="45">
        <f>COUNTIF($A$2:A117,A117)</f>
        <v>1</v>
      </c>
      <c r="C117" s="45" t="str">
        <f>Tabla2[[#This Row],[(id_solicitud-tipo_documento)]]&amp;B117</f>
        <v>23Decreto1</v>
      </c>
      <c r="D117" s="45">
        <v>116</v>
      </c>
      <c r="E117" s="45">
        <v>23</v>
      </c>
      <c r="F117" s="45" t="s">
        <v>47</v>
      </c>
      <c r="G117" s="45" t="s">
        <v>57</v>
      </c>
      <c r="H117" s="50" t="s">
        <v>16</v>
      </c>
      <c r="I117" s="51">
        <v>120</v>
      </c>
      <c r="J117" s="80"/>
      <c r="K1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120 DGC</v>
      </c>
      <c r="L117" s="48">
        <v>44587</v>
      </c>
      <c r="M117" s="48">
        <v>44706</v>
      </c>
      <c r="N117" s="49" t="s">
        <v>768</v>
      </c>
      <c r="O117" s="45"/>
      <c r="P117" s="80"/>
      <c r="Q117" s="48"/>
      <c r="R117" s="45"/>
      <c r="S117" s="115">
        <v>12</v>
      </c>
      <c r="T117" s="20">
        <v>44567</v>
      </c>
      <c r="U117" s="53">
        <v>44606</v>
      </c>
      <c r="V117" s="53">
        <v>44606</v>
      </c>
      <c r="W117" s="27"/>
    </row>
    <row r="118" spans="1:23" ht="60" hidden="1" customHeight="1" x14ac:dyDescent="0.25">
      <c r="A118" s="45" t="str">
        <f>CONCATENATE(Tabla2[[#This Row],[id_solicitud]],Tabla2[[#This Row],[tipo]])</f>
        <v>90Oficio_Solicitud</v>
      </c>
      <c r="B118" s="45">
        <f>COUNTIF($A$2:A118,A118)</f>
        <v>1</v>
      </c>
      <c r="C118" s="45" t="str">
        <f>Tabla2[[#This Row],[(id_solicitud-tipo_documento)]]&amp;B118</f>
        <v>90Oficio_Solicitud1</v>
      </c>
      <c r="D118" s="45">
        <v>117</v>
      </c>
      <c r="E118" s="45">
        <v>90</v>
      </c>
      <c r="F118" s="45" t="s">
        <v>53</v>
      </c>
      <c r="G118" s="45" t="s">
        <v>40</v>
      </c>
      <c r="H118" s="50" t="s">
        <v>12</v>
      </c>
      <c r="I118" s="51">
        <v>120</v>
      </c>
      <c r="J118" s="80"/>
      <c r="K1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120 DCyF</v>
      </c>
      <c r="L118" s="48">
        <v>44615</v>
      </c>
      <c r="M118" s="48">
        <v>44706</v>
      </c>
      <c r="N118" s="49" t="s">
        <v>141</v>
      </c>
      <c r="O118" s="45"/>
      <c r="P118" s="80" t="s">
        <v>498</v>
      </c>
      <c r="Q118" s="48">
        <v>44615</v>
      </c>
      <c r="R118" s="45"/>
      <c r="S118" s="114"/>
      <c r="T118" s="52"/>
      <c r="U118" s="48"/>
      <c r="V118" s="48"/>
      <c r="W118" s="27"/>
    </row>
    <row r="119" spans="1:23" ht="60" hidden="1" customHeight="1" x14ac:dyDescent="0.25">
      <c r="A119" s="45" t="str">
        <f>CONCATENATE(Tabla2[[#This Row],[id_solicitud]],Tabla2[[#This Row],[tipo]])</f>
        <v>24Decreto</v>
      </c>
      <c r="B119" s="45">
        <f>COUNTIF($A$2:A119,A119)</f>
        <v>1</v>
      </c>
      <c r="C119" s="45" t="str">
        <f>Tabla2[[#This Row],[(id_solicitud-tipo_documento)]]&amp;B119</f>
        <v>24Decreto1</v>
      </c>
      <c r="D119" s="45">
        <v>118</v>
      </c>
      <c r="E119" s="45">
        <v>24</v>
      </c>
      <c r="F119" s="45" t="s">
        <v>47</v>
      </c>
      <c r="G119" s="45" t="s">
        <v>43</v>
      </c>
      <c r="H119" s="50" t="s">
        <v>544</v>
      </c>
      <c r="I119" s="51">
        <v>121</v>
      </c>
      <c r="J119" s="80"/>
      <c r="K1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121 DAP_FETCovid19</v>
      </c>
      <c r="L119" s="48">
        <v>44587</v>
      </c>
      <c r="M119" s="48">
        <v>44706</v>
      </c>
      <c r="N119" s="49" t="s">
        <v>92</v>
      </c>
      <c r="O119" s="45"/>
      <c r="P119" s="80"/>
      <c r="Q119" s="48"/>
      <c r="R119" s="45"/>
      <c r="S119" s="115">
        <v>1028</v>
      </c>
      <c r="T119" s="20">
        <v>44567</v>
      </c>
      <c r="U119" s="20">
        <v>44596</v>
      </c>
      <c r="V119" s="20">
        <v>44596</v>
      </c>
      <c r="W119" s="27"/>
    </row>
    <row r="120" spans="1:23" ht="60" hidden="1" customHeight="1" x14ac:dyDescent="0.25">
      <c r="A120" s="45" t="str">
        <f>CONCATENATE(Tabla2[[#This Row],[id_solicitud]],Tabla2[[#This Row],[tipo]])</f>
        <v>104Oficio_Solicitud</v>
      </c>
      <c r="B120" s="45">
        <f>COUNTIF($A$2:A120,A120)</f>
        <v>1</v>
      </c>
      <c r="C120" s="45" t="str">
        <f>Tabla2[[#This Row],[(id_solicitud-tipo_documento)]]&amp;B120</f>
        <v>104Oficio_Solicitud1</v>
      </c>
      <c r="D120" s="45">
        <v>119</v>
      </c>
      <c r="E120" s="45">
        <v>104</v>
      </c>
      <c r="F120" s="45" t="s">
        <v>53</v>
      </c>
      <c r="G120" s="45" t="s">
        <v>1258</v>
      </c>
      <c r="H120" s="50" t="s">
        <v>544</v>
      </c>
      <c r="I120" s="51">
        <v>121</v>
      </c>
      <c r="J120" s="80"/>
      <c r="K1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121 DAP_FETCovid19</v>
      </c>
      <c r="L120" s="48">
        <v>44624</v>
      </c>
      <c r="M120" s="48">
        <v>44712</v>
      </c>
      <c r="N120" s="49" t="s">
        <v>153</v>
      </c>
      <c r="O120" s="45">
        <v>1</v>
      </c>
      <c r="P120" s="80" t="s">
        <v>494</v>
      </c>
      <c r="Q120" s="48"/>
      <c r="R120" s="45"/>
      <c r="S120" s="114"/>
      <c r="T120" s="52"/>
      <c r="U120" s="48"/>
      <c r="V120" s="48"/>
      <c r="W120" s="27"/>
    </row>
    <row r="121" spans="1:23" ht="60" hidden="1" customHeight="1" x14ac:dyDescent="0.25">
      <c r="A121" s="45" t="str">
        <f>CONCATENATE(Tabla2[[#This Row],[id_solicitud]],Tabla2[[#This Row],[tipo]])</f>
        <v>29Decreto</v>
      </c>
      <c r="B121" s="45">
        <f>COUNTIF($A$2:A121,A121)</f>
        <v>1</v>
      </c>
      <c r="C121" s="45" t="str">
        <f>Tabla2[[#This Row],[(id_solicitud-tipo_documento)]]&amp;B121</f>
        <v>29Decreto1</v>
      </c>
      <c r="D121" s="45">
        <v>120</v>
      </c>
      <c r="E121" s="45">
        <v>29</v>
      </c>
      <c r="F121" s="45" t="s">
        <v>47</v>
      </c>
      <c r="G121" s="45" t="s">
        <v>43</v>
      </c>
      <c r="H121" s="50" t="s">
        <v>26</v>
      </c>
      <c r="I121" s="51">
        <v>124</v>
      </c>
      <c r="J121" s="80"/>
      <c r="K1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124 DV</v>
      </c>
      <c r="L121" s="48">
        <v>44587</v>
      </c>
      <c r="M121" s="48">
        <v>44706</v>
      </c>
      <c r="N121" s="49" t="s">
        <v>772</v>
      </c>
      <c r="O121" s="45"/>
      <c r="P121" s="80"/>
      <c r="Q121" s="48"/>
      <c r="R121" s="45"/>
      <c r="S121" s="115">
        <v>8</v>
      </c>
      <c r="T121" s="20">
        <v>44579</v>
      </c>
      <c r="U121" s="53">
        <v>44607</v>
      </c>
      <c r="V121" s="53">
        <v>44607</v>
      </c>
      <c r="W121" s="27"/>
    </row>
    <row r="122" spans="1:23" ht="60" hidden="1" customHeight="1" x14ac:dyDescent="0.25">
      <c r="A122" s="45" t="str">
        <f>CONCATENATE(Tabla2[[#This Row],[id_solicitud]],Tabla2[[#This Row],[tipo]])</f>
        <v>104Proposicion</v>
      </c>
      <c r="B122" s="45">
        <f>COUNTIF($A$2:A122,A122)</f>
        <v>1</v>
      </c>
      <c r="C122" s="45" t="str">
        <f>Tabla2[[#This Row],[(id_solicitud-tipo_documento)]]&amp;B122</f>
        <v>104Proposicion1</v>
      </c>
      <c r="D122" s="45">
        <v>121</v>
      </c>
      <c r="E122" s="45">
        <v>104</v>
      </c>
      <c r="F122" s="45" t="s">
        <v>46</v>
      </c>
      <c r="G122" s="45" t="s">
        <v>1258</v>
      </c>
      <c r="H122" s="50" t="s">
        <v>544</v>
      </c>
      <c r="I122" s="51">
        <v>124</v>
      </c>
      <c r="J122" s="80"/>
      <c r="K1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124 DAP_FETCovid19</v>
      </c>
      <c r="L122" s="48">
        <v>44630</v>
      </c>
      <c r="M122" s="48">
        <v>44720</v>
      </c>
      <c r="N122" s="49" t="s">
        <v>153</v>
      </c>
      <c r="O122" s="45">
        <v>1</v>
      </c>
      <c r="P122" s="80" t="s">
        <v>494</v>
      </c>
      <c r="Q122" s="24"/>
      <c r="R122" s="24" t="s">
        <v>24</v>
      </c>
      <c r="S122" s="114"/>
      <c r="T122" s="45"/>
      <c r="U122" s="48"/>
      <c r="V122" s="48"/>
      <c r="W122" s="27"/>
    </row>
    <row r="123" spans="1:23" ht="60" hidden="1" customHeight="1" x14ac:dyDescent="0.25">
      <c r="A123" s="45" t="str">
        <f>CONCATENATE(Tabla2[[#This Row],[id_solicitud]],Tabla2[[#This Row],[tipo]])</f>
        <v>105Oficio_Solicitud</v>
      </c>
      <c r="B123" s="45">
        <f>COUNTIF($A$2:A123,A123)</f>
        <v>1</v>
      </c>
      <c r="C123" s="45" t="str">
        <f>Tabla2[[#This Row],[(id_solicitud-tipo_documento)]]&amp;B123</f>
        <v>105Oficio_Solicitud1</v>
      </c>
      <c r="D123" s="45">
        <v>122</v>
      </c>
      <c r="E123" s="45">
        <v>105</v>
      </c>
      <c r="F123" s="45" t="s">
        <v>53</v>
      </c>
      <c r="G123" s="45" t="s">
        <v>60</v>
      </c>
      <c r="H123" s="50" t="s">
        <v>10</v>
      </c>
      <c r="I123" s="51">
        <v>124</v>
      </c>
      <c r="J123" s="80"/>
      <c r="K1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124 DAP</v>
      </c>
      <c r="L123" s="48">
        <v>44630</v>
      </c>
      <c r="M123" s="48">
        <v>44720</v>
      </c>
      <c r="N123" s="49" t="s">
        <v>154</v>
      </c>
      <c r="O123" s="45">
        <v>1</v>
      </c>
      <c r="P123" s="80" t="s">
        <v>501</v>
      </c>
      <c r="Q123" s="48"/>
      <c r="R123" s="45"/>
      <c r="S123" s="114"/>
      <c r="T123" s="52"/>
      <c r="U123" s="48"/>
      <c r="V123" s="48"/>
      <c r="W123" s="27"/>
    </row>
    <row r="124" spans="1:23" ht="60" hidden="1" customHeight="1" x14ac:dyDescent="0.25">
      <c r="A124" s="45" t="str">
        <f>CONCATENATE(Tabla2[[#This Row],[id_solicitud]],Tabla2[[#This Row],[tipo]])</f>
        <v>1Resolucion</v>
      </c>
      <c r="B124" s="45">
        <f>COUNTIF($A$2:A124,A124)</f>
        <v>1</v>
      </c>
      <c r="C124" s="45" t="str">
        <f>Tabla2[[#This Row],[(id_solicitud-tipo_documento)]]&amp;B124</f>
        <v>1Resolucion1</v>
      </c>
      <c r="D124" s="45">
        <v>123</v>
      </c>
      <c r="E124" s="45">
        <v>1</v>
      </c>
      <c r="F124" s="45" t="s">
        <v>48</v>
      </c>
      <c r="G124" s="45"/>
      <c r="H124" s="50" t="s">
        <v>544</v>
      </c>
      <c r="I124" s="51">
        <v>126</v>
      </c>
      <c r="J124" s="80"/>
      <c r="K1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4" s="48">
        <v>44589</v>
      </c>
      <c r="M124" s="48">
        <v>44721</v>
      </c>
      <c r="N124" s="49"/>
      <c r="O124" s="45"/>
      <c r="P124" s="80"/>
      <c r="Q124" s="48"/>
      <c r="R124" s="45"/>
      <c r="S124" s="114"/>
      <c r="T124" s="45"/>
      <c r="U124" s="48"/>
      <c r="V124" s="48"/>
      <c r="W124" s="27"/>
    </row>
    <row r="125" spans="1:23" ht="60" hidden="1" customHeight="1" x14ac:dyDescent="0.25">
      <c r="A125" s="45" t="str">
        <f>CONCATENATE(Tabla2[[#This Row],[id_solicitud]],Tabla2[[#This Row],[tipo]])</f>
        <v>54Resolucion</v>
      </c>
      <c r="B125" s="45">
        <f>COUNTIF($A$2:A125,A125)</f>
        <v>1</v>
      </c>
      <c r="C125" s="45" t="str">
        <f>Tabla2[[#This Row],[(id_solicitud-tipo_documento)]]&amp;B125</f>
        <v>54Resolucion1</v>
      </c>
      <c r="D125" s="45">
        <v>124</v>
      </c>
      <c r="E125" s="45">
        <v>54</v>
      </c>
      <c r="F125" s="45" t="s">
        <v>48</v>
      </c>
      <c r="G125" s="45"/>
      <c r="H125" s="50" t="s">
        <v>10</v>
      </c>
      <c r="I125" s="51">
        <v>126</v>
      </c>
      <c r="J125" s="80"/>
      <c r="K1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5" s="48">
        <v>44589</v>
      </c>
      <c r="M125" s="48">
        <v>44741</v>
      </c>
      <c r="N125" s="49"/>
      <c r="O125" s="45"/>
      <c r="P125" s="80"/>
      <c r="Q125" s="48"/>
      <c r="R125" s="45"/>
      <c r="S125" s="114"/>
      <c r="T125" s="45"/>
      <c r="U125" s="48"/>
      <c r="V125" s="48"/>
      <c r="W125" s="27"/>
    </row>
    <row r="126" spans="1:23" ht="60" hidden="1" customHeight="1" x14ac:dyDescent="0.25">
      <c r="A126" s="45" t="str">
        <f>CONCATENATE(Tabla2[[#This Row],[id_solicitud]],Tabla2[[#This Row],[tipo]])</f>
        <v>111Oficio_Solicitud</v>
      </c>
      <c r="B126" s="45">
        <f>COUNTIF($A$2:A126,A126)</f>
        <v>1</v>
      </c>
      <c r="C126" s="45" t="str">
        <f>Tabla2[[#This Row],[(id_solicitud-tipo_documento)]]&amp;B126</f>
        <v>111Oficio_Solicitud1</v>
      </c>
      <c r="D126" s="45">
        <v>125</v>
      </c>
      <c r="E126" s="45">
        <v>111</v>
      </c>
      <c r="F126" s="45" t="s">
        <v>53</v>
      </c>
      <c r="G126" s="45" t="s">
        <v>1258</v>
      </c>
      <c r="H126" s="50" t="s">
        <v>544</v>
      </c>
      <c r="I126" s="51">
        <v>128</v>
      </c>
      <c r="J126" s="80"/>
      <c r="K1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128 DAP_FETCovid19</v>
      </c>
      <c r="L126" s="48">
        <v>44631</v>
      </c>
      <c r="M126" s="48">
        <v>44722</v>
      </c>
      <c r="N126" s="49" t="s">
        <v>158</v>
      </c>
      <c r="O126" s="45">
        <v>2</v>
      </c>
      <c r="P126" s="80" t="s">
        <v>494</v>
      </c>
      <c r="Q126" s="48"/>
      <c r="R126" s="45"/>
      <c r="S126" s="114"/>
      <c r="T126" s="52"/>
      <c r="U126" s="48"/>
      <c r="V126" s="48"/>
      <c r="W126" s="27"/>
    </row>
    <row r="127" spans="1:23" ht="60" hidden="1" customHeight="1" x14ac:dyDescent="0.25">
      <c r="A127" s="45" t="str">
        <f>CONCATENATE(Tabla2[[#This Row],[id_solicitud]],Tabla2[[#This Row],[tipo]])</f>
        <v>119Proposicion</v>
      </c>
      <c r="B127" s="45">
        <f>COUNTIF($A$2:A127,A127)</f>
        <v>1</v>
      </c>
      <c r="C127" s="45" t="str">
        <f>Tabla2[[#This Row],[(id_solicitud-tipo_documento)]]&amp;B127</f>
        <v>119Proposicion1</v>
      </c>
      <c r="D127" s="45">
        <v>126</v>
      </c>
      <c r="E127" s="45">
        <v>119</v>
      </c>
      <c r="F127" s="45" t="s">
        <v>46</v>
      </c>
      <c r="G127" s="45" t="s">
        <v>1258</v>
      </c>
      <c r="H127" s="50" t="s">
        <v>535</v>
      </c>
      <c r="I127" s="51">
        <v>128</v>
      </c>
      <c r="J127" s="80"/>
      <c r="K1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128 DOH_FETCovid19</v>
      </c>
      <c r="L127" s="48">
        <v>44636</v>
      </c>
      <c r="M127" s="48">
        <v>44722</v>
      </c>
      <c r="N127" s="49" t="s">
        <v>643</v>
      </c>
      <c r="O127" s="45">
        <v>2</v>
      </c>
      <c r="P127" s="80" t="s">
        <v>494</v>
      </c>
      <c r="Q127" s="24"/>
      <c r="R127" s="24" t="s">
        <v>24</v>
      </c>
      <c r="S127" s="114"/>
      <c r="T127" s="45"/>
      <c r="U127" s="48"/>
      <c r="V127" s="48"/>
      <c r="W127" s="27"/>
    </row>
    <row r="128" spans="1:23" ht="60" hidden="1" customHeight="1" x14ac:dyDescent="0.25">
      <c r="A128" s="45" t="str">
        <f>CONCATENATE(Tabla2[[#This Row],[id_solicitud]],Tabla2[[#This Row],[tipo]])</f>
        <v>118Proposicion</v>
      </c>
      <c r="B128" s="45">
        <f>COUNTIF($A$2:A128,A128)</f>
        <v>1</v>
      </c>
      <c r="C128" s="45" t="str">
        <f>Tabla2[[#This Row],[(id_solicitud-tipo_documento)]]&amp;B128</f>
        <v>118Proposicion1</v>
      </c>
      <c r="D128" s="45">
        <v>127</v>
      </c>
      <c r="E128" s="45">
        <v>118</v>
      </c>
      <c r="F128" s="45" t="s">
        <v>46</v>
      </c>
      <c r="G128" s="45" t="s">
        <v>1258</v>
      </c>
      <c r="H128" s="50" t="s">
        <v>20</v>
      </c>
      <c r="I128" s="51">
        <v>129</v>
      </c>
      <c r="J128" s="80"/>
      <c r="K1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129 DOH</v>
      </c>
      <c r="L128" s="48">
        <v>44636</v>
      </c>
      <c r="M128" s="48">
        <v>44722</v>
      </c>
      <c r="N128" s="49" t="s">
        <v>642</v>
      </c>
      <c r="O128" s="45">
        <v>1</v>
      </c>
      <c r="P128" s="80" t="s">
        <v>494</v>
      </c>
      <c r="Q128" s="24"/>
      <c r="R128" s="24" t="s">
        <v>24</v>
      </c>
      <c r="S128" s="114"/>
      <c r="T128" s="45"/>
      <c r="U128" s="48"/>
      <c r="V128" s="48"/>
      <c r="W128" s="27"/>
    </row>
    <row r="129" spans="1:23" ht="60" hidden="1" customHeight="1" x14ac:dyDescent="0.25">
      <c r="A129" s="45" t="str">
        <f>CONCATENATE(Tabla2[[#This Row],[id_solicitud]],Tabla2[[#This Row],[tipo]])</f>
        <v>120Oficio_Solicitud</v>
      </c>
      <c r="B129" s="45">
        <f>COUNTIF($A$2:A129,A129)</f>
        <v>1</v>
      </c>
      <c r="C129" s="45" t="str">
        <f>Tabla2[[#This Row],[(id_solicitud-tipo_documento)]]&amp;B129</f>
        <v>120Oficio_Solicitud1</v>
      </c>
      <c r="D129" s="45">
        <v>128</v>
      </c>
      <c r="E129" s="45">
        <v>120</v>
      </c>
      <c r="F129" s="45" t="s">
        <v>53</v>
      </c>
      <c r="G129" s="45" t="s">
        <v>1258</v>
      </c>
      <c r="H129" s="50" t="s">
        <v>10</v>
      </c>
      <c r="I129" s="51">
        <v>130</v>
      </c>
      <c r="J129" s="80"/>
      <c r="K1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130 DAP</v>
      </c>
      <c r="L129" s="48">
        <v>44631</v>
      </c>
      <c r="M129" s="48">
        <v>44722</v>
      </c>
      <c r="N129" s="49" t="s">
        <v>167</v>
      </c>
      <c r="O129" s="45">
        <v>1</v>
      </c>
      <c r="P129" s="80" t="s">
        <v>494</v>
      </c>
      <c r="Q129" s="48"/>
      <c r="R129" s="45"/>
      <c r="S129" s="114"/>
      <c r="T129" s="52"/>
      <c r="U129" s="48"/>
      <c r="V129" s="48"/>
      <c r="W129" s="27"/>
    </row>
    <row r="130" spans="1:23" ht="60" hidden="1" customHeight="1" x14ac:dyDescent="0.25">
      <c r="A130" s="45" t="str">
        <f>CONCATENATE(Tabla2[[#This Row],[id_solicitud]],Tabla2[[#This Row],[tipo]])</f>
        <v>121Proposicion</v>
      </c>
      <c r="B130" s="45">
        <f>COUNTIF($A$2:A130,A130)</f>
        <v>1</v>
      </c>
      <c r="C130" s="45" t="str">
        <f>Tabla2[[#This Row],[(id_solicitud-tipo_documento)]]&amp;B130</f>
        <v>121Proposicion1</v>
      </c>
      <c r="D130" s="45">
        <v>129</v>
      </c>
      <c r="E130" s="45">
        <v>121</v>
      </c>
      <c r="F130" s="45" t="s">
        <v>46</v>
      </c>
      <c r="G130" s="45" t="s">
        <v>1258</v>
      </c>
      <c r="H130" s="50" t="s">
        <v>22</v>
      </c>
      <c r="I130" s="51">
        <v>130</v>
      </c>
      <c r="J130" s="80"/>
      <c r="K1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130 DOP</v>
      </c>
      <c r="L130" s="48">
        <v>44636</v>
      </c>
      <c r="M130" s="48">
        <v>44655</v>
      </c>
      <c r="N130" s="49" t="s">
        <v>168</v>
      </c>
      <c r="O130" s="45">
        <v>1</v>
      </c>
      <c r="P130" s="80" t="s">
        <v>494</v>
      </c>
      <c r="Q130" s="24"/>
      <c r="R130" s="24" t="s">
        <v>24</v>
      </c>
      <c r="S130" s="114"/>
      <c r="T130" s="45"/>
      <c r="U130" s="48"/>
      <c r="V130" s="48"/>
      <c r="W130" s="27"/>
    </row>
    <row r="131" spans="1:23" ht="60" hidden="1" customHeight="1" x14ac:dyDescent="0.25">
      <c r="A131" s="45" t="str">
        <f>CONCATENATE(Tabla2[[#This Row],[id_solicitud]],Tabla2[[#This Row],[tipo]])</f>
        <v>116Proposicion</v>
      </c>
      <c r="B131" s="45">
        <f>COUNTIF($A$2:A131,A131)</f>
        <v>1</v>
      </c>
      <c r="C131" s="45" t="str">
        <f>Tabla2[[#This Row],[(id_solicitud-tipo_documento)]]&amp;B131</f>
        <v>116Proposicion1</v>
      </c>
      <c r="D131" s="45">
        <v>130</v>
      </c>
      <c r="E131" s="45">
        <v>116</v>
      </c>
      <c r="F131" s="45" t="s">
        <v>46</v>
      </c>
      <c r="G131" s="45" t="s">
        <v>1258</v>
      </c>
      <c r="H131" s="50" t="s">
        <v>22</v>
      </c>
      <c r="I131" s="51">
        <v>131</v>
      </c>
      <c r="J131" s="80"/>
      <c r="K1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131 DOP</v>
      </c>
      <c r="L131" s="48">
        <v>44636</v>
      </c>
      <c r="M131" s="48">
        <v>44725</v>
      </c>
      <c r="N131" s="49" t="s">
        <v>163</v>
      </c>
      <c r="O131" s="45">
        <v>1</v>
      </c>
      <c r="P131" s="80" t="s">
        <v>494</v>
      </c>
      <c r="Q131" s="24"/>
      <c r="R131" s="24" t="s">
        <v>24</v>
      </c>
      <c r="S131" s="114"/>
      <c r="T131" s="45"/>
      <c r="U131" s="48"/>
      <c r="V131" s="48"/>
      <c r="W131" s="27"/>
    </row>
    <row r="132" spans="1:23" ht="60" hidden="1" customHeight="1" x14ac:dyDescent="0.25">
      <c r="A132" s="45" t="str">
        <f>CONCATENATE(Tabla2[[#This Row],[id_solicitud]],Tabla2[[#This Row],[tipo]])</f>
        <v>114Proposicion</v>
      </c>
      <c r="B132" s="45">
        <f>COUNTIF($A$2:A132,A132)</f>
        <v>1</v>
      </c>
      <c r="C132" s="45" t="str">
        <f>Tabla2[[#This Row],[(id_solicitud-tipo_documento)]]&amp;B132</f>
        <v>114Proposicion1</v>
      </c>
      <c r="D132" s="45">
        <v>131</v>
      </c>
      <c r="E132" s="45">
        <v>114</v>
      </c>
      <c r="F132" s="45" t="s">
        <v>46</v>
      </c>
      <c r="G132" s="45" t="s">
        <v>1258</v>
      </c>
      <c r="H132" s="50" t="s">
        <v>22</v>
      </c>
      <c r="I132" s="51">
        <v>132</v>
      </c>
      <c r="J132" s="80"/>
      <c r="K1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132 DOP</v>
      </c>
      <c r="L132" s="48">
        <v>44636</v>
      </c>
      <c r="M132" s="48">
        <v>44722</v>
      </c>
      <c r="N132" s="49" t="s">
        <v>161</v>
      </c>
      <c r="O132" s="45">
        <v>1</v>
      </c>
      <c r="P132" s="80" t="s">
        <v>494</v>
      </c>
      <c r="Q132" s="24"/>
      <c r="R132" s="24" t="s">
        <v>24</v>
      </c>
      <c r="S132" s="114"/>
      <c r="T132" s="45"/>
      <c r="U132" s="48"/>
      <c r="V132" s="48"/>
      <c r="W132" s="27"/>
    </row>
    <row r="133" spans="1:23" ht="60" hidden="1" customHeight="1" x14ac:dyDescent="0.25">
      <c r="A133" s="45" t="str">
        <f>CONCATENATE(Tabla2[[#This Row],[id_solicitud]],Tabla2[[#This Row],[tipo]])</f>
        <v>4Resolucion</v>
      </c>
      <c r="B133" s="45">
        <f>COUNTIF($A$2:A133,A133)</f>
        <v>1</v>
      </c>
      <c r="C133" s="45" t="str">
        <f>Tabla2[[#This Row],[(id_solicitud-tipo_documento)]]&amp;B133</f>
        <v>4Resolucion1</v>
      </c>
      <c r="D133" s="45">
        <v>132</v>
      </c>
      <c r="E133" s="45">
        <v>4</v>
      </c>
      <c r="F133" s="45" t="s">
        <v>48</v>
      </c>
      <c r="G133" s="45"/>
      <c r="H133" s="50" t="s">
        <v>541</v>
      </c>
      <c r="I133" s="51">
        <v>133</v>
      </c>
      <c r="J133" s="80"/>
      <c r="K1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3" s="48">
        <v>44599</v>
      </c>
      <c r="M133" s="48">
        <v>44727</v>
      </c>
      <c r="N133" s="49"/>
      <c r="O133" s="45"/>
      <c r="P133" s="80"/>
      <c r="Q133" s="48"/>
      <c r="R133" s="45"/>
      <c r="S133" s="114"/>
      <c r="T133" s="45"/>
      <c r="U133" s="48"/>
      <c r="V133" s="48"/>
      <c r="W133" s="27"/>
    </row>
    <row r="134" spans="1:23" ht="60" hidden="1" customHeight="1" x14ac:dyDescent="0.25">
      <c r="A134" s="45" t="str">
        <f>CONCATENATE(Tabla2[[#This Row],[id_solicitud]],Tabla2[[#This Row],[tipo]])</f>
        <v>15Resolucion</v>
      </c>
      <c r="B134" s="45">
        <f>COUNTIF($A$2:A134,A134)</f>
        <v>1</v>
      </c>
      <c r="C134" s="45" t="str">
        <f>Tabla2[[#This Row],[(id_solicitud-tipo_documento)]]&amp;B134</f>
        <v>15Resolucion1</v>
      </c>
      <c r="D134" s="45">
        <v>133</v>
      </c>
      <c r="E134" s="45">
        <v>15</v>
      </c>
      <c r="F134" s="45" t="s">
        <v>48</v>
      </c>
      <c r="G134" s="45"/>
      <c r="H134" s="50" t="s">
        <v>541</v>
      </c>
      <c r="I134" s="51">
        <v>134</v>
      </c>
      <c r="J134" s="80"/>
      <c r="K1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4" s="48">
        <v>44599</v>
      </c>
      <c r="M134" s="48">
        <v>44727</v>
      </c>
      <c r="N134" s="49"/>
      <c r="O134" s="45"/>
      <c r="P134" s="80"/>
      <c r="Q134" s="48"/>
      <c r="R134" s="45"/>
      <c r="S134" s="114"/>
      <c r="T134" s="45"/>
      <c r="U134" s="48"/>
      <c r="V134" s="48"/>
      <c r="W134" s="27"/>
    </row>
    <row r="135" spans="1:23" ht="60" hidden="1" customHeight="1" x14ac:dyDescent="0.25">
      <c r="A135" s="45" t="str">
        <f>CONCATENATE(Tabla2[[#This Row],[id_solicitud]],Tabla2[[#This Row],[tipo]])</f>
        <v>30Decreto</v>
      </c>
      <c r="B135" s="45">
        <f>COUNTIF($A$2:A135,A135)</f>
        <v>1</v>
      </c>
      <c r="C135" s="45" t="str">
        <f>Tabla2[[#This Row],[(id_solicitud-tipo_documento)]]&amp;B135</f>
        <v>30Decreto1</v>
      </c>
      <c r="D135" s="45">
        <v>134</v>
      </c>
      <c r="E135" s="45">
        <v>30</v>
      </c>
      <c r="F135" s="45" t="s">
        <v>47</v>
      </c>
      <c r="G135" s="45" t="s">
        <v>43</v>
      </c>
      <c r="H135" s="50" t="s">
        <v>538</v>
      </c>
      <c r="I135" s="51">
        <v>134</v>
      </c>
      <c r="J135" s="80"/>
      <c r="K1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134 DV_FETCovid19</v>
      </c>
      <c r="L135" s="48">
        <v>44593</v>
      </c>
      <c r="M135" s="48">
        <v>44706</v>
      </c>
      <c r="N135" s="49" t="s">
        <v>773</v>
      </c>
      <c r="O135" s="45"/>
      <c r="P135" s="80"/>
      <c r="Q135" s="48"/>
      <c r="R135" s="45"/>
      <c r="S135" s="115">
        <v>22</v>
      </c>
      <c r="T135" s="20">
        <v>44581</v>
      </c>
      <c r="U135" s="53">
        <v>44601</v>
      </c>
      <c r="V135" s="53">
        <v>44601</v>
      </c>
      <c r="W135" s="27"/>
    </row>
    <row r="136" spans="1:23" ht="60" hidden="1" customHeight="1" x14ac:dyDescent="0.25">
      <c r="A136" s="45" t="str">
        <f>CONCATENATE(Tabla2[[#This Row],[id_solicitud]],Tabla2[[#This Row],[tipo]])</f>
        <v>449Oficio_Solicitud</v>
      </c>
      <c r="B136" s="45">
        <f>COUNTIF($A$2:A136,A136)</f>
        <v>1</v>
      </c>
      <c r="C136" s="45" t="str">
        <f>Tabla2[[#This Row],[(id_solicitud-tipo_documento)]]&amp;B136</f>
        <v>449Oficio_Solicitud1</v>
      </c>
      <c r="D136" s="45">
        <v>135</v>
      </c>
      <c r="E136" s="45">
        <v>449</v>
      </c>
      <c r="F136" s="45" t="s">
        <v>53</v>
      </c>
      <c r="G136" s="45" t="s">
        <v>44</v>
      </c>
      <c r="H136" s="50" t="s">
        <v>30</v>
      </c>
      <c r="I136" s="51">
        <v>135</v>
      </c>
      <c r="J136" s="80"/>
      <c r="K1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135 INH</v>
      </c>
      <c r="L136" s="48">
        <v>44827</v>
      </c>
      <c r="M136" s="48">
        <v>44727</v>
      </c>
      <c r="N136" s="49" t="s">
        <v>428</v>
      </c>
      <c r="O136" s="45"/>
      <c r="P136" s="80" t="s">
        <v>500</v>
      </c>
      <c r="Q136" s="48"/>
      <c r="R136" s="45"/>
      <c r="S136" s="114"/>
      <c r="T136" s="52"/>
      <c r="U136" s="48"/>
      <c r="V136" s="48"/>
      <c r="W136" s="27"/>
    </row>
    <row r="137" spans="1:23" ht="60" hidden="1" customHeight="1" x14ac:dyDescent="0.25">
      <c r="A137" s="45" t="str">
        <f>CONCATENATE(Tabla2[[#This Row],[id_solicitud]],Tabla2[[#This Row],[tipo]])</f>
        <v>135Oficio_Solicitud</v>
      </c>
      <c r="B137" s="45">
        <f>COUNTIF($A$2:A137,A137)</f>
        <v>1</v>
      </c>
      <c r="C137" s="45" t="str">
        <f>Tabla2[[#This Row],[(id_solicitud-tipo_documento)]]&amp;B137</f>
        <v>135Oficio_Solicitud1</v>
      </c>
      <c r="D137" s="45">
        <v>136</v>
      </c>
      <c r="E137" s="45">
        <v>135</v>
      </c>
      <c r="F137" s="45" t="s">
        <v>53</v>
      </c>
      <c r="G137" s="45" t="s">
        <v>43</v>
      </c>
      <c r="H137" s="50" t="s">
        <v>24</v>
      </c>
      <c r="I137" s="51">
        <v>137</v>
      </c>
      <c r="J137" s="80"/>
      <c r="K1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137 DP</v>
      </c>
      <c r="L137" s="48">
        <v>44641</v>
      </c>
      <c r="M137" s="48">
        <v>44728</v>
      </c>
      <c r="N137" s="49" t="s">
        <v>180</v>
      </c>
      <c r="O137" s="45"/>
      <c r="P137" s="80" t="s">
        <v>507</v>
      </c>
      <c r="Q137" s="48"/>
      <c r="R137" s="45"/>
      <c r="S137" s="114"/>
      <c r="T137" s="52"/>
      <c r="U137" s="48"/>
      <c r="V137" s="48"/>
      <c r="W137" s="27"/>
    </row>
    <row r="138" spans="1:23" ht="60" hidden="1" customHeight="1" x14ac:dyDescent="0.25">
      <c r="A138" s="45" t="str">
        <f>CONCATENATE(Tabla2[[#This Row],[id_solicitud]],Tabla2[[#This Row],[tipo]])</f>
        <v>55Resolucion</v>
      </c>
      <c r="B138" s="45">
        <f>COUNTIF($A$2:A138,A138)</f>
        <v>1</v>
      </c>
      <c r="C138" s="45" t="str">
        <f>Tabla2[[#This Row],[(id_solicitud-tipo_documento)]]&amp;B138</f>
        <v>55Resolucion1</v>
      </c>
      <c r="D138" s="45">
        <v>137</v>
      </c>
      <c r="E138" s="45">
        <v>55</v>
      </c>
      <c r="F138" s="45" t="s">
        <v>48</v>
      </c>
      <c r="G138" s="45"/>
      <c r="H138" s="50" t="s">
        <v>10</v>
      </c>
      <c r="I138" s="51">
        <v>138</v>
      </c>
      <c r="J138" s="80"/>
      <c r="K1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8" s="48">
        <v>44592</v>
      </c>
      <c r="M138" s="48">
        <v>44734</v>
      </c>
      <c r="N138" s="49"/>
      <c r="O138" s="45"/>
      <c r="P138" s="80"/>
      <c r="Q138" s="48"/>
      <c r="R138" s="45"/>
      <c r="S138" s="114"/>
      <c r="T138" s="45"/>
      <c r="U138" s="48"/>
      <c r="V138" s="48"/>
      <c r="W138" s="27"/>
    </row>
    <row r="139" spans="1:23" ht="60" hidden="1" customHeight="1" x14ac:dyDescent="0.25">
      <c r="A139" s="45" t="str">
        <f>CONCATENATE(Tabla2[[#This Row],[id_solicitud]],Tabla2[[#This Row],[tipo]])</f>
        <v>123Oficio_Solicitud</v>
      </c>
      <c r="B139" s="45">
        <f>COUNTIF($A$2:A139,A139)</f>
        <v>1</v>
      </c>
      <c r="C139" s="45" t="str">
        <f>Tabla2[[#This Row],[(id_solicitud-tipo_documento)]]&amp;B139</f>
        <v>123Oficio_Solicitud1</v>
      </c>
      <c r="D139" s="45">
        <v>138</v>
      </c>
      <c r="E139" s="45">
        <v>123</v>
      </c>
      <c r="F139" s="45" t="s">
        <v>53</v>
      </c>
      <c r="G139" s="45" t="s">
        <v>60</v>
      </c>
      <c r="H139" s="50" t="s">
        <v>10</v>
      </c>
      <c r="I139" s="51">
        <v>141</v>
      </c>
      <c r="J139" s="80"/>
      <c r="K1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141 DAP</v>
      </c>
      <c r="L139" s="48">
        <v>44636</v>
      </c>
      <c r="M139" s="48">
        <v>44735</v>
      </c>
      <c r="N139" s="49" t="s">
        <v>170</v>
      </c>
      <c r="O139" s="45">
        <v>2</v>
      </c>
      <c r="P139" s="80" t="s">
        <v>494</v>
      </c>
      <c r="Q139" s="48"/>
      <c r="R139" s="45"/>
      <c r="S139" s="114"/>
      <c r="T139" s="52"/>
      <c r="U139" s="48"/>
      <c r="V139" s="48"/>
      <c r="W139" s="27"/>
    </row>
    <row r="140" spans="1:23" ht="60" hidden="1" customHeight="1" x14ac:dyDescent="0.25">
      <c r="A140" s="45" t="str">
        <f>CONCATENATE(Tabla2[[#This Row],[id_solicitud]],Tabla2[[#This Row],[tipo]])</f>
        <v>452Oficio_Solicitud</v>
      </c>
      <c r="B140" s="45">
        <f>COUNTIF($A$2:A140,A140)</f>
        <v>1</v>
      </c>
      <c r="C140" s="45" t="str">
        <f>Tabla2[[#This Row],[(id_solicitud-tipo_documento)]]&amp;B140</f>
        <v>452Oficio_Solicitud1</v>
      </c>
      <c r="D140" s="45">
        <v>139</v>
      </c>
      <c r="E140" s="45">
        <v>452</v>
      </c>
      <c r="F140" s="45" t="s">
        <v>53</v>
      </c>
      <c r="G140" s="45" t="s">
        <v>40</v>
      </c>
      <c r="H140" s="50" t="s">
        <v>30</v>
      </c>
      <c r="I140" s="51">
        <v>141</v>
      </c>
      <c r="J140" s="80"/>
      <c r="K1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141 INH</v>
      </c>
      <c r="L140" s="48">
        <v>44837</v>
      </c>
      <c r="M140" s="48">
        <v>44735</v>
      </c>
      <c r="N140" s="49" t="s">
        <v>430</v>
      </c>
      <c r="O140" s="45"/>
      <c r="P140" s="80" t="s">
        <v>497</v>
      </c>
      <c r="Q140" s="48"/>
      <c r="R140" s="45"/>
      <c r="S140" s="114"/>
      <c r="T140" s="52"/>
      <c r="U140" s="48"/>
      <c r="V140" s="48"/>
      <c r="W140" s="27"/>
    </row>
    <row r="141" spans="1:23" ht="60" hidden="1" customHeight="1" x14ac:dyDescent="0.25">
      <c r="A141" s="45" t="str">
        <f>CONCATENATE(Tabla2[[#This Row],[id_solicitud]],Tabla2[[#This Row],[tipo]])</f>
        <v>126Oficio_Solicitud</v>
      </c>
      <c r="B141" s="45">
        <f>COUNTIF($A$2:A141,A141)</f>
        <v>1</v>
      </c>
      <c r="C141" s="45" t="str">
        <f>Tabla2[[#This Row],[(id_solicitud-tipo_documento)]]&amp;B141</f>
        <v>126Oficio_Solicitud1</v>
      </c>
      <c r="D141" s="45">
        <v>140</v>
      </c>
      <c r="E141" s="45">
        <v>126</v>
      </c>
      <c r="F141" s="45" t="s">
        <v>53</v>
      </c>
      <c r="G141" s="45" t="s">
        <v>43</v>
      </c>
      <c r="H141" s="50" t="s">
        <v>581</v>
      </c>
      <c r="I141" s="51">
        <v>142</v>
      </c>
      <c r="J141" s="80"/>
      <c r="K1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142 DAP-DAP_FETCovid19</v>
      </c>
      <c r="L141" s="48">
        <v>44636</v>
      </c>
      <c r="M141" s="48">
        <v>44734</v>
      </c>
      <c r="N141" s="49" t="s">
        <v>173</v>
      </c>
      <c r="O141" s="45"/>
      <c r="P141" s="80" t="s">
        <v>503</v>
      </c>
      <c r="Q141" s="48"/>
      <c r="R141" s="45"/>
      <c r="S141" s="114"/>
      <c r="T141" s="52"/>
      <c r="U141" s="48"/>
      <c r="V141" s="48"/>
      <c r="W141" s="27"/>
    </row>
    <row r="142" spans="1:23" ht="60" hidden="1" customHeight="1" x14ac:dyDescent="0.25">
      <c r="A142" s="45" t="str">
        <f>CONCATENATE(Tabla2[[#This Row],[id_solicitud]],Tabla2[[#This Row],[tipo]])</f>
        <v>120Proposicion</v>
      </c>
      <c r="B142" s="45">
        <f>COUNTIF($A$2:A142,A142)</f>
        <v>1</v>
      </c>
      <c r="C142" s="45" t="str">
        <f>Tabla2[[#This Row],[(id_solicitud-tipo_documento)]]&amp;B142</f>
        <v>120Proposicion1</v>
      </c>
      <c r="D142" s="45">
        <v>141</v>
      </c>
      <c r="E142" s="45">
        <v>120</v>
      </c>
      <c r="F142" s="45" t="s">
        <v>46</v>
      </c>
      <c r="G142" s="45" t="s">
        <v>1258</v>
      </c>
      <c r="H142" s="50" t="s">
        <v>10</v>
      </c>
      <c r="I142" s="51">
        <v>143</v>
      </c>
      <c r="J142" s="80"/>
      <c r="K1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143 DAP</v>
      </c>
      <c r="L142" s="48">
        <v>44642</v>
      </c>
      <c r="M142" s="48">
        <v>44734</v>
      </c>
      <c r="N142" s="49" t="s">
        <v>167</v>
      </c>
      <c r="O142" s="45">
        <v>1</v>
      </c>
      <c r="P142" s="80" t="s">
        <v>494</v>
      </c>
      <c r="Q142" s="24"/>
      <c r="R142" s="24" t="s">
        <v>24</v>
      </c>
      <c r="S142" s="114"/>
      <c r="T142" s="45"/>
      <c r="U142" s="48"/>
      <c r="V142" s="48"/>
      <c r="W142" s="27"/>
    </row>
    <row r="143" spans="1:23" ht="60" hidden="1" customHeight="1" x14ac:dyDescent="0.25">
      <c r="A143" s="45" t="str">
        <f>CONCATENATE(Tabla2[[#This Row],[id_solicitud]],Tabla2[[#This Row],[tipo]])</f>
        <v>111Proposicion</v>
      </c>
      <c r="B143" s="45">
        <f>COUNTIF($A$2:A143,A143)</f>
        <v>1</v>
      </c>
      <c r="C143" s="45" t="str">
        <f>Tabla2[[#This Row],[(id_solicitud-tipo_documento)]]&amp;B143</f>
        <v>111Proposicion1</v>
      </c>
      <c r="D143" s="45">
        <v>142</v>
      </c>
      <c r="E143" s="45">
        <v>111</v>
      </c>
      <c r="F143" s="45" t="s">
        <v>46</v>
      </c>
      <c r="G143" s="45" t="s">
        <v>1258</v>
      </c>
      <c r="H143" s="50" t="s">
        <v>544</v>
      </c>
      <c r="I143" s="51">
        <v>144</v>
      </c>
      <c r="J143" s="80"/>
      <c r="K1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144 DAP_FETCovid19</v>
      </c>
      <c r="L143" s="48">
        <v>44642</v>
      </c>
      <c r="M143" s="48">
        <v>44642</v>
      </c>
      <c r="N143" s="49" t="s">
        <v>158</v>
      </c>
      <c r="O143" s="45">
        <v>2</v>
      </c>
      <c r="P143" s="80" t="s">
        <v>494</v>
      </c>
      <c r="Q143" s="24"/>
      <c r="R143" s="24" t="s">
        <v>24</v>
      </c>
      <c r="S143" s="114"/>
      <c r="T143" s="45"/>
      <c r="U143" s="48"/>
      <c r="V143" s="48"/>
      <c r="W143" s="27"/>
    </row>
    <row r="144" spans="1:23" ht="60" hidden="1" customHeight="1" x14ac:dyDescent="0.25">
      <c r="A144" s="45" t="str">
        <f>CONCATENATE(Tabla2[[#This Row],[id_solicitud]],Tabla2[[#This Row],[tipo]])</f>
        <v>20Resolucion</v>
      </c>
      <c r="B144" s="45">
        <f>COUNTIF($A$2:A144,A144)</f>
        <v>1</v>
      </c>
      <c r="C144" s="45" t="str">
        <f>Tabla2[[#This Row],[(id_solicitud-tipo_documento)]]&amp;B144</f>
        <v>20Resolucion1</v>
      </c>
      <c r="D144" s="45">
        <v>143</v>
      </c>
      <c r="E144" s="45">
        <v>20</v>
      </c>
      <c r="F144" s="45" t="s">
        <v>48</v>
      </c>
      <c r="G144" s="45"/>
      <c r="H144" s="50" t="s">
        <v>532</v>
      </c>
      <c r="I144" s="51">
        <v>145</v>
      </c>
      <c r="J144" s="80"/>
      <c r="K1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4" s="48">
        <v>44607</v>
      </c>
      <c r="M144" s="48">
        <v>44607</v>
      </c>
      <c r="N144" s="49"/>
      <c r="O144" s="45"/>
      <c r="P144" s="80"/>
      <c r="Q144" s="48"/>
      <c r="R144" s="45"/>
      <c r="S144" s="114"/>
      <c r="T144" s="45"/>
      <c r="U144" s="48"/>
      <c r="V144" s="48"/>
      <c r="W144" s="27"/>
    </row>
    <row r="145" spans="1:23" ht="60" hidden="1" customHeight="1" x14ac:dyDescent="0.25">
      <c r="A145" s="45" t="str">
        <f>CONCATENATE(Tabla2[[#This Row],[id_solicitud]],Tabla2[[#This Row],[tipo]])</f>
        <v>29Decreto</v>
      </c>
      <c r="B145" s="45">
        <f>COUNTIF($A$2:A145,A145)</f>
        <v>2</v>
      </c>
      <c r="C145" s="45" t="str">
        <f>Tabla2[[#This Row],[(id_solicitud-tipo_documento)]]&amp;B145</f>
        <v>29Decreto2</v>
      </c>
      <c r="D145" s="45">
        <v>144</v>
      </c>
      <c r="E145" s="45">
        <v>29</v>
      </c>
      <c r="F145" s="45" t="s">
        <v>47</v>
      </c>
      <c r="G145" s="45" t="s">
        <v>43</v>
      </c>
      <c r="H145" s="50" t="s">
        <v>26</v>
      </c>
      <c r="I145" s="51">
        <v>148</v>
      </c>
      <c r="J145" s="80"/>
      <c r="K1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148 DV</v>
      </c>
      <c r="L145" s="48">
        <v>44595</v>
      </c>
      <c r="M145" s="48">
        <v>44712</v>
      </c>
      <c r="N145" s="49" t="s">
        <v>800</v>
      </c>
      <c r="O145" s="45"/>
      <c r="P145" s="80"/>
      <c r="Q145" s="48"/>
      <c r="R145" s="45"/>
      <c r="S145" s="115">
        <v>28</v>
      </c>
      <c r="T145" s="20">
        <v>44586</v>
      </c>
      <c r="U145" s="20">
        <v>44614</v>
      </c>
      <c r="V145" s="20">
        <v>44614</v>
      </c>
      <c r="W145" s="27"/>
    </row>
    <row r="146" spans="1:23" ht="60" hidden="1" customHeight="1" x14ac:dyDescent="0.25">
      <c r="A146" s="45" t="str">
        <f>CONCATENATE(Tabla2[[#This Row],[id_solicitud]],Tabla2[[#This Row],[tipo]])</f>
        <v>8Decreto</v>
      </c>
      <c r="B146" s="45">
        <f>COUNTIF($A$2:A146,A146)</f>
        <v>1</v>
      </c>
      <c r="C146" s="45" t="str">
        <f>Tabla2[[#This Row],[(id_solicitud-tipo_documento)]]&amp;B146</f>
        <v>8Decreto1</v>
      </c>
      <c r="D146" s="45">
        <v>145</v>
      </c>
      <c r="E146" s="45">
        <v>8</v>
      </c>
      <c r="F146" s="45" t="s">
        <v>47</v>
      </c>
      <c r="G146" s="45" t="s">
        <v>43</v>
      </c>
      <c r="H146" s="50" t="s">
        <v>8</v>
      </c>
      <c r="I146" s="51">
        <v>152</v>
      </c>
      <c r="J146" s="80"/>
      <c r="K1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152 DA</v>
      </c>
      <c r="L146" s="48">
        <v>44595</v>
      </c>
      <c r="M146" s="48">
        <v>44727</v>
      </c>
      <c r="N146" s="49" t="s">
        <v>757</v>
      </c>
      <c r="O146" s="45"/>
      <c r="P146" s="80"/>
      <c r="Q146" s="48"/>
      <c r="R146" s="45"/>
      <c r="S146" s="115">
        <v>32</v>
      </c>
      <c r="T146" s="20">
        <v>44582</v>
      </c>
      <c r="U146" s="20">
        <v>44614</v>
      </c>
      <c r="V146" s="20">
        <v>44614</v>
      </c>
      <c r="W146" s="27"/>
    </row>
    <row r="147" spans="1:23" ht="60" hidden="1" customHeight="1" x14ac:dyDescent="0.25">
      <c r="A147" s="45" t="str">
        <f>CONCATENATE(Tabla2[[#This Row],[id_solicitud]],Tabla2[[#This Row],[tipo]])</f>
        <v>3Resolucion</v>
      </c>
      <c r="B147" s="45">
        <f>COUNTIF($A$2:A147,A147)</f>
        <v>1</v>
      </c>
      <c r="C147" s="45" t="str">
        <f>Tabla2[[#This Row],[(id_solicitud-tipo_documento)]]&amp;B147</f>
        <v>3Resolucion1</v>
      </c>
      <c r="D147" s="45">
        <v>146</v>
      </c>
      <c r="E147" s="45">
        <v>3</v>
      </c>
      <c r="F147" s="45" t="s">
        <v>48</v>
      </c>
      <c r="G147" s="45"/>
      <c r="H147" s="50" t="s">
        <v>22</v>
      </c>
      <c r="I147" s="51">
        <v>154</v>
      </c>
      <c r="J147" s="80"/>
      <c r="K1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7" s="48">
        <v>44606</v>
      </c>
      <c r="M147" s="48">
        <v>44735</v>
      </c>
      <c r="N147" s="49"/>
      <c r="O147" s="45"/>
      <c r="P147" s="80"/>
      <c r="Q147" s="48"/>
      <c r="R147" s="45"/>
      <c r="S147" s="114"/>
      <c r="T147" s="45"/>
      <c r="U147" s="48"/>
      <c r="V147" s="48"/>
      <c r="W147" s="27"/>
    </row>
    <row r="148" spans="1:23" ht="60" hidden="1" customHeight="1" x14ac:dyDescent="0.25">
      <c r="A148" s="45" t="str">
        <f>CONCATENATE(Tabla2[[#This Row],[id_solicitud]],Tabla2[[#This Row],[tipo]])</f>
        <v>7Decreto</v>
      </c>
      <c r="B148" s="45">
        <f>COUNTIF($A$2:A148,A148)</f>
        <v>1</v>
      </c>
      <c r="C148" s="45" t="str">
        <f>Tabla2[[#This Row],[(id_solicitud-tipo_documento)]]&amp;B148</f>
        <v>7Decreto1</v>
      </c>
      <c r="D148" s="45">
        <v>147</v>
      </c>
      <c r="E148" s="45">
        <v>7</v>
      </c>
      <c r="F148" s="45" t="s">
        <v>47</v>
      </c>
      <c r="G148" s="45" t="s">
        <v>43</v>
      </c>
      <c r="H148" s="50" t="s">
        <v>532</v>
      </c>
      <c r="I148" s="51">
        <v>154</v>
      </c>
      <c r="J148" s="80"/>
      <c r="K1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154 DA_FETCovid19</v>
      </c>
      <c r="L148" s="48">
        <v>44595</v>
      </c>
      <c r="M148" s="48">
        <v>44734</v>
      </c>
      <c r="N148" s="49">
        <f>E148</f>
        <v>7</v>
      </c>
      <c r="O148" s="45"/>
      <c r="P148" s="80"/>
      <c r="Q148" s="48"/>
      <c r="R148" s="45"/>
      <c r="S148" s="115">
        <v>41</v>
      </c>
      <c r="T148" s="20">
        <v>44585</v>
      </c>
      <c r="U148" s="53">
        <v>44601</v>
      </c>
      <c r="V148" s="53">
        <v>44601</v>
      </c>
      <c r="W148" s="27"/>
    </row>
    <row r="149" spans="1:23" ht="60" hidden="1" customHeight="1" x14ac:dyDescent="0.25">
      <c r="A149" s="45" t="str">
        <f>CONCATENATE(Tabla2[[#This Row],[id_solicitud]],Tabla2[[#This Row],[tipo]])</f>
        <v>71Decreto</v>
      </c>
      <c r="B149" s="45">
        <f>COUNTIF($A$2:A149,A149)</f>
        <v>1</v>
      </c>
      <c r="C149" s="45" t="str">
        <f>Tabla2[[#This Row],[(id_solicitud-tipo_documento)]]&amp;B149</f>
        <v>71Decreto1</v>
      </c>
      <c r="D149" s="45">
        <v>148</v>
      </c>
      <c r="E149" s="45">
        <v>71</v>
      </c>
      <c r="F149" s="45" t="s">
        <v>47</v>
      </c>
      <c r="G149" s="45" t="s">
        <v>43</v>
      </c>
      <c r="H149" s="50" t="s">
        <v>8</v>
      </c>
      <c r="I149" s="51">
        <v>155</v>
      </c>
      <c r="J149" s="80"/>
      <c r="K1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155 DA</v>
      </c>
      <c r="L149" s="48">
        <v>44595</v>
      </c>
      <c r="M149" s="48">
        <v>44735</v>
      </c>
      <c r="N149" s="49" t="s">
        <v>799</v>
      </c>
      <c r="O149" s="45"/>
      <c r="P149" s="80"/>
      <c r="Q149" s="48"/>
      <c r="R149" s="45"/>
      <c r="S149" s="115">
        <v>42</v>
      </c>
      <c r="T149" s="20">
        <v>44585</v>
      </c>
      <c r="U149" s="20">
        <v>44614</v>
      </c>
      <c r="V149" s="20">
        <v>44614</v>
      </c>
      <c r="W149" s="27"/>
    </row>
    <row r="150" spans="1:23" ht="60" hidden="1" customHeight="1" x14ac:dyDescent="0.25">
      <c r="A150" s="45" t="str">
        <f>CONCATENATE(Tabla2[[#This Row],[id_solicitud]],Tabla2[[#This Row],[tipo]])</f>
        <v>73Oficio_Solicitud</v>
      </c>
      <c r="B150" s="45">
        <f>COUNTIF($A$2:A150,A150)</f>
        <v>1</v>
      </c>
      <c r="C150" s="45" t="str">
        <f>Tabla2[[#This Row],[(id_solicitud-tipo_documento)]]&amp;B150</f>
        <v>73Oficio_Solicitud1</v>
      </c>
      <c r="D150" s="45">
        <v>149</v>
      </c>
      <c r="E150" s="45">
        <v>73</v>
      </c>
      <c r="F150" s="45" t="s">
        <v>53</v>
      </c>
      <c r="G150" s="45" t="s">
        <v>40</v>
      </c>
      <c r="H150" s="50" t="s">
        <v>562</v>
      </c>
      <c r="I150" s="51">
        <v>155</v>
      </c>
      <c r="J150" s="80"/>
      <c r="K1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155 DGC_FETCovid19</v>
      </c>
      <c r="L150" s="48">
        <v>44596</v>
      </c>
      <c r="M150" s="48">
        <v>44741</v>
      </c>
      <c r="N150" s="49" t="s">
        <v>127</v>
      </c>
      <c r="O150" s="45"/>
      <c r="P150" s="80" t="s">
        <v>500</v>
      </c>
      <c r="Q150" s="48">
        <v>44599</v>
      </c>
      <c r="R150" s="45"/>
      <c r="S150" s="114"/>
      <c r="T150" s="52"/>
      <c r="U150" s="48"/>
      <c r="V150" s="48"/>
      <c r="W150" s="27"/>
    </row>
    <row r="151" spans="1:23" ht="60" hidden="1" customHeight="1" x14ac:dyDescent="0.25">
      <c r="A151" s="45" t="str">
        <f>CONCATENATE(Tabla2[[#This Row],[id_solicitud]],Tabla2[[#This Row],[tipo]])</f>
        <v>49Oficio_Solicitud</v>
      </c>
      <c r="B151" s="45">
        <f>COUNTIF($A$2:A151,A151)</f>
        <v>1</v>
      </c>
      <c r="C151" s="45" t="str">
        <f>Tabla2[[#This Row],[(id_solicitud-tipo_documento)]]&amp;B151</f>
        <v>49Oficio_Solicitud1</v>
      </c>
      <c r="D151" s="45">
        <v>150</v>
      </c>
      <c r="E151" s="45">
        <v>49</v>
      </c>
      <c r="F151" s="45" t="s">
        <v>53</v>
      </c>
      <c r="G151" s="45" t="s">
        <v>43</v>
      </c>
      <c r="H151" s="50" t="s">
        <v>535</v>
      </c>
      <c r="I151" s="51">
        <v>156</v>
      </c>
      <c r="J151" s="80"/>
      <c r="K1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156 DOH_FETCovid19</v>
      </c>
      <c r="L151" s="48">
        <v>44578</v>
      </c>
      <c r="M151" s="48">
        <v>44741</v>
      </c>
      <c r="N151" s="49" t="s">
        <v>110</v>
      </c>
      <c r="O151" s="45">
        <f>20+3</f>
        <v>23</v>
      </c>
      <c r="P151" s="80" t="s">
        <v>494</v>
      </c>
      <c r="Q151" s="48"/>
      <c r="R151" s="45"/>
      <c r="S151" s="114"/>
      <c r="T151" s="52"/>
      <c r="U151" s="48"/>
      <c r="V151" s="48"/>
      <c r="W151" s="27"/>
    </row>
    <row r="152" spans="1:23" ht="60" hidden="1" customHeight="1" x14ac:dyDescent="0.25">
      <c r="A152" s="45" t="str">
        <f>CONCATENATE(Tabla2[[#This Row],[id_solicitud]],Tabla2[[#This Row],[tipo]])</f>
        <v>190Oficio_Solicitud</v>
      </c>
      <c r="B152" s="45">
        <f>COUNTIF($A$2:A152,A152)</f>
        <v>1</v>
      </c>
      <c r="C152" s="45" t="str">
        <f>Tabla2[[#This Row],[(id_solicitud-tipo_documento)]]&amp;B152</f>
        <v>190Oficio_Solicitud1</v>
      </c>
      <c r="D152" s="45">
        <v>151</v>
      </c>
      <c r="E152" s="45">
        <v>190</v>
      </c>
      <c r="F152" s="45" t="s">
        <v>53</v>
      </c>
      <c r="G152" s="45" t="s">
        <v>40</v>
      </c>
      <c r="H152" s="50" t="s">
        <v>35</v>
      </c>
      <c r="I152" s="51">
        <v>156</v>
      </c>
      <c r="J152" s="80"/>
      <c r="K1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156 SOP</v>
      </c>
      <c r="L152" s="48">
        <v>44686</v>
      </c>
      <c r="M152" s="48">
        <v>44741</v>
      </c>
      <c r="N152" s="49" t="s">
        <v>224</v>
      </c>
      <c r="O152" s="45"/>
      <c r="P152" s="80" t="s">
        <v>505</v>
      </c>
      <c r="Q152" s="48"/>
      <c r="R152" s="45"/>
      <c r="S152" s="114"/>
      <c r="T152" s="52"/>
      <c r="U152" s="48"/>
      <c r="V152" s="48"/>
      <c r="W152" s="27"/>
    </row>
    <row r="153" spans="1:23" ht="60" hidden="1" customHeight="1" x14ac:dyDescent="0.25">
      <c r="A153" s="45" t="str">
        <f>CONCATENATE(Tabla2[[#This Row],[id_solicitud]],Tabla2[[#This Row],[tipo]])</f>
        <v>25Resolucion</v>
      </c>
      <c r="B153" s="45">
        <f>COUNTIF($A$2:A153,A153)</f>
        <v>1</v>
      </c>
      <c r="C153" s="45" t="str">
        <f>Tabla2[[#This Row],[(id_solicitud-tipo_documento)]]&amp;B153</f>
        <v>25Resolucion1</v>
      </c>
      <c r="D153" s="45">
        <v>152</v>
      </c>
      <c r="E153" s="45">
        <v>25</v>
      </c>
      <c r="F153" s="45" t="s">
        <v>48</v>
      </c>
      <c r="G153" s="45"/>
      <c r="H153" s="50" t="s">
        <v>22</v>
      </c>
      <c r="I153" s="51">
        <v>157</v>
      </c>
      <c r="J153" s="80"/>
      <c r="K1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53" s="48">
        <v>44606</v>
      </c>
      <c r="M153" s="48">
        <v>44741</v>
      </c>
      <c r="N153" s="49"/>
      <c r="O153" s="45"/>
      <c r="P153" s="80"/>
      <c r="Q153" s="48"/>
      <c r="R153" s="45"/>
      <c r="S153" s="114"/>
      <c r="T153" s="45"/>
      <c r="U153" s="48"/>
      <c r="V153" s="48"/>
      <c r="W153" s="27"/>
    </row>
    <row r="154" spans="1:23" ht="60" hidden="1" customHeight="1" x14ac:dyDescent="0.25">
      <c r="A154" s="45" t="str">
        <f>CONCATENATE(Tabla2[[#This Row],[id_solicitud]],Tabla2[[#This Row],[tipo]])</f>
        <v>105Proposicion</v>
      </c>
      <c r="B154" s="45">
        <f>COUNTIF($A$2:A154,A154)</f>
        <v>1</v>
      </c>
      <c r="C154" s="45" t="str">
        <f>Tabla2[[#This Row],[(id_solicitud-tipo_documento)]]&amp;B154</f>
        <v>105Proposicion1</v>
      </c>
      <c r="D154" s="45">
        <v>153</v>
      </c>
      <c r="E154" s="45">
        <v>105</v>
      </c>
      <c r="F154" s="45" t="s">
        <v>46</v>
      </c>
      <c r="G154" s="45" t="s">
        <v>60</v>
      </c>
      <c r="H154" s="50" t="s">
        <v>10</v>
      </c>
      <c r="I154" s="51">
        <v>157</v>
      </c>
      <c r="J154" s="80"/>
      <c r="K1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157 DAP</v>
      </c>
      <c r="L154" s="48">
        <v>44648</v>
      </c>
      <c r="M154" s="48">
        <v>44741</v>
      </c>
      <c r="N154" s="49" t="s">
        <v>640</v>
      </c>
      <c r="O154" s="45">
        <v>1</v>
      </c>
      <c r="P154" s="80" t="s">
        <v>501</v>
      </c>
      <c r="Q154" s="24"/>
      <c r="R154" s="24" t="s">
        <v>24</v>
      </c>
      <c r="S154" s="114"/>
      <c r="T154" s="45"/>
      <c r="U154" s="48"/>
      <c r="V154" s="48"/>
      <c r="W154" s="27"/>
    </row>
    <row r="155" spans="1:23" ht="60" hidden="1" customHeight="1" x14ac:dyDescent="0.25">
      <c r="A155" s="45" t="str">
        <f>CONCATENATE(Tabla2[[#This Row],[id_solicitud]],Tabla2[[#This Row],[tipo]])</f>
        <v>95Proposicion</v>
      </c>
      <c r="B155" s="45">
        <f>COUNTIF($A$2:A155,A155)</f>
        <v>1</v>
      </c>
      <c r="C155" s="45" t="str">
        <f>Tabla2[[#This Row],[(id_solicitud-tipo_documento)]]&amp;B155</f>
        <v>95Proposicion1</v>
      </c>
      <c r="D155" s="45">
        <v>154</v>
      </c>
      <c r="E155" s="45">
        <v>95</v>
      </c>
      <c r="F155" s="45" t="s">
        <v>46</v>
      </c>
      <c r="G155" s="45" t="s">
        <v>61</v>
      </c>
      <c r="H155" s="50" t="s">
        <v>10</v>
      </c>
      <c r="I155" s="51">
        <v>158</v>
      </c>
      <c r="J155" s="80"/>
      <c r="K1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158 DAP</v>
      </c>
      <c r="L155" s="48">
        <v>44648</v>
      </c>
      <c r="M155" s="48">
        <v>44741</v>
      </c>
      <c r="N155" s="49" t="s">
        <v>146</v>
      </c>
      <c r="O155" s="45">
        <f>1+8+28</f>
        <v>37</v>
      </c>
      <c r="P155" s="80" t="s">
        <v>494</v>
      </c>
      <c r="Q155" s="24"/>
      <c r="R155" s="24" t="s">
        <v>24</v>
      </c>
      <c r="S155" s="114"/>
      <c r="T155" s="45"/>
      <c r="U155" s="48"/>
      <c r="V155" s="48"/>
      <c r="W155" s="27"/>
    </row>
    <row r="156" spans="1:23" ht="60" hidden="1" customHeight="1" x14ac:dyDescent="0.25">
      <c r="A156" s="45" t="str">
        <f>CONCATENATE(Tabla2[[#This Row],[id_solicitud]],Tabla2[[#This Row],[tipo]])</f>
        <v>99Oficio_Solicitud</v>
      </c>
      <c r="B156" s="45">
        <f>COUNTIF($A$2:A156,A156)</f>
        <v>1</v>
      </c>
      <c r="C156" s="45" t="str">
        <f>Tabla2[[#This Row],[(id_solicitud-tipo_documento)]]&amp;B156</f>
        <v>99Oficio_Solicitud1</v>
      </c>
      <c r="D156" s="45">
        <v>155</v>
      </c>
      <c r="E156" s="45">
        <v>99</v>
      </c>
      <c r="F156" s="45" t="s">
        <v>53</v>
      </c>
      <c r="G156" s="45" t="s">
        <v>1258</v>
      </c>
      <c r="H156" s="50" t="s">
        <v>22</v>
      </c>
      <c r="I156" s="51">
        <v>158</v>
      </c>
      <c r="J156" s="80"/>
      <c r="K1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158 DOP</v>
      </c>
      <c r="L156" s="48">
        <v>44623</v>
      </c>
      <c r="M156" s="48">
        <v>44746</v>
      </c>
      <c r="N156" s="49" t="s">
        <v>149</v>
      </c>
      <c r="O156" s="45">
        <v>1</v>
      </c>
      <c r="P156" s="80" t="s">
        <v>494</v>
      </c>
      <c r="Q156" s="48"/>
      <c r="R156" s="45"/>
      <c r="S156" s="114"/>
      <c r="T156" s="52"/>
      <c r="U156" s="48"/>
      <c r="V156" s="48"/>
      <c r="W156" s="27"/>
    </row>
    <row r="157" spans="1:23" ht="60" hidden="1" customHeight="1" x14ac:dyDescent="0.25">
      <c r="A157" s="45" t="str">
        <f>CONCATENATE(Tabla2[[#This Row],[id_solicitud]],Tabla2[[#This Row],[tipo]])</f>
        <v>100Oficio_Solicitud</v>
      </c>
      <c r="B157" s="45">
        <f>COUNTIF($A$2:A157,A157)</f>
        <v>1</v>
      </c>
      <c r="C157" s="45" t="str">
        <f>Tabla2[[#This Row],[(id_solicitud-tipo_documento)]]&amp;B157</f>
        <v>100Oficio_Solicitud1</v>
      </c>
      <c r="D157" s="45">
        <v>156</v>
      </c>
      <c r="E157" s="45">
        <v>100</v>
      </c>
      <c r="F157" s="45" t="s">
        <v>53</v>
      </c>
      <c r="G157" s="45" t="s">
        <v>60</v>
      </c>
      <c r="H157" s="50" t="s">
        <v>541</v>
      </c>
      <c r="I157" s="51">
        <v>159</v>
      </c>
      <c r="J157" s="80"/>
      <c r="K1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159 DOP_FETCovid19</v>
      </c>
      <c r="L157" s="48">
        <v>44623</v>
      </c>
      <c r="M157" s="48">
        <v>44746</v>
      </c>
      <c r="N157" s="49" t="s">
        <v>150</v>
      </c>
      <c r="O157" s="45">
        <v>5</v>
      </c>
      <c r="P157" s="80" t="s">
        <v>494</v>
      </c>
      <c r="Q157" s="48"/>
      <c r="R157" s="45"/>
      <c r="S157" s="114"/>
      <c r="T157" s="52"/>
      <c r="U157" s="48"/>
      <c r="V157" s="48"/>
      <c r="W157" s="27"/>
    </row>
    <row r="158" spans="1:23" ht="60" hidden="1" customHeight="1" x14ac:dyDescent="0.25">
      <c r="A158" s="45" t="str">
        <f>CONCATENATE(Tabla2[[#This Row],[id_solicitud]],Tabla2[[#This Row],[tipo]])</f>
        <v>130Proposicion</v>
      </c>
      <c r="B158" s="45">
        <f>COUNTIF($A$2:A158,A158)</f>
        <v>1</v>
      </c>
      <c r="C158" s="45" t="str">
        <f>Tabla2[[#This Row],[(id_solicitud-tipo_documento)]]&amp;B158</f>
        <v>130Proposicion1</v>
      </c>
      <c r="D158" s="45">
        <v>157</v>
      </c>
      <c r="E158" s="45">
        <v>130</v>
      </c>
      <c r="F158" s="45" t="s">
        <v>46</v>
      </c>
      <c r="G158" s="45" t="s">
        <v>44</v>
      </c>
      <c r="H158" s="50" t="s">
        <v>538</v>
      </c>
      <c r="I158" s="51">
        <v>159</v>
      </c>
      <c r="J158" s="80"/>
      <c r="K1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159 DV_FETCovid19</v>
      </c>
      <c r="L158" s="48">
        <v>44648</v>
      </c>
      <c r="M158" s="48">
        <v>44746</v>
      </c>
      <c r="N158" s="49" t="s">
        <v>175</v>
      </c>
      <c r="O158" s="45"/>
      <c r="P158" s="80" t="s">
        <v>498</v>
      </c>
      <c r="Q158" s="24"/>
      <c r="R158" s="24" t="s">
        <v>26</v>
      </c>
      <c r="S158" s="114"/>
      <c r="T158" s="45"/>
      <c r="U158" s="48"/>
      <c r="V158" s="48"/>
      <c r="W158" s="27"/>
    </row>
    <row r="159" spans="1:23" ht="60" hidden="1" customHeight="1" x14ac:dyDescent="0.25">
      <c r="A159" s="45" t="str">
        <f>CONCATENATE(Tabla2[[#This Row],[id_solicitud]],Tabla2[[#This Row],[tipo]])</f>
        <v>18Resolucion</v>
      </c>
      <c r="B159" s="45">
        <f>COUNTIF($A$2:A159,A159)</f>
        <v>1</v>
      </c>
      <c r="C159" s="45" t="str">
        <f>Tabla2[[#This Row],[(id_solicitud-tipo_documento)]]&amp;B159</f>
        <v>18Resolucion1</v>
      </c>
      <c r="D159" s="45">
        <v>158</v>
      </c>
      <c r="E159" s="45">
        <v>18</v>
      </c>
      <c r="F159" s="45" t="s">
        <v>48</v>
      </c>
      <c r="G159" s="45"/>
      <c r="H159" s="50" t="s">
        <v>10</v>
      </c>
      <c r="I159" s="51">
        <v>161</v>
      </c>
      <c r="J159" s="80"/>
      <c r="K1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59" s="48">
        <v>44592</v>
      </c>
      <c r="M159" s="48">
        <v>44749</v>
      </c>
      <c r="N159" s="49"/>
      <c r="O159" s="45"/>
      <c r="P159" s="80"/>
      <c r="Q159" s="48"/>
      <c r="R159" s="45"/>
      <c r="S159" s="114"/>
      <c r="T159" s="45"/>
      <c r="U159" s="48"/>
      <c r="V159" s="48"/>
      <c r="W159" s="27"/>
    </row>
    <row r="160" spans="1:23" ht="60" hidden="1" customHeight="1" x14ac:dyDescent="0.25">
      <c r="A160" s="45" t="str">
        <f>CONCATENATE(Tabla2[[#This Row],[id_solicitud]],Tabla2[[#This Row],[tipo]])</f>
        <v>117Proposicion</v>
      </c>
      <c r="B160" s="45">
        <f>COUNTIF($A$2:A160,A160)</f>
        <v>1</v>
      </c>
      <c r="C160" s="45" t="str">
        <f>Tabla2[[#This Row],[(id_solicitud-tipo_documento)]]&amp;B160</f>
        <v>117Proposicion1</v>
      </c>
      <c r="D160" s="45">
        <v>159</v>
      </c>
      <c r="E160" s="45">
        <v>117</v>
      </c>
      <c r="F160" s="45" t="s">
        <v>46</v>
      </c>
      <c r="G160" s="45" t="s">
        <v>1258</v>
      </c>
      <c r="H160" s="50" t="s">
        <v>559</v>
      </c>
      <c r="I160" s="51">
        <v>161</v>
      </c>
      <c r="J160" s="80"/>
      <c r="K1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161 APR_FETCovid19</v>
      </c>
      <c r="L160" s="48">
        <v>44650</v>
      </c>
      <c r="M160" s="48">
        <v>44760</v>
      </c>
      <c r="N160" s="49" t="s">
        <v>164</v>
      </c>
      <c r="O160" s="45">
        <v>3</v>
      </c>
      <c r="P160" s="80" t="s">
        <v>494</v>
      </c>
      <c r="Q160" s="24"/>
      <c r="R160" s="24" t="s">
        <v>24</v>
      </c>
      <c r="S160" s="114"/>
      <c r="T160" s="45"/>
      <c r="U160" s="48"/>
      <c r="V160" s="48"/>
      <c r="W160" s="27"/>
    </row>
    <row r="161" spans="1:23" ht="60" hidden="1" customHeight="1" x14ac:dyDescent="0.25">
      <c r="A161" s="45" t="str">
        <f>CONCATENATE(Tabla2[[#This Row],[id_solicitud]],Tabla2[[#This Row],[tipo]])</f>
        <v>48Oficio_Solicitud</v>
      </c>
      <c r="B161" s="45">
        <f>COUNTIF($A$2:A161,A161)</f>
        <v>1</v>
      </c>
      <c r="C161" s="45" t="str">
        <f>Tabla2[[#This Row],[(id_solicitud-tipo_documento)]]&amp;B161</f>
        <v>48Oficio_Solicitud1</v>
      </c>
      <c r="D161" s="45">
        <v>160</v>
      </c>
      <c r="E161" s="45">
        <v>48</v>
      </c>
      <c r="F161" s="45" t="s">
        <v>53</v>
      </c>
      <c r="G161" s="45" t="s">
        <v>43</v>
      </c>
      <c r="H161" s="50" t="s">
        <v>20</v>
      </c>
      <c r="I161" s="51">
        <v>163</v>
      </c>
      <c r="J161" s="80"/>
      <c r="K1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163 DOH</v>
      </c>
      <c r="L161" s="48">
        <v>44579</v>
      </c>
      <c r="M161" s="48">
        <v>44760</v>
      </c>
      <c r="N161" s="49" t="s">
        <v>109</v>
      </c>
      <c r="O161" s="45">
        <f>15+61</f>
        <v>76</v>
      </c>
      <c r="P161" s="80" t="s">
        <v>494</v>
      </c>
      <c r="Q161" s="48"/>
      <c r="R161" s="45"/>
      <c r="S161" s="114"/>
      <c r="T161" s="52"/>
      <c r="U161" s="48"/>
      <c r="V161" s="48"/>
      <c r="W161" s="27"/>
    </row>
    <row r="162" spans="1:23" ht="60" hidden="1" customHeight="1" x14ac:dyDescent="0.25">
      <c r="A162" s="45" t="str">
        <f>CONCATENATE(Tabla2[[#This Row],[id_solicitud]],Tabla2[[#This Row],[tipo]])</f>
        <v>71Resolucion</v>
      </c>
      <c r="B162" s="45">
        <f>COUNTIF($A$2:A162,A162)</f>
        <v>1</v>
      </c>
      <c r="C162" s="45" t="str">
        <f>Tabla2[[#This Row],[(id_solicitud-tipo_documento)]]&amp;B162</f>
        <v>71Resolucion1</v>
      </c>
      <c r="D162" s="45">
        <v>161</v>
      </c>
      <c r="E162" s="45">
        <v>71</v>
      </c>
      <c r="F162" s="45" t="s">
        <v>48</v>
      </c>
      <c r="G162" s="45"/>
      <c r="H162" s="50" t="s">
        <v>8</v>
      </c>
      <c r="I162" s="51">
        <v>163</v>
      </c>
      <c r="J162" s="80"/>
      <c r="K1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62" s="48">
        <v>44617</v>
      </c>
      <c r="M162" s="48">
        <v>44760</v>
      </c>
      <c r="N162" s="49"/>
      <c r="O162" s="45"/>
      <c r="P162" s="80"/>
      <c r="Q162" s="48"/>
      <c r="R162" s="45"/>
      <c r="S162" s="114"/>
      <c r="T162" s="45"/>
      <c r="U162" s="48"/>
      <c r="V162" s="48"/>
      <c r="W162" s="27"/>
    </row>
    <row r="163" spans="1:23" ht="60" hidden="1" customHeight="1" x14ac:dyDescent="0.25">
      <c r="A163" s="45" t="str">
        <f>CONCATENATE(Tabla2[[#This Row],[id_solicitud]],Tabla2[[#This Row],[tipo]])</f>
        <v>8Resolucion</v>
      </c>
      <c r="B163" s="45">
        <f>COUNTIF($A$2:A163,A163)</f>
        <v>1</v>
      </c>
      <c r="C163" s="45" t="str">
        <f>Tabla2[[#This Row],[(id_solicitud-tipo_documento)]]&amp;B163</f>
        <v>8Resolucion1</v>
      </c>
      <c r="D163" s="45">
        <v>162</v>
      </c>
      <c r="E163" s="45">
        <v>8</v>
      </c>
      <c r="F163" s="45" t="s">
        <v>48</v>
      </c>
      <c r="G163" s="45"/>
      <c r="H163" s="50" t="s">
        <v>8</v>
      </c>
      <c r="I163" s="51">
        <v>164</v>
      </c>
      <c r="J163" s="80"/>
      <c r="K1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63" s="48">
        <v>44617</v>
      </c>
      <c r="M163" s="48">
        <v>44760</v>
      </c>
      <c r="N163" s="49"/>
      <c r="O163" s="45"/>
      <c r="P163" s="80"/>
      <c r="Q163" s="48"/>
      <c r="R163" s="45"/>
      <c r="S163" s="114"/>
      <c r="T163" s="45"/>
      <c r="U163" s="48"/>
      <c r="V163" s="48"/>
      <c r="W163" s="27"/>
    </row>
    <row r="164" spans="1:23" ht="60" hidden="1" customHeight="1" x14ac:dyDescent="0.25">
      <c r="A164" s="45" t="str">
        <f>CONCATENATE(Tabla2[[#This Row],[id_solicitud]],Tabla2[[#This Row],[tipo]])</f>
        <v>79Oficio_Solicitud</v>
      </c>
      <c r="B164" s="45">
        <f>COUNTIF($A$2:A164,A164)</f>
        <v>1</v>
      </c>
      <c r="C164" s="45" t="str">
        <f>Tabla2[[#This Row],[(id_solicitud-tipo_documento)]]&amp;B164</f>
        <v>79Oficio_Solicitud1</v>
      </c>
      <c r="D164" s="45">
        <v>163</v>
      </c>
      <c r="E164" s="45">
        <v>79</v>
      </c>
      <c r="F164" s="45" t="s">
        <v>53</v>
      </c>
      <c r="G164" s="45" t="s">
        <v>60</v>
      </c>
      <c r="H164" s="50" t="s">
        <v>559</v>
      </c>
      <c r="I164" s="51">
        <v>165</v>
      </c>
      <c r="J164" s="80"/>
      <c r="K1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165 APR_FETCovid19</v>
      </c>
      <c r="L164" s="48">
        <v>44579</v>
      </c>
      <c r="M164" s="48">
        <v>44757</v>
      </c>
      <c r="N164" s="49" t="s">
        <v>131</v>
      </c>
      <c r="O164" s="45">
        <v>1</v>
      </c>
      <c r="P164" s="80" t="s">
        <v>494</v>
      </c>
      <c r="Q164" s="48">
        <v>44600</v>
      </c>
      <c r="R164" s="45"/>
      <c r="S164" s="114"/>
      <c r="T164" s="52"/>
      <c r="U164" s="48"/>
      <c r="V164" s="48"/>
      <c r="W164" s="27"/>
    </row>
    <row r="165" spans="1:23" ht="60" hidden="1" customHeight="1" x14ac:dyDescent="0.25">
      <c r="A165" s="45" t="str">
        <f>CONCATENATE(Tabla2[[#This Row],[id_solicitud]],Tabla2[[#This Row],[tipo]])</f>
        <v>250Oficio_Solicitud</v>
      </c>
      <c r="B165" s="45">
        <f>COUNTIF($A$2:A165,A165)</f>
        <v>1</v>
      </c>
      <c r="C165" s="45" t="str">
        <f>Tabla2[[#This Row],[(id_solicitud-tipo_documento)]]&amp;B165</f>
        <v>250Oficio_Solicitud1</v>
      </c>
      <c r="D165" s="45">
        <v>164</v>
      </c>
      <c r="E165" s="45">
        <v>250</v>
      </c>
      <c r="F165" s="45" t="s">
        <v>53</v>
      </c>
      <c r="G165" s="45" t="s">
        <v>44</v>
      </c>
      <c r="H165" s="50" t="s">
        <v>547</v>
      </c>
      <c r="I165" s="51">
        <v>165</v>
      </c>
      <c r="J165" s="80"/>
      <c r="K1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165 DGOP_FETCovid19</v>
      </c>
      <c r="L165" s="48">
        <v>44697</v>
      </c>
      <c r="M165" s="48">
        <v>44764</v>
      </c>
      <c r="N165" s="49" t="s">
        <v>277</v>
      </c>
      <c r="O165" s="45"/>
      <c r="P165" s="80" t="s">
        <v>498</v>
      </c>
      <c r="Q165" s="48"/>
      <c r="R165" s="45"/>
      <c r="S165" s="114"/>
      <c r="T165" s="52"/>
      <c r="U165" s="48"/>
      <c r="V165" s="48"/>
      <c r="W165" s="27"/>
    </row>
    <row r="166" spans="1:23" ht="60" hidden="1" customHeight="1" x14ac:dyDescent="0.25">
      <c r="A166" s="45" t="str">
        <f>CONCATENATE(Tabla2[[#This Row],[id_solicitud]],Tabla2[[#This Row],[tipo]])</f>
        <v>19Resolucion</v>
      </c>
      <c r="B166" s="45">
        <f>COUNTIF($A$2:A166,A166)</f>
        <v>1</v>
      </c>
      <c r="C166" s="45" t="str">
        <f>Tabla2[[#This Row],[(id_solicitud-tipo_documento)]]&amp;B166</f>
        <v>19Resolucion1</v>
      </c>
      <c r="D166" s="45">
        <v>165</v>
      </c>
      <c r="E166" s="45">
        <v>19</v>
      </c>
      <c r="F166" s="45" t="s">
        <v>48</v>
      </c>
      <c r="G166" s="45"/>
      <c r="H166" s="50" t="s">
        <v>8</v>
      </c>
      <c r="I166" s="51">
        <v>167</v>
      </c>
      <c r="J166" s="80"/>
      <c r="K1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66" s="48">
        <v>44617</v>
      </c>
      <c r="M166" s="48">
        <v>44764</v>
      </c>
      <c r="N166" s="49"/>
      <c r="O166" s="45"/>
      <c r="P166" s="80"/>
      <c r="Q166" s="48"/>
      <c r="R166" s="45"/>
      <c r="S166" s="114"/>
      <c r="T166" s="45"/>
      <c r="U166" s="48"/>
      <c r="V166" s="48"/>
      <c r="W166" s="27"/>
    </row>
    <row r="167" spans="1:23" ht="60" hidden="1" customHeight="1" x14ac:dyDescent="0.25">
      <c r="A167" s="45" t="str">
        <f>CONCATENATE(Tabla2[[#This Row],[id_solicitud]],Tabla2[[#This Row],[tipo]])</f>
        <v>226Oficio_Solicitud</v>
      </c>
      <c r="B167" s="45">
        <f>COUNTIF($A$2:A167,A167)</f>
        <v>1</v>
      </c>
      <c r="C167" s="45" t="str">
        <f>Tabla2[[#This Row],[(id_solicitud-tipo_documento)]]&amp;B167</f>
        <v>226Oficio_Solicitud1</v>
      </c>
      <c r="D167" s="45">
        <v>166</v>
      </c>
      <c r="E167" s="45">
        <v>226</v>
      </c>
      <c r="F167" s="45" t="s">
        <v>53</v>
      </c>
      <c r="G167" s="45" t="s">
        <v>40</v>
      </c>
      <c r="H167" s="50" t="s">
        <v>35</v>
      </c>
      <c r="I167" s="51">
        <v>167</v>
      </c>
      <c r="J167" s="80"/>
      <c r="K1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167 SOP</v>
      </c>
      <c r="L167" s="48">
        <v>44698</v>
      </c>
      <c r="M167" s="48">
        <v>44764</v>
      </c>
      <c r="N167" s="49" t="s">
        <v>254</v>
      </c>
      <c r="O167" s="45"/>
      <c r="P167" s="80" t="s">
        <v>498</v>
      </c>
      <c r="Q167" s="48"/>
      <c r="R167" s="45"/>
      <c r="S167" s="114"/>
      <c r="T167" s="52"/>
      <c r="U167" s="48"/>
      <c r="V167" s="48"/>
      <c r="W167" s="27"/>
    </row>
    <row r="168" spans="1:23" ht="60" hidden="1" customHeight="1" x14ac:dyDescent="0.25">
      <c r="A168" s="45" t="str">
        <f>CONCATENATE(Tabla2[[#This Row],[id_solicitud]],Tabla2[[#This Row],[tipo]])</f>
        <v>219Oficio_Solicitud</v>
      </c>
      <c r="B168" s="45">
        <f>COUNTIF($A$2:A168,A168)</f>
        <v>1</v>
      </c>
      <c r="C168" s="45" t="str">
        <f>Tabla2[[#This Row],[(id_solicitud-tipo_documento)]]&amp;B168</f>
        <v>219Oficio_Solicitud1</v>
      </c>
      <c r="D168" s="45">
        <v>167</v>
      </c>
      <c r="E168" s="45">
        <v>219</v>
      </c>
      <c r="F168" s="45" t="s">
        <v>53</v>
      </c>
      <c r="G168" s="45" t="s">
        <v>40</v>
      </c>
      <c r="H168" s="50" t="s">
        <v>18</v>
      </c>
      <c r="I168" s="51">
        <v>169</v>
      </c>
      <c r="J168" s="80"/>
      <c r="K1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169 DGOP</v>
      </c>
      <c r="L168" s="48">
        <v>44699</v>
      </c>
      <c r="M168" s="48">
        <v>44768</v>
      </c>
      <c r="N168" s="49" t="s">
        <v>247</v>
      </c>
      <c r="O168" s="45"/>
      <c r="P168" s="80" t="s">
        <v>498</v>
      </c>
      <c r="Q168" s="48"/>
      <c r="R168" s="45"/>
      <c r="S168" s="114"/>
      <c r="T168" s="52"/>
      <c r="U168" s="48"/>
      <c r="V168" s="48"/>
      <c r="W168" s="27"/>
    </row>
    <row r="169" spans="1:23" ht="60" hidden="1" customHeight="1" x14ac:dyDescent="0.25">
      <c r="A169" s="45" t="str">
        <f>CONCATENATE(Tabla2[[#This Row],[id_solicitud]],Tabla2[[#This Row],[tipo]])</f>
        <v>148Oficio_Solicitud</v>
      </c>
      <c r="B169" s="45">
        <f>COUNTIF($A$2:A169,A169)</f>
        <v>1</v>
      </c>
      <c r="C169" s="45" t="str">
        <f>Tabla2[[#This Row],[(id_solicitud-tipo_documento)]]&amp;B169</f>
        <v>148Oficio_Solicitud1</v>
      </c>
      <c r="D169" s="45">
        <v>168</v>
      </c>
      <c r="E169" s="45">
        <v>148</v>
      </c>
      <c r="F169" s="45" t="s">
        <v>53</v>
      </c>
      <c r="G169" s="45" t="s">
        <v>1258</v>
      </c>
      <c r="H169" s="50" t="s">
        <v>544</v>
      </c>
      <c r="I169" s="51">
        <v>171</v>
      </c>
      <c r="J169" s="80"/>
      <c r="K1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171 DAP_FETCovid19</v>
      </c>
      <c r="L169" s="48">
        <v>44652</v>
      </c>
      <c r="M169" s="48">
        <v>44769</v>
      </c>
      <c r="N169" s="49" t="s">
        <v>191</v>
      </c>
      <c r="O169" s="45">
        <v>2</v>
      </c>
      <c r="P169" s="80" t="s">
        <v>494</v>
      </c>
      <c r="Q169" s="48"/>
      <c r="R169" s="45"/>
      <c r="S169" s="114"/>
      <c r="T169" s="52"/>
      <c r="U169" s="48"/>
      <c r="V169" s="48"/>
      <c r="W169" s="27"/>
    </row>
    <row r="170" spans="1:23" ht="60" hidden="1" customHeight="1" x14ac:dyDescent="0.25">
      <c r="A170" s="45" t="str">
        <f>CONCATENATE(Tabla2[[#This Row],[id_solicitud]],Tabla2[[#This Row],[tipo]])</f>
        <v>225Oficio_Solicitud</v>
      </c>
      <c r="B170" s="45">
        <f>COUNTIF($A$2:A170,A170)</f>
        <v>1</v>
      </c>
      <c r="C170" s="45" t="str">
        <f>Tabla2[[#This Row],[(id_solicitud-tipo_documento)]]&amp;B170</f>
        <v>225Oficio_Solicitud1</v>
      </c>
      <c r="D170" s="45">
        <v>169</v>
      </c>
      <c r="E170" s="45">
        <v>225</v>
      </c>
      <c r="F170" s="45" t="s">
        <v>53</v>
      </c>
      <c r="G170" s="45" t="s">
        <v>40</v>
      </c>
      <c r="H170" s="50" t="s">
        <v>529</v>
      </c>
      <c r="I170" s="51">
        <v>171</v>
      </c>
      <c r="J170" s="80"/>
      <c r="K1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171 SOP_FETCovid19</v>
      </c>
      <c r="L170" s="48">
        <v>44701</v>
      </c>
      <c r="M170" s="48">
        <v>44782</v>
      </c>
      <c r="N170" s="49" t="s">
        <v>253</v>
      </c>
      <c r="O170" s="45"/>
      <c r="P170" s="80" t="s">
        <v>498</v>
      </c>
      <c r="Q170" s="48"/>
      <c r="R170" s="45"/>
      <c r="S170" s="114"/>
      <c r="T170" s="52"/>
      <c r="U170" s="48"/>
      <c r="V170" s="48"/>
      <c r="W170" s="27"/>
    </row>
    <row r="171" spans="1:23" ht="60" hidden="1" customHeight="1" x14ac:dyDescent="0.25">
      <c r="A171" s="45" t="str">
        <f>CONCATENATE(Tabla2[[#This Row],[id_solicitud]],Tabla2[[#This Row],[tipo]])</f>
        <v>227Oficio_Solicitud</v>
      </c>
      <c r="B171" s="45">
        <f>COUNTIF($A$2:A171,A171)</f>
        <v>1</v>
      </c>
      <c r="C171" s="45" t="str">
        <f>Tabla2[[#This Row],[(id_solicitud-tipo_documento)]]&amp;B171</f>
        <v>227Oficio_Solicitud1</v>
      </c>
      <c r="D171" s="45">
        <v>170</v>
      </c>
      <c r="E171" s="45">
        <v>227</v>
      </c>
      <c r="F171" s="45" t="s">
        <v>53</v>
      </c>
      <c r="G171" s="45" t="s">
        <v>40</v>
      </c>
      <c r="H171" s="50" t="s">
        <v>529</v>
      </c>
      <c r="I171" s="51">
        <v>172</v>
      </c>
      <c r="J171" s="80"/>
      <c r="K1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172 SOP_FETCovid19</v>
      </c>
      <c r="L171" s="48">
        <v>44701</v>
      </c>
      <c r="M171" s="48">
        <v>44782</v>
      </c>
      <c r="N171" s="49" t="s">
        <v>255</v>
      </c>
      <c r="O171" s="45"/>
      <c r="P171" s="80" t="s">
        <v>498</v>
      </c>
      <c r="Q171" s="48"/>
      <c r="R171" s="45"/>
      <c r="S171" s="114"/>
      <c r="T171" s="52"/>
      <c r="U171" s="48"/>
      <c r="V171" s="48"/>
      <c r="W171" s="27"/>
    </row>
    <row r="172" spans="1:23" ht="60" hidden="1" customHeight="1" x14ac:dyDescent="0.25">
      <c r="A172" s="45" t="str">
        <f>CONCATENATE(Tabla2[[#This Row],[id_solicitud]],Tabla2[[#This Row],[tipo]])</f>
        <v>228Oficio_Solicitud</v>
      </c>
      <c r="B172" s="45">
        <f>COUNTIF($A$2:A172,A172)</f>
        <v>1</v>
      </c>
      <c r="C172" s="45" t="str">
        <f>Tabla2[[#This Row],[(id_solicitud-tipo_documento)]]&amp;B172</f>
        <v>228Oficio_Solicitud1</v>
      </c>
      <c r="D172" s="45">
        <v>171</v>
      </c>
      <c r="E172" s="45">
        <v>228</v>
      </c>
      <c r="F172" s="45" t="s">
        <v>53</v>
      </c>
      <c r="G172" s="45" t="s">
        <v>40</v>
      </c>
      <c r="H172" s="50" t="s">
        <v>529</v>
      </c>
      <c r="I172" s="51">
        <v>173</v>
      </c>
      <c r="J172" s="80"/>
      <c r="K1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173 SOP_FETCovid19</v>
      </c>
      <c r="L172" s="48">
        <v>44701</v>
      </c>
      <c r="M172" s="48">
        <v>44701</v>
      </c>
      <c r="N172" s="49" t="s">
        <v>256</v>
      </c>
      <c r="O172" s="45"/>
      <c r="P172" s="80" t="s">
        <v>498</v>
      </c>
      <c r="Q172" s="48"/>
      <c r="R172" s="45"/>
      <c r="S172" s="114"/>
      <c r="T172" s="52"/>
      <c r="U172" s="48"/>
      <c r="V172" s="48"/>
      <c r="W172" s="27"/>
    </row>
    <row r="173" spans="1:23" ht="60" hidden="1" customHeight="1" x14ac:dyDescent="0.25">
      <c r="A173" s="45" t="str">
        <f>CONCATENATE(Tabla2[[#This Row],[id_solicitud]],Tabla2[[#This Row],[tipo]])</f>
        <v>184Oficio_Solicitud</v>
      </c>
      <c r="B173" s="45">
        <f>COUNTIF($A$2:A173,A173)</f>
        <v>1</v>
      </c>
      <c r="C173" s="45" t="str">
        <f>Tabla2[[#This Row],[(id_solicitud-tipo_documento)]]&amp;B173</f>
        <v>184Oficio_Solicitud1</v>
      </c>
      <c r="D173" s="45">
        <v>172</v>
      </c>
      <c r="E173" s="45">
        <v>184</v>
      </c>
      <c r="F173" s="45" t="s">
        <v>53</v>
      </c>
      <c r="G173" s="45" t="s">
        <v>40</v>
      </c>
      <c r="H173" s="50" t="s">
        <v>10</v>
      </c>
      <c r="I173" s="51">
        <v>174</v>
      </c>
      <c r="J173" s="80"/>
      <c r="K1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174 DAP</v>
      </c>
      <c r="L173" s="48">
        <v>44657</v>
      </c>
      <c r="M173" s="48">
        <v>44782</v>
      </c>
      <c r="N173" s="49" t="s">
        <v>219</v>
      </c>
      <c r="O173" s="45">
        <v>0</v>
      </c>
      <c r="P173" s="80" t="s">
        <v>497</v>
      </c>
      <c r="Q173" s="48"/>
      <c r="R173" s="45"/>
      <c r="S173" s="114"/>
      <c r="T173" s="52"/>
      <c r="U173" s="48"/>
      <c r="V173" s="48"/>
      <c r="W173" s="27"/>
    </row>
    <row r="174" spans="1:23" ht="60" hidden="1" customHeight="1" x14ac:dyDescent="0.25">
      <c r="A174" s="45" t="str">
        <f>CONCATENATE(Tabla2[[#This Row],[id_solicitud]],Tabla2[[#This Row],[tipo]])</f>
        <v>88Proposicion</v>
      </c>
      <c r="B174" s="45">
        <f>COUNTIF($A$2:A174,A174)</f>
        <v>1</v>
      </c>
      <c r="C174" s="45" t="str">
        <f>Tabla2[[#This Row],[(id_solicitud-tipo_documento)]]&amp;B174</f>
        <v>88Proposicion1</v>
      </c>
      <c r="D174" s="45">
        <v>173</v>
      </c>
      <c r="E174" s="45">
        <v>88</v>
      </c>
      <c r="F174" s="45" t="s">
        <v>46</v>
      </c>
      <c r="G174" s="45" t="s">
        <v>60</v>
      </c>
      <c r="H174" s="50" t="s">
        <v>26</v>
      </c>
      <c r="I174" s="51">
        <v>175</v>
      </c>
      <c r="J174" s="80"/>
      <c r="K1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175 DV</v>
      </c>
      <c r="L174" s="48">
        <v>44657</v>
      </c>
      <c r="M174" s="48">
        <v>44701</v>
      </c>
      <c r="N174" s="49" t="s">
        <v>139</v>
      </c>
      <c r="O174" s="45">
        <v>2</v>
      </c>
      <c r="P174" s="80" t="s">
        <v>494</v>
      </c>
      <c r="Q174" s="24"/>
      <c r="R174" s="24" t="s">
        <v>24</v>
      </c>
      <c r="S174" s="114"/>
      <c r="T174" s="45"/>
      <c r="U174" s="48"/>
      <c r="V174" s="48"/>
      <c r="W174" s="27"/>
    </row>
    <row r="175" spans="1:23" ht="60" hidden="1" customHeight="1" x14ac:dyDescent="0.25">
      <c r="A175" s="45" t="str">
        <f>CONCATENATE(Tabla2[[#This Row],[id_solicitud]],Tabla2[[#This Row],[tipo]])</f>
        <v>46Decreto</v>
      </c>
      <c r="B175" s="45">
        <f>COUNTIF($A$2:A175,A175)</f>
        <v>1</v>
      </c>
      <c r="C175" s="45" t="str">
        <f>Tabla2[[#This Row],[(id_solicitud-tipo_documento)]]&amp;B175</f>
        <v>46Decreto1</v>
      </c>
      <c r="D175" s="45">
        <v>174</v>
      </c>
      <c r="E175" s="45">
        <v>46</v>
      </c>
      <c r="F175" s="45" t="s">
        <v>47</v>
      </c>
      <c r="G175" s="45" t="s">
        <v>43</v>
      </c>
      <c r="H175" s="50" t="s">
        <v>26</v>
      </c>
      <c r="I175" s="51">
        <v>176</v>
      </c>
      <c r="J175" s="80"/>
      <c r="K1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176 DV</v>
      </c>
      <c r="L175" s="48">
        <v>44595</v>
      </c>
      <c r="M175" s="48">
        <v>44741</v>
      </c>
      <c r="N175" s="49" t="s">
        <v>780</v>
      </c>
      <c r="O175" s="45"/>
      <c r="P175" s="80"/>
      <c r="Q175" s="48"/>
      <c r="R175" s="45"/>
      <c r="S175" s="115">
        <v>62</v>
      </c>
      <c r="T175" s="53">
        <v>44594</v>
      </c>
      <c r="U175" s="20">
        <v>44614</v>
      </c>
      <c r="V175" s="20">
        <v>44614</v>
      </c>
      <c r="W175" s="27"/>
    </row>
    <row r="176" spans="1:23" ht="60" hidden="1" customHeight="1" x14ac:dyDescent="0.25">
      <c r="A176" s="45" t="str">
        <f>CONCATENATE(Tabla2[[#This Row],[id_solicitud]],Tabla2[[#This Row],[tipo]])</f>
        <v>93Proposicion</v>
      </c>
      <c r="B176" s="45">
        <f>COUNTIF($A$2:A176,A176)</f>
        <v>1</v>
      </c>
      <c r="C176" s="45" t="str">
        <f>Tabla2[[#This Row],[(id_solicitud-tipo_documento)]]&amp;B176</f>
        <v>93Proposicion1</v>
      </c>
      <c r="D176" s="45">
        <v>175</v>
      </c>
      <c r="E176" s="45">
        <v>93</v>
      </c>
      <c r="F176" s="45" t="s">
        <v>46</v>
      </c>
      <c r="G176" s="45" t="s">
        <v>60</v>
      </c>
      <c r="H176" s="50" t="s">
        <v>26</v>
      </c>
      <c r="I176" s="51">
        <v>176</v>
      </c>
      <c r="J176" s="80"/>
      <c r="K1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176 DV</v>
      </c>
      <c r="L176" s="48">
        <v>44657</v>
      </c>
      <c r="M176" s="48">
        <v>44797</v>
      </c>
      <c r="N176" s="49" t="s">
        <v>144</v>
      </c>
      <c r="O176" s="45">
        <f>23+74</f>
        <v>97</v>
      </c>
      <c r="P176" s="80" t="s">
        <v>494</v>
      </c>
      <c r="Q176" s="24"/>
      <c r="R176" s="24" t="s">
        <v>24</v>
      </c>
      <c r="S176" s="114"/>
      <c r="T176" s="45"/>
      <c r="U176" s="48"/>
      <c r="V176" s="48"/>
      <c r="W176" s="27"/>
    </row>
    <row r="177" spans="1:23" ht="60" hidden="1" customHeight="1" x14ac:dyDescent="0.25">
      <c r="A177" s="45" t="str">
        <f>CONCATENATE(Tabla2[[#This Row],[id_solicitud]],Tabla2[[#This Row],[tipo]])</f>
        <v>38Decreto</v>
      </c>
      <c r="B177" s="45">
        <f>COUNTIF($A$2:A177,A177)</f>
        <v>1</v>
      </c>
      <c r="C177" s="45" t="str">
        <f>Tabla2[[#This Row],[(id_solicitud-tipo_documento)]]&amp;B177</f>
        <v>38Decreto1</v>
      </c>
      <c r="D177" s="45">
        <v>176</v>
      </c>
      <c r="E177" s="45">
        <v>38</v>
      </c>
      <c r="F177" s="45" t="s">
        <v>47</v>
      </c>
      <c r="G177" s="45" t="s">
        <v>57</v>
      </c>
      <c r="H177" s="50" t="s">
        <v>16</v>
      </c>
      <c r="I177" s="51">
        <v>177</v>
      </c>
      <c r="J177" s="80"/>
      <c r="K1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177 DGC</v>
      </c>
      <c r="L177" s="48">
        <v>44595</v>
      </c>
      <c r="M177" s="48">
        <v>44741</v>
      </c>
      <c r="N177" s="49" t="s">
        <v>776</v>
      </c>
      <c r="O177" s="45"/>
      <c r="P177" s="80"/>
      <c r="Q177" s="48"/>
      <c r="R177" s="45"/>
      <c r="S177" s="115">
        <v>48</v>
      </c>
      <c r="T177" s="20">
        <v>44586</v>
      </c>
      <c r="U177" s="20">
        <v>44614</v>
      </c>
      <c r="V177" s="20">
        <v>44614</v>
      </c>
      <c r="W177" s="27"/>
    </row>
    <row r="178" spans="1:23" ht="60" hidden="1" customHeight="1" x14ac:dyDescent="0.25">
      <c r="A178" s="45" t="str">
        <f>CONCATENATE(Tabla2[[#This Row],[id_solicitud]],Tabla2[[#This Row],[tipo]])</f>
        <v>94Proposicion</v>
      </c>
      <c r="B178" s="45">
        <f>COUNTIF($A$2:A178,A178)</f>
        <v>1</v>
      </c>
      <c r="C178" s="45" t="str">
        <f>Tabla2[[#This Row],[(id_solicitud-tipo_documento)]]&amp;B178</f>
        <v>94Proposicion1</v>
      </c>
      <c r="D178" s="45">
        <v>177</v>
      </c>
      <c r="E178" s="45">
        <v>94</v>
      </c>
      <c r="F178" s="45" t="s">
        <v>46</v>
      </c>
      <c r="G178" s="45" t="s">
        <v>60</v>
      </c>
      <c r="H178" s="50" t="s">
        <v>538</v>
      </c>
      <c r="I178" s="51">
        <v>177</v>
      </c>
      <c r="J178" s="80"/>
      <c r="K1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177 DV_FETCovid19</v>
      </c>
      <c r="L178" s="48">
        <v>44657</v>
      </c>
      <c r="M178" s="48">
        <v>44799</v>
      </c>
      <c r="N178" s="49" t="s">
        <v>145</v>
      </c>
      <c r="O178" s="45">
        <v>5</v>
      </c>
      <c r="P178" s="80" t="s">
        <v>494</v>
      </c>
      <c r="Q178" s="24"/>
      <c r="R178" s="24" t="s">
        <v>24</v>
      </c>
      <c r="S178" s="114"/>
      <c r="T178" s="45"/>
      <c r="U178" s="48"/>
      <c r="V178" s="48"/>
      <c r="W178" s="27"/>
    </row>
    <row r="179" spans="1:23" ht="60" hidden="1" customHeight="1" x14ac:dyDescent="0.25">
      <c r="A179" s="45" t="str">
        <f>CONCATENATE(Tabla2[[#This Row],[id_solicitud]],Tabla2[[#This Row],[tipo]])</f>
        <v>122Proposicion</v>
      </c>
      <c r="B179" s="45">
        <f>COUNTIF($A$2:A179,A179)</f>
        <v>1</v>
      </c>
      <c r="C179" s="45" t="str">
        <f>Tabla2[[#This Row],[(id_solicitud-tipo_documento)]]&amp;B179</f>
        <v>122Proposicion1</v>
      </c>
      <c r="D179" s="45">
        <v>178</v>
      </c>
      <c r="E179" s="45">
        <v>122</v>
      </c>
      <c r="F179" s="45" t="s">
        <v>46</v>
      </c>
      <c r="G179" s="45" t="s">
        <v>1258</v>
      </c>
      <c r="H179" s="50" t="s">
        <v>538</v>
      </c>
      <c r="I179" s="51">
        <v>178</v>
      </c>
      <c r="J179" s="80"/>
      <c r="K1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178 DV_FETCovid19</v>
      </c>
      <c r="L179" s="48">
        <v>44657</v>
      </c>
      <c r="M179" s="48">
        <v>44799</v>
      </c>
      <c r="N179" s="49" t="s">
        <v>169</v>
      </c>
      <c r="O179" s="45">
        <v>11</v>
      </c>
      <c r="P179" s="80" t="s">
        <v>494</v>
      </c>
      <c r="Q179" s="24"/>
      <c r="R179" s="24" t="s">
        <v>24</v>
      </c>
      <c r="S179" s="114"/>
      <c r="T179" s="45"/>
      <c r="U179" s="48"/>
      <c r="V179" s="48"/>
      <c r="W179" s="27"/>
    </row>
    <row r="180" spans="1:23" ht="60" hidden="1" customHeight="1" x14ac:dyDescent="0.25">
      <c r="A180" s="45" t="str">
        <f>CONCATENATE(Tabla2[[#This Row],[id_solicitud]],Tabla2[[#This Row],[tipo]])</f>
        <v>114Oficio_Solicitud</v>
      </c>
      <c r="B180" s="45">
        <f>COUNTIF($A$2:A180,A180)</f>
        <v>1</v>
      </c>
      <c r="C180" s="45" t="str">
        <f>Tabla2[[#This Row],[(id_solicitud-tipo_documento)]]&amp;B180</f>
        <v>114Oficio_Solicitud1</v>
      </c>
      <c r="D180" s="45">
        <v>179</v>
      </c>
      <c r="E180" s="45">
        <v>114</v>
      </c>
      <c r="F180" s="45" t="s">
        <v>53</v>
      </c>
      <c r="G180" s="45" t="s">
        <v>1258</v>
      </c>
      <c r="H180" s="50" t="s">
        <v>22</v>
      </c>
      <c r="I180" s="51">
        <v>179</v>
      </c>
      <c r="J180" s="80"/>
      <c r="K1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179 DOP</v>
      </c>
      <c r="L180" s="48">
        <v>44631</v>
      </c>
      <c r="M180" s="48">
        <v>44631</v>
      </c>
      <c r="N180" s="49" t="s">
        <v>161</v>
      </c>
      <c r="O180" s="45">
        <v>1</v>
      </c>
      <c r="P180" s="80" t="s">
        <v>494</v>
      </c>
      <c r="Q180" s="48"/>
      <c r="R180" s="45"/>
      <c r="S180" s="114"/>
      <c r="T180" s="52"/>
      <c r="U180" s="48"/>
      <c r="V180" s="48"/>
      <c r="W180" s="27"/>
    </row>
    <row r="181" spans="1:23" ht="60" hidden="1" customHeight="1" x14ac:dyDescent="0.25">
      <c r="A181" s="45" t="str">
        <f>CONCATENATE(Tabla2[[#This Row],[id_solicitud]],Tabla2[[#This Row],[tipo]])</f>
        <v>133Proposicion</v>
      </c>
      <c r="B181" s="45">
        <f>COUNTIF($A$2:A181,A181)</f>
        <v>1</v>
      </c>
      <c r="C181" s="45" t="str">
        <f>Tabla2[[#This Row],[(id_solicitud-tipo_documento)]]&amp;B181</f>
        <v>133Proposicion1</v>
      </c>
      <c r="D181" s="45">
        <v>180</v>
      </c>
      <c r="E181" s="45">
        <v>133</v>
      </c>
      <c r="F181" s="45" t="s">
        <v>46</v>
      </c>
      <c r="G181" s="45" t="s">
        <v>1258</v>
      </c>
      <c r="H181" s="50" t="s">
        <v>26</v>
      </c>
      <c r="I181" s="51">
        <v>179</v>
      </c>
      <c r="J181" s="80"/>
      <c r="K1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179 DV</v>
      </c>
      <c r="L181" s="48">
        <v>44657</v>
      </c>
      <c r="M181" s="48">
        <v>44799</v>
      </c>
      <c r="N181" s="49" t="s">
        <v>178</v>
      </c>
      <c r="O181" s="45">
        <v>44</v>
      </c>
      <c r="P181" s="80" t="s">
        <v>494</v>
      </c>
      <c r="Q181" s="24"/>
      <c r="R181" s="24" t="s">
        <v>24</v>
      </c>
      <c r="S181" s="114"/>
      <c r="T181" s="45"/>
      <c r="U181" s="48"/>
      <c r="V181" s="48"/>
      <c r="W181" s="27"/>
    </row>
    <row r="182" spans="1:23" ht="60" hidden="1" customHeight="1" x14ac:dyDescent="0.25">
      <c r="A182" s="45" t="str">
        <f>CONCATENATE(Tabla2[[#This Row],[id_solicitud]],Tabla2[[#This Row],[tipo]])</f>
        <v>139Oficio_Solicitud</v>
      </c>
      <c r="B182" s="45">
        <f>COUNTIF($A$2:A182,A182)</f>
        <v>1</v>
      </c>
      <c r="C182" s="45" t="str">
        <f>Tabla2[[#This Row],[(id_solicitud-tipo_documento)]]&amp;B182</f>
        <v>139Oficio_Solicitud1</v>
      </c>
      <c r="D182" s="45">
        <v>181</v>
      </c>
      <c r="E182" s="45">
        <v>139</v>
      </c>
      <c r="F182" s="45" t="s">
        <v>53</v>
      </c>
      <c r="G182" s="45" t="s">
        <v>43</v>
      </c>
      <c r="H182" s="50" t="s">
        <v>12</v>
      </c>
      <c r="I182" s="51">
        <v>179</v>
      </c>
      <c r="J182" s="80"/>
      <c r="K1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179 DCyF</v>
      </c>
      <c r="L182" s="48">
        <v>44643</v>
      </c>
      <c r="M182" s="48">
        <v>44799</v>
      </c>
      <c r="N182" s="49" t="s">
        <v>184</v>
      </c>
      <c r="O182" s="45"/>
      <c r="P182" s="80" t="s">
        <v>505</v>
      </c>
      <c r="Q182" s="48"/>
      <c r="R182" s="45"/>
      <c r="S182" s="114"/>
      <c r="T182" s="52"/>
      <c r="U182" s="48"/>
      <c r="V182" s="48"/>
      <c r="W182" s="27"/>
    </row>
    <row r="183" spans="1:23" ht="60" hidden="1" customHeight="1" x14ac:dyDescent="0.25">
      <c r="A183" s="45" t="str">
        <f>CONCATENATE(Tabla2[[#This Row],[id_solicitud]],Tabla2[[#This Row],[tipo]])</f>
        <v>115Oficio_Solicitud</v>
      </c>
      <c r="B183" s="45">
        <f>COUNTIF($A$2:A183,A183)</f>
        <v>1</v>
      </c>
      <c r="C183" s="45" t="str">
        <f>Tabla2[[#This Row],[(id_solicitud-tipo_documento)]]&amp;B183</f>
        <v>115Oficio_Solicitud1</v>
      </c>
      <c r="D183" s="45">
        <v>182</v>
      </c>
      <c r="E183" s="45">
        <v>115</v>
      </c>
      <c r="F183" s="45" t="s">
        <v>53</v>
      </c>
      <c r="G183" s="45" t="s">
        <v>1258</v>
      </c>
      <c r="H183" s="50" t="s">
        <v>22</v>
      </c>
      <c r="I183" s="51">
        <v>180</v>
      </c>
      <c r="J183" s="80"/>
      <c r="K1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180 DOP</v>
      </c>
      <c r="L183" s="48">
        <v>44631</v>
      </c>
      <c r="M183" s="48">
        <v>44799</v>
      </c>
      <c r="N183" s="49" t="s">
        <v>162</v>
      </c>
      <c r="O183" s="45">
        <v>1</v>
      </c>
      <c r="P183" s="80" t="s">
        <v>494</v>
      </c>
      <c r="Q183" s="48"/>
      <c r="R183" s="45"/>
      <c r="S183" s="114"/>
      <c r="T183" s="52"/>
      <c r="U183" s="48"/>
      <c r="V183" s="48"/>
      <c r="W183" s="27"/>
    </row>
    <row r="184" spans="1:23" ht="60" hidden="1" customHeight="1" x14ac:dyDescent="0.25">
      <c r="A184" s="45" t="str">
        <f>CONCATENATE(Tabla2[[#This Row],[id_solicitud]],Tabla2[[#This Row],[tipo]])</f>
        <v>81Oficio_Solicitud</v>
      </c>
      <c r="B184" s="45">
        <f>COUNTIF($A$2:A184,A184)</f>
        <v>1</v>
      </c>
      <c r="C184" s="45" t="str">
        <f>Tabla2[[#This Row],[(id_solicitud-tipo_documento)]]&amp;B184</f>
        <v>81Oficio_Solicitud1</v>
      </c>
      <c r="D184" s="45">
        <v>183</v>
      </c>
      <c r="E184" s="45">
        <v>81</v>
      </c>
      <c r="F184" s="45" t="s">
        <v>53</v>
      </c>
      <c r="G184" s="45" t="s">
        <v>60</v>
      </c>
      <c r="H184" s="50" t="s">
        <v>16</v>
      </c>
      <c r="I184" s="51">
        <v>181</v>
      </c>
      <c r="J184" s="80"/>
      <c r="K1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181 DGC</v>
      </c>
      <c r="L184" s="48">
        <v>44603</v>
      </c>
      <c r="M184" s="48">
        <v>44804</v>
      </c>
      <c r="N184" s="49" t="s">
        <v>133</v>
      </c>
      <c r="O184" s="45">
        <v>1</v>
      </c>
      <c r="P184" s="80" t="s">
        <v>494</v>
      </c>
      <c r="Q184" s="48">
        <v>44606</v>
      </c>
      <c r="R184" s="45"/>
      <c r="S184" s="114"/>
      <c r="T184" s="52"/>
      <c r="U184" s="48"/>
      <c r="V184" s="48"/>
      <c r="W184" s="27"/>
    </row>
    <row r="185" spans="1:23" ht="60" hidden="1" customHeight="1" x14ac:dyDescent="0.25">
      <c r="A185" s="45" t="str">
        <f>CONCATENATE(Tabla2[[#This Row],[id_solicitud]],Tabla2[[#This Row],[tipo]])</f>
        <v>116Oficio_Solicitud</v>
      </c>
      <c r="B185" s="45">
        <f>COUNTIF($A$2:A185,A185)</f>
        <v>1</v>
      </c>
      <c r="C185" s="45" t="str">
        <f>Tabla2[[#This Row],[(id_solicitud-tipo_documento)]]&amp;B185</f>
        <v>116Oficio_Solicitud1</v>
      </c>
      <c r="D185" s="45">
        <v>184</v>
      </c>
      <c r="E185" s="45">
        <v>116</v>
      </c>
      <c r="F185" s="45" t="s">
        <v>53</v>
      </c>
      <c r="G185" s="45" t="s">
        <v>1258</v>
      </c>
      <c r="H185" s="50" t="s">
        <v>22</v>
      </c>
      <c r="I185" s="51">
        <v>181</v>
      </c>
      <c r="J185" s="80"/>
      <c r="K1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181 DOP</v>
      </c>
      <c r="L185" s="48">
        <v>44631</v>
      </c>
      <c r="M185" s="48">
        <v>44805</v>
      </c>
      <c r="N185" s="49" t="s">
        <v>163</v>
      </c>
      <c r="O185" s="45">
        <v>1</v>
      </c>
      <c r="P185" s="80" t="s">
        <v>494</v>
      </c>
      <c r="Q185" s="48"/>
      <c r="R185" s="45"/>
      <c r="S185" s="114"/>
      <c r="T185" s="52"/>
      <c r="U185" s="48"/>
      <c r="V185" s="48"/>
      <c r="W185" s="27"/>
    </row>
    <row r="186" spans="1:23" ht="60" hidden="1" customHeight="1" x14ac:dyDescent="0.25">
      <c r="A186" s="45" t="str">
        <f>CONCATENATE(Tabla2[[#This Row],[id_solicitud]],Tabla2[[#This Row],[tipo]])</f>
        <v>238Oficio_Solicitud</v>
      </c>
      <c r="B186" s="45">
        <f>COUNTIF($A$2:A186,A186)</f>
        <v>1</v>
      </c>
      <c r="C186" s="45" t="str">
        <f>Tabla2[[#This Row],[(id_solicitud-tipo_documento)]]&amp;B186</f>
        <v>238Oficio_Solicitud1</v>
      </c>
      <c r="D186" s="45">
        <v>185</v>
      </c>
      <c r="E186" s="45">
        <v>238</v>
      </c>
      <c r="F186" s="45" t="s">
        <v>53</v>
      </c>
      <c r="G186" s="45" t="s">
        <v>40</v>
      </c>
      <c r="H186" s="50" t="s">
        <v>547</v>
      </c>
      <c r="I186" s="51">
        <v>181</v>
      </c>
      <c r="J186" s="80"/>
      <c r="K1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181 DGOP_FETCovid19</v>
      </c>
      <c r="L186" s="48">
        <v>44708</v>
      </c>
      <c r="M186" s="48">
        <v>44805</v>
      </c>
      <c r="N186" s="49" t="s">
        <v>266</v>
      </c>
      <c r="O186" s="45"/>
      <c r="P186" s="80" t="s">
        <v>515</v>
      </c>
      <c r="Q186" s="48"/>
      <c r="R186" s="45"/>
      <c r="S186" s="114"/>
      <c r="T186" s="52"/>
      <c r="U186" s="48"/>
      <c r="V186" s="48"/>
      <c r="W186" s="27"/>
    </row>
    <row r="187" spans="1:23" ht="60" hidden="1" customHeight="1" x14ac:dyDescent="0.25">
      <c r="A187" s="45" t="str">
        <f>CONCATENATE(Tabla2[[#This Row],[id_solicitud]],Tabla2[[#This Row],[tipo]])</f>
        <v>137Proposicion</v>
      </c>
      <c r="B187" s="45">
        <f>COUNTIF($A$2:A187,A187)</f>
        <v>1</v>
      </c>
      <c r="C187" s="45" t="str">
        <f>Tabla2[[#This Row],[(id_solicitud-tipo_documento)]]&amp;B187</f>
        <v>137Proposicion1</v>
      </c>
      <c r="D187" s="45">
        <v>186</v>
      </c>
      <c r="E187" s="45">
        <v>137</v>
      </c>
      <c r="F187" s="45" t="s">
        <v>46</v>
      </c>
      <c r="G187" s="45" t="s">
        <v>1258</v>
      </c>
      <c r="H187" s="50" t="s">
        <v>26</v>
      </c>
      <c r="I187" s="51">
        <v>183</v>
      </c>
      <c r="J187" s="80"/>
      <c r="K1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183 DV</v>
      </c>
      <c r="L187" s="48">
        <v>44658</v>
      </c>
      <c r="M187" s="48">
        <v>44805</v>
      </c>
      <c r="N187" s="49" t="s">
        <v>182</v>
      </c>
      <c r="O187" s="45">
        <v>28</v>
      </c>
      <c r="P187" s="80" t="s">
        <v>494</v>
      </c>
      <c r="Q187" s="24"/>
      <c r="R187" s="24" t="s">
        <v>24</v>
      </c>
      <c r="S187" s="114"/>
      <c r="T187" s="45"/>
      <c r="U187" s="48"/>
      <c r="V187" s="48"/>
      <c r="W187" s="27"/>
    </row>
    <row r="188" spans="1:23" ht="60" hidden="1" customHeight="1" x14ac:dyDescent="0.25">
      <c r="A188" s="45" t="str">
        <f>CONCATENATE(Tabla2[[#This Row],[id_solicitud]],Tabla2[[#This Row],[tipo]])</f>
        <v>188Oficio_Solicitud</v>
      </c>
      <c r="B188" s="45">
        <f>COUNTIF($A$2:A188,A188)</f>
        <v>1</v>
      </c>
      <c r="C188" s="45" t="str">
        <f>Tabla2[[#This Row],[(id_solicitud-tipo_documento)]]&amp;B188</f>
        <v>188Oficio_Solicitud1</v>
      </c>
      <c r="D188" s="45">
        <v>187</v>
      </c>
      <c r="E188" s="45">
        <v>188</v>
      </c>
      <c r="F188" s="45" t="s">
        <v>53</v>
      </c>
      <c r="G188" s="45" t="s">
        <v>60</v>
      </c>
      <c r="H188" s="50" t="s">
        <v>565</v>
      </c>
      <c r="I188" s="51">
        <v>183</v>
      </c>
      <c r="J188" s="80"/>
      <c r="K1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183 DGA_FETCovid19</v>
      </c>
      <c r="L188" s="48">
        <v>44685</v>
      </c>
      <c r="M188" s="48">
        <v>44805</v>
      </c>
      <c r="N188" s="49" t="s">
        <v>223</v>
      </c>
      <c r="O188" s="45">
        <v>3</v>
      </c>
      <c r="P188" s="80" t="s">
        <v>494</v>
      </c>
      <c r="Q188" s="48"/>
      <c r="R188" s="45"/>
      <c r="S188" s="114"/>
      <c r="T188" s="52"/>
      <c r="U188" s="48"/>
      <c r="V188" s="48"/>
      <c r="W188" s="27"/>
    </row>
    <row r="189" spans="1:23" ht="60" hidden="1" customHeight="1" x14ac:dyDescent="0.25">
      <c r="A189" s="45" t="str">
        <f>CONCATENATE(Tabla2[[#This Row],[id_solicitud]],Tabla2[[#This Row],[tipo]])</f>
        <v>217Oficio_Solicitud</v>
      </c>
      <c r="B189" s="45">
        <f>COUNTIF($A$2:A189,A189)</f>
        <v>1</v>
      </c>
      <c r="C189" s="45" t="str">
        <f>Tabla2[[#This Row],[(id_solicitud-tipo_documento)]]&amp;B189</f>
        <v>217Oficio_Solicitud1</v>
      </c>
      <c r="D189" s="45">
        <v>188</v>
      </c>
      <c r="E189" s="45">
        <v>217</v>
      </c>
      <c r="F189" s="45" t="s">
        <v>53</v>
      </c>
      <c r="G189" s="45" t="s">
        <v>40</v>
      </c>
      <c r="H189" s="50" t="s">
        <v>547</v>
      </c>
      <c r="I189" s="51">
        <v>183</v>
      </c>
      <c r="J189" s="80"/>
      <c r="K1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183 DGOP_FETCovid19</v>
      </c>
      <c r="L189" s="48">
        <v>44708</v>
      </c>
      <c r="M189" s="48">
        <v>44804</v>
      </c>
      <c r="N189" s="49" t="s">
        <v>245</v>
      </c>
      <c r="O189" s="45"/>
      <c r="P189" s="80" t="s">
        <v>498</v>
      </c>
      <c r="Q189" s="48"/>
      <c r="R189" s="45"/>
      <c r="S189" s="114"/>
      <c r="T189" s="52"/>
      <c r="U189" s="48"/>
      <c r="V189" s="48"/>
      <c r="W189" s="27"/>
    </row>
    <row r="190" spans="1:23" ht="60" hidden="1" customHeight="1" x14ac:dyDescent="0.25">
      <c r="A190" s="45" t="str">
        <f>CONCATENATE(Tabla2[[#This Row],[id_solicitud]],Tabla2[[#This Row],[tipo]])</f>
        <v>47Proposicion</v>
      </c>
      <c r="B190" s="45">
        <f>COUNTIF($A$2:A190,A190)</f>
        <v>1</v>
      </c>
      <c r="C190" s="45" t="str">
        <f>Tabla2[[#This Row],[(id_solicitud-tipo_documento)]]&amp;B190</f>
        <v>47Proposicion1</v>
      </c>
      <c r="D190" s="45">
        <v>189</v>
      </c>
      <c r="E190" s="45">
        <v>47</v>
      </c>
      <c r="F190" s="45" t="s">
        <v>46</v>
      </c>
      <c r="G190" s="45" t="s">
        <v>44</v>
      </c>
      <c r="H190" s="50" t="s">
        <v>33</v>
      </c>
      <c r="I190" s="51">
        <v>184</v>
      </c>
      <c r="J190" s="80"/>
      <c r="K1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184 SISS</v>
      </c>
      <c r="L190" s="48">
        <v>44579</v>
      </c>
      <c r="M190" s="48">
        <v>44805</v>
      </c>
      <c r="N190" s="49" t="s">
        <v>625</v>
      </c>
      <c r="O190" s="45"/>
      <c r="P190" s="80" t="s">
        <v>498</v>
      </c>
      <c r="Q190" s="24"/>
      <c r="R190" s="24" t="s">
        <v>33</v>
      </c>
      <c r="S190" s="114"/>
      <c r="T190" s="45"/>
      <c r="U190" s="48"/>
      <c r="V190" s="48"/>
      <c r="W190" s="27"/>
    </row>
    <row r="191" spans="1:23" ht="60" hidden="1" customHeight="1" x14ac:dyDescent="0.25">
      <c r="A191" s="45" t="str">
        <f>CONCATENATE(Tabla2[[#This Row],[id_solicitud]],Tabla2[[#This Row],[tipo]])</f>
        <v>149Proposicion</v>
      </c>
      <c r="B191" s="45">
        <f>COUNTIF($A$2:A191,A191)</f>
        <v>1</v>
      </c>
      <c r="C191" s="45" t="str">
        <f>Tabla2[[#This Row],[(id_solicitud-tipo_documento)]]&amp;B191</f>
        <v>149Proposicion1</v>
      </c>
      <c r="D191" s="45">
        <v>190</v>
      </c>
      <c r="E191" s="45">
        <v>149</v>
      </c>
      <c r="F191" s="45" t="s">
        <v>46</v>
      </c>
      <c r="G191" s="45" t="s">
        <v>1258</v>
      </c>
      <c r="H191" s="50" t="s">
        <v>22</v>
      </c>
      <c r="I191" s="51">
        <v>184</v>
      </c>
      <c r="J191" s="80"/>
      <c r="K1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184 DOP</v>
      </c>
      <c r="L191" s="48">
        <v>44658</v>
      </c>
      <c r="M191" s="48">
        <v>44804</v>
      </c>
      <c r="N191" s="49" t="s">
        <v>648</v>
      </c>
      <c r="O191" s="45">
        <v>1</v>
      </c>
      <c r="P191" s="80" t="s">
        <v>494</v>
      </c>
      <c r="Q191" s="24"/>
      <c r="R191" s="24" t="s">
        <v>24</v>
      </c>
      <c r="S191" s="114"/>
      <c r="T191" s="45"/>
      <c r="U191" s="48"/>
      <c r="V191" s="48"/>
      <c r="W191" s="27"/>
    </row>
    <row r="192" spans="1:23" ht="60" hidden="1" customHeight="1" x14ac:dyDescent="0.25">
      <c r="A192" s="45" t="str">
        <f>CONCATENATE(Tabla2[[#This Row],[id_solicitud]],Tabla2[[#This Row],[tipo]])</f>
        <v>199Oficio_Solicitud</v>
      </c>
      <c r="B192" s="45">
        <f>COUNTIF($A$2:A192,A192)</f>
        <v>1</v>
      </c>
      <c r="C192" s="45" t="str">
        <f>Tabla2[[#This Row],[(id_solicitud-tipo_documento)]]&amp;B192</f>
        <v>199Oficio_Solicitud1</v>
      </c>
      <c r="D192" s="45">
        <v>191</v>
      </c>
      <c r="E192" s="45">
        <v>199</v>
      </c>
      <c r="F192" s="45" t="s">
        <v>53</v>
      </c>
      <c r="G192" s="45" t="s">
        <v>44</v>
      </c>
      <c r="H192" s="50" t="s">
        <v>14</v>
      </c>
      <c r="I192" s="51">
        <v>184</v>
      </c>
      <c r="J192" s="80"/>
      <c r="K1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184 DGA</v>
      </c>
      <c r="L192" s="48">
        <v>44685</v>
      </c>
      <c r="M192" s="48">
        <v>44811</v>
      </c>
      <c r="N192" s="49" t="s">
        <v>230</v>
      </c>
      <c r="O192" s="45"/>
      <c r="P192" s="80" t="s">
        <v>498</v>
      </c>
      <c r="Q192" s="48"/>
      <c r="R192" s="45"/>
      <c r="S192" s="114"/>
      <c r="T192" s="52"/>
      <c r="U192" s="48"/>
      <c r="V192" s="48"/>
      <c r="W192" s="27"/>
    </row>
    <row r="193" spans="1:23" ht="60" hidden="1" customHeight="1" x14ac:dyDescent="0.25">
      <c r="A193" s="45" t="str">
        <f>CONCATENATE(Tabla2[[#This Row],[id_solicitud]],Tabla2[[#This Row],[tipo]])</f>
        <v>199Proposicion</v>
      </c>
      <c r="B193" s="45">
        <f>COUNTIF($A$2:A193,A193)</f>
        <v>1</v>
      </c>
      <c r="C193" s="45" t="str">
        <f>Tabla2[[#This Row],[(id_solicitud-tipo_documento)]]&amp;B193</f>
        <v>199Proposicion1</v>
      </c>
      <c r="D193" s="45">
        <v>192</v>
      </c>
      <c r="E193" s="45">
        <v>199</v>
      </c>
      <c r="F193" s="45" t="s">
        <v>46</v>
      </c>
      <c r="G193" s="45" t="s">
        <v>44</v>
      </c>
      <c r="H193" s="50" t="s">
        <v>14</v>
      </c>
      <c r="I193" s="51">
        <v>184</v>
      </c>
      <c r="J193" s="80"/>
      <c r="K1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184 DGA</v>
      </c>
      <c r="L193" s="48">
        <v>44685</v>
      </c>
      <c r="M193" s="48">
        <v>44685</v>
      </c>
      <c r="N193" s="49" t="s">
        <v>230</v>
      </c>
      <c r="O193" s="45"/>
      <c r="P193" s="80" t="s">
        <v>498</v>
      </c>
      <c r="Q193" s="24"/>
      <c r="R193" s="24" t="s">
        <v>749</v>
      </c>
      <c r="S193" s="114"/>
      <c r="T193" s="45"/>
      <c r="U193" s="48"/>
      <c r="V193" s="48"/>
      <c r="W193" s="27"/>
    </row>
    <row r="194" spans="1:23" ht="60" hidden="1" customHeight="1" x14ac:dyDescent="0.25">
      <c r="A194" s="45" t="str">
        <f>CONCATENATE(Tabla2[[#This Row],[id_solicitud]],Tabla2[[#This Row],[tipo]])</f>
        <v>143Proposicion</v>
      </c>
      <c r="B194" s="45">
        <f>COUNTIF($A$2:A194,A194)</f>
        <v>1</v>
      </c>
      <c r="C194" s="45" t="str">
        <f>Tabla2[[#This Row],[(id_solicitud-tipo_documento)]]&amp;B194</f>
        <v>143Proposicion1</v>
      </c>
      <c r="D194" s="45">
        <v>193</v>
      </c>
      <c r="E194" s="45">
        <v>143</v>
      </c>
      <c r="F194" s="45" t="s">
        <v>46</v>
      </c>
      <c r="G194" s="45" t="s">
        <v>1258</v>
      </c>
      <c r="H194" s="50" t="s">
        <v>538</v>
      </c>
      <c r="I194" s="51">
        <v>185</v>
      </c>
      <c r="J194" s="80"/>
      <c r="K1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185 DV_FETCovid19</v>
      </c>
      <c r="L194" s="48">
        <v>44658</v>
      </c>
      <c r="M194" s="48">
        <v>44813</v>
      </c>
      <c r="N194" s="49" t="s">
        <v>187</v>
      </c>
      <c r="O194" s="45">
        <v>10</v>
      </c>
      <c r="P194" s="80" t="s">
        <v>494</v>
      </c>
      <c r="Q194" s="24"/>
      <c r="R194" s="24" t="s">
        <v>24</v>
      </c>
      <c r="S194" s="114"/>
      <c r="T194" s="45"/>
      <c r="U194" s="48"/>
      <c r="V194" s="48"/>
      <c r="W194" s="27"/>
    </row>
    <row r="195" spans="1:23" ht="60" hidden="1" customHeight="1" x14ac:dyDescent="0.25">
      <c r="A195" s="45" t="str">
        <f>CONCATENATE(Tabla2[[#This Row],[id_solicitud]],Tabla2[[#This Row],[tipo]])</f>
        <v>148Proposicion</v>
      </c>
      <c r="B195" s="45">
        <f>COUNTIF($A$2:A195,A195)</f>
        <v>1</v>
      </c>
      <c r="C195" s="45" t="str">
        <f>Tabla2[[#This Row],[(id_solicitud-tipo_documento)]]&amp;B195</f>
        <v>148Proposicion1</v>
      </c>
      <c r="D195" s="45">
        <v>194</v>
      </c>
      <c r="E195" s="45">
        <v>148</v>
      </c>
      <c r="F195" s="45" t="s">
        <v>46</v>
      </c>
      <c r="G195" s="45" t="s">
        <v>1258</v>
      </c>
      <c r="H195" s="50" t="s">
        <v>544</v>
      </c>
      <c r="I195" s="51">
        <v>186</v>
      </c>
      <c r="J195" s="80"/>
      <c r="K1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186 DAP_FETCovid19</v>
      </c>
      <c r="L195" s="48">
        <v>44658</v>
      </c>
      <c r="M195" s="48">
        <v>44658</v>
      </c>
      <c r="N195" s="49" t="s">
        <v>647</v>
      </c>
      <c r="O195" s="45">
        <v>2</v>
      </c>
      <c r="P195" s="80" t="s">
        <v>494</v>
      </c>
      <c r="Q195" s="24"/>
      <c r="R195" s="24" t="s">
        <v>24</v>
      </c>
      <c r="S195" s="114"/>
      <c r="T195" s="45"/>
      <c r="U195" s="48"/>
      <c r="V195" s="48"/>
      <c r="W195" s="27"/>
    </row>
    <row r="196" spans="1:23" ht="60" hidden="1" customHeight="1" x14ac:dyDescent="0.25">
      <c r="A196" s="45" t="str">
        <f>CONCATENATE(Tabla2[[#This Row],[id_solicitud]],Tabla2[[#This Row],[tipo]])</f>
        <v>29Decreto</v>
      </c>
      <c r="B196" s="45">
        <f>COUNTIF($A$2:A196,A196)</f>
        <v>3</v>
      </c>
      <c r="C196" s="45" t="str">
        <f>Tabla2[[#This Row],[(id_solicitud-tipo_documento)]]&amp;B196</f>
        <v>29Decreto3</v>
      </c>
      <c r="D196" s="45">
        <v>195</v>
      </c>
      <c r="E196" s="45">
        <v>29</v>
      </c>
      <c r="F196" s="45" t="s">
        <v>47</v>
      </c>
      <c r="G196" s="45" t="s">
        <v>43</v>
      </c>
      <c r="H196" s="50" t="s">
        <v>26</v>
      </c>
      <c r="I196" s="51">
        <v>187</v>
      </c>
      <c r="J196" s="80"/>
      <c r="K1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187 DV</v>
      </c>
      <c r="L196" s="48">
        <v>44595</v>
      </c>
      <c r="M196" s="48">
        <v>44796</v>
      </c>
      <c r="N196" s="49" t="s">
        <v>798</v>
      </c>
      <c r="O196" s="45"/>
      <c r="P196" s="80"/>
      <c r="Q196" s="48"/>
      <c r="R196" s="45"/>
      <c r="S196" s="115">
        <v>23</v>
      </c>
      <c r="T196" s="20">
        <v>44581</v>
      </c>
      <c r="U196" s="20">
        <v>44614</v>
      </c>
      <c r="V196" s="20">
        <v>44614</v>
      </c>
      <c r="W196" s="27"/>
    </row>
    <row r="197" spans="1:23" ht="60" hidden="1" customHeight="1" x14ac:dyDescent="0.25">
      <c r="A197" s="45" t="str">
        <f>CONCATENATE(Tabla2[[#This Row],[id_solicitud]],Tabla2[[#This Row],[tipo]])</f>
        <v>86Oficio_Solicitud</v>
      </c>
      <c r="B197" s="45">
        <f>COUNTIF($A$2:A197,A197)</f>
        <v>1</v>
      </c>
      <c r="C197" s="45" t="str">
        <f>Tabla2[[#This Row],[(id_solicitud-tipo_documento)]]&amp;B197</f>
        <v>86Oficio_Solicitud1</v>
      </c>
      <c r="D197" s="45">
        <v>196</v>
      </c>
      <c r="E197" s="45">
        <v>86</v>
      </c>
      <c r="F197" s="45" t="s">
        <v>53</v>
      </c>
      <c r="G197" s="45" t="s">
        <v>44</v>
      </c>
      <c r="H197" s="50" t="s">
        <v>532</v>
      </c>
      <c r="I197" s="51">
        <v>187</v>
      </c>
      <c r="J197" s="80"/>
      <c r="K1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187 DA_FETCovid19</v>
      </c>
      <c r="L197" s="48">
        <v>44610</v>
      </c>
      <c r="M197" s="48">
        <v>44824</v>
      </c>
      <c r="N197" s="49" t="s">
        <v>137</v>
      </c>
      <c r="O197" s="45"/>
      <c r="P197" s="80" t="s">
        <v>498</v>
      </c>
      <c r="Q197" s="48"/>
      <c r="R197" s="45"/>
      <c r="S197" s="114"/>
      <c r="T197" s="52"/>
      <c r="U197" s="48"/>
      <c r="V197" s="48"/>
      <c r="W197" s="27"/>
    </row>
    <row r="198" spans="1:23" ht="60" hidden="1" customHeight="1" x14ac:dyDescent="0.25">
      <c r="A198" s="45" t="str">
        <f>CONCATENATE(Tabla2[[#This Row],[id_solicitud]],Tabla2[[#This Row],[tipo]])</f>
        <v>106Proposicion</v>
      </c>
      <c r="B198" s="45">
        <f>COUNTIF($A$2:A198,A198)</f>
        <v>1</v>
      </c>
      <c r="C198" s="45" t="str">
        <f>Tabla2[[#This Row],[(id_solicitud-tipo_documento)]]&amp;B198</f>
        <v>106Proposicion1</v>
      </c>
      <c r="D198" s="45">
        <v>197</v>
      </c>
      <c r="E198" s="45">
        <v>106</v>
      </c>
      <c r="F198" s="45" t="s">
        <v>46</v>
      </c>
      <c r="G198" s="45" t="s">
        <v>60</v>
      </c>
      <c r="H198" s="50" t="s">
        <v>20</v>
      </c>
      <c r="I198" s="51">
        <v>188</v>
      </c>
      <c r="J198" s="80"/>
      <c r="K1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188 DOH</v>
      </c>
      <c r="L198" s="48">
        <v>44658</v>
      </c>
      <c r="M198" s="48">
        <v>44819</v>
      </c>
      <c r="N198" s="49" t="s">
        <v>155</v>
      </c>
      <c r="O198" s="45">
        <v>1</v>
      </c>
      <c r="P198" s="80" t="s">
        <v>494</v>
      </c>
      <c r="Q198" s="24"/>
      <c r="R198" s="24" t="s">
        <v>24</v>
      </c>
      <c r="S198" s="114"/>
      <c r="T198" s="45"/>
      <c r="U198" s="48"/>
      <c r="V198" s="48"/>
      <c r="W198" s="27"/>
    </row>
    <row r="199" spans="1:23" ht="60" hidden="1" customHeight="1" x14ac:dyDescent="0.25">
      <c r="A199" s="45" t="str">
        <f>CONCATENATE(Tabla2[[#This Row],[id_solicitud]],Tabla2[[#This Row],[tipo]])</f>
        <v>121Oficio_Solicitud</v>
      </c>
      <c r="B199" s="45">
        <f>COUNTIF($A$2:A199,A199)</f>
        <v>1</v>
      </c>
      <c r="C199" s="45" t="str">
        <f>Tabla2[[#This Row],[(id_solicitud-tipo_documento)]]&amp;B199</f>
        <v>121Oficio_Solicitud1</v>
      </c>
      <c r="D199" s="45">
        <v>198</v>
      </c>
      <c r="E199" s="45">
        <v>121</v>
      </c>
      <c r="F199" s="45" t="s">
        <v>53</v>
      </c>
      <c r="G199" s="45" t="s">
        <v>1258</v>
      </c>
      <c r="H199" s="50" t="s">
        <v>22</v>
      </c>
      <c r="I199" s="51">
        <v>188</v>
      </c>
      <c r="J199" s="80"/>
      <c r="K1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188 DOP</v>
      </c>
      <c r="L199" s="48">
        <v>44634</v>
      </c>
      <c r="M199" s="48">
        <v>44634</v>
      </c>
      <c r="N199" s="49" t="s">
        <v>168</v>
      </c>
      <c r="O199" s="45">
        <v>1</v>
      </c>
      <c r="P199" s="80" t="s">
        <v>494</v>
      </c>
      <c r="Q199" s="48"/>
      <c r="R199" s="45"/>
      <c r="S199" s="114"/>
      <c r="T199" s="52"/>
      <c r="U199" s="48"/>
      <c r="V199" s="48"/>
      <c r="W199" s="27"/>
    </row>
    <row r="200" spans="1:23" ht="60" hidden="1" customHeight="1" x14ac:dyDescent="0.25">
      <c r="A200" s="45" t="str">
        <f>CONCATENATE(Tabla2[[#This Row],[id_solicitud]],Tabla2[[#This Row],[tipo]])</f>
        <v>192Oficio_Solicitud</v>
      </c>
      <c r="B200" s="45">
        <f>COUNTIF($A$2:A200,A200)</f>
        <v>1</v>
      </c>
      <c r="C200" s="45" t="str">
        <f>Tabla2[[#This Row],[(id_solicitud-tipo_documento)]]&amp;B200</f>
        <v>192Oficio_Solicitud1</v>
      </c>
      <c r="D200" s="45">
        <v>199</v>
      </c>
      <c r="E200" s="45">
        <v>192</v>
      </c>
      <c r="F200" s="45" t="s">
        <v>53</v>
      </c>
      <c r="G200" s="45" t="s">
        <v>44</v>
      </c>
      <c r="H200" s="50" t="s">
        <v>14</v>
      </c>
      <c r="I200" s="51">
        <v>190</v>
      </c>
      <c r="J200" s="80"/>
      <c r="K2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190 DGA</v>
      </c>
      <c r="L200" s="48">
        <v>44687</v>
      </c>
      <c r="M200" s="48">
        <v>44687</v>
      </c>
      <c r="N200" s="49" t="s">
        <v>225</v>
      </c>
      <c r="O200" s="45"/>
      <c r="P200" s="80" t="s">
        <v>498</v>
      </c>
      <c r="Q200" s="48"/>
      <c r="R200" s="45"/>
      <c r="S200" s="114"/>
      <c r="T200" s="52"/>
      <c r="U200" s="48"/>
      <c r="V200" s="48"/>
      <c r="W200" s="27"/>
    </row>
    <row r="201" spans="1:23" ht="60" hidden="1" customHeight="1" x14ac:dyDescent="0.25">
      <c r="A201" s="45" t="str">
        <f>CONCATENATE(Tabla2[[#This Row],[id_solicitud]],Tabla2[[#This Row],[tipo]])</f>
        <v>192Proposicion</v>
      </c>
      <c r="B201" s="45">
        <f>COUNTIF($A$2:A201,A201)</f>
        <v>1</v>
      </c>
      <c r="C201" s="45" t="str">
        <f>Tabla2[[#This Row],[(id_solicitud-tipo_documento)]]&amp;B201</f>
        <v>192Proposicion1</v>
      </c>
      <c r="D201" s="45">
        <v>200</v>
      </c>
      <c r="E201" s="45">
        <v>192</v>
      </c>
      <c r="F201" s="45" t="s">
        <v>46</v>
      </c>
      <c r="G201" s="45" t="s">
        <v>44</v>
      </c>
      <c r="H201" s="50" t="s">
        <v>14</v>
      </c>
      <c r="I201" s="51">
        <v>190</v>
      </c>
      <c r="J201" s="80"/>
      <c r="K2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190 DGA</v>
      </c>
      <c r="L201" s="48">
        <v>44687</v>
      </c>
      <c r="M201" s="48">
        <v>44819</v>
      </c>
      <c r="N201" s="49" t="s">
        <v>225</v>
      </c>
      <c r="O201" s="45"/>
      <c r="P201" s="80" t="s">
        <v>498</v>
      </c>
      <c r="Q201" s="24"/>
      <c r="R201" s="24" t="s">
        <v>749</v>
      </c>
      <c r="S201" s="114"/>
      <c r="T201" s="45"/>
      <c r="U201" s="48"/>
      <c r="V201" s="48"/>
      <c r="W201" s="27"/>
    </row>
    <row r="202" spans="1:23" ht="60" hidden="1" customHeight="1" x14ac:dyDescent="0.25">
      <c r="A202" s="45" t="str">
        <f>CONCATENATE(Tabla2[[#This Row],[id_solicitud]],Tabla2[[#This Row],[tipo]])</f>
        <v>124Proposicion</v>
      </c>
      <c r="B202" s="45">
        <f>COUNTIF($A$2:A202,A202)</f>
        <v>1</v>
      </c>
      <c r="C202" s="45" t="str">
        <f>Tabla2[[#This Row],[(id_solicitud-tipo_documento)]]&amp;B202</f>
        <v>124Proposicion1</v>
      </c>
      <c r="D202" s="45">
        <v>201</v>
      </c>
      <c r="E202" s="45">
        <v>124</v>
      </c>
      <c r="F202" s="45" t="s">
        <v>46</v>
      </c>
      <c r="G202" s="45" t="s">
        <v>60</v>
      </c>
      <c r="H202" s="50" t="s">
        <v>544</v>
      </c>
      <c r="I202" s="51">
        <v>191</v>
      </c>
      <c r="J202" s="80"/>
      <c r="K2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191 DAP_FETCovid19</v>
      </c>
      <c r="L202" s="48">
        <v>44659</v>
      </c>
      <c r="M202" s="48">
        <v>44659</v>
      </c>
      <c r="N202" s="49" t="s">
        <v>171</v>
      </c>
      <c r="O202" s="45">
        <v>5</v>
      </c>
      <c r="P202" s="80" t="s">
        <v>494</v>
      </c>
      <c r="Q202" s="24"/>
      <c r="R202" s="24" t="s">
        <v>24</v>
      </c>
      <c r="S202" s="114"/>
      <c r="T202" s="45"/>
      <c r="U202" s="48"/>
      <c r="V202" s="48"/>
      <c r="W202" s="27"/>
    </row>
    <row r="203" spans="1:23" ht="60" hidden="1" customHeight="1" x14ac:dyDescent="0.25">
      <c r="A203" s="45" t="str">
        <f>CONCATENATE(Tabla2[[#This Row],[id_solicitud]],Tabla2[[#This Row],[tipo]])</f>
        <v>16Resolucion</v>
      </c>
      <c r="B203" s="45">
        <f>COUNTIF($A$2:A203,A203)</f>
        <v>1</v>
      </c>
      <c r="C203" s="45" t="str">
        <f>Tabla2[[#This Row],[(id_solicitud-tipo_documento)]]&amp;B203</f>
        <v>16Resolucion1</v>
      </c>
      <c r="D203" s="45">
        <v>202</v>
      </c>
      <c r="E203" s="45">
        <v>16</v>
      </c>
      <c r="F203" s="45" t="s">
        <v>48</v>
      </c>
      <c r="G203" s="45"/>
      <c r="H203" s="50" t="s">
        <v>14</v>
      </c>
      <c r="I203" s="51">
        <v>192</v>
      </c>
      <c r="J203" s="80"/>
      <c r="K2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03" s="48">
        <v>44594</v>
      </c>
      <c r="M203" s="48">
        <v>44594</v>
      </c>
      <c r="N203" s="49"/>
      <c r="O203" s="45"/>
      <c r="P203" s="80"/>
      <c r="Q203" s="48"/>
      <c r="R203" s="45"/>
      <c r="S203" s="114"/>
      <c r="T203" s="45"/>
      <c r="U203" s="48"/>
      <c r="V203" s="48"/>
      <c r="W203" s="27"/>
    </row>
    <row r="204" spans="1:23" ht="60" hidden="1" customHeight="1" x14ac:dyDescent="0.25">
      <c r="A204" s="45" t="str">
        <f>CONCATENATE(Tabla2[[#This Row],[id_solicitud]],Tabla2[[#This Row],[tipo]])</f>
        <v>70Decreto</v>
      </c>
      <c r="B204" s="45">
        <f>COUNTIF($A$2:A204,A204)</f>
        <v>1</v>
      </c>
      <c r="C204" s="45" t="str">
        <f>Tabla2[[#This Row],[(id_solicitud-tipo_documento)]]&amp;B204</f>
        <v>70Decreto1</v>
      </c>
      <c r="D204" s="45">
        <v>203</v>
      </c>
      <c r="E204" s="45">
        <v>70</v>
      </c>
      <c r="F204" s="45" t="s">
        <v>47</v>
      </c>
      <c r="G204" s="45" t="s">
        <v>43</v>
      </c>
      <c r="H204" s="50" t="s">
        <v>544</v>
      </c>
      <c r="I204" s="51">
        <v>192</v>
      </c>
      <c r="J204" s="80"/>
      <c r="K2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192 DAP_FETCovid19</v>
      </c>
      <c r="L204" s="48">
        <v>44595</v>
      </c>
      <c r="M204" s="48">
        <v>44799</v>
      </c>
      <c r="N204" s="49" t="s">
        <v>126</v>
      </c>
      <c r="O204" s="45"/>
      <c r="P204" s="80"/>
      <c r="Q204" s="48"/>
      <c r="R204" s="45"/>
      <c r="S204" s="115">
        <v>45</v>
      </c>
      <c r="T204" s="20">
        <v>44586</v>
      </c>
      <c r="U204" s="53">
        <v>44603</v>
      </c>
      <c r="V204" s="53">
        <v>44603</v>
      </c>
      <c r="W204" s="27"/>
    </row>
    <row r="205" spans="1:23" ht="60" hidden="1" customHeight="1" x14ac:dyDescent="0.25">
      <c r="A205" s="45" t="str">
        <f>CONCATENATE(Tabla2[[#This Row],[id_solicitud]],Tabla2[[#This Row],[tipo]])</f>
        <v>11Resolucion</v>
      </c>
      <c r="B205" s="45">
        <f>COUNTIF($A$2:A205,A205)</f>
        <v>1</v>
      </c>
      <c r="C205" s="45" t="str">
        <f>Tabla2[[#This Row],[(id_solicitud-tipo_documento)]]&amp;B205</f>
        <v>11Resolucion1</v>
      </c>
      <c r="D205" s="45">
        <v>204</v>
      </c>
      <c r="E205" s="45">
        <v>11</v>
      </c>
      <c r="F205" s="45" t="s">
        <v>48</v>
      </c>
      <c r="G205" s="45"/>
      <c r="H205" s="50" t="s">
        <v>14</v>
      </c>
      <c r="I205" s="51">
        <v>193</v>
      </c>
      <c r="J205" s="80"/>
      <c r="K2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05" s="48">
        <v>44594</v>
      </c>
      <c r="M205" s="48">
        <v>44826</v>
      </c>
      <c r="N205" s="49"/>
      <c r="O205" s="45"/>
      <c r="P205" s="80"/>
      <c r="Q205" s="48"/>
      <c r="R205" s="45"/>
      <c r="S205" s="114"/>
      <c r="T205" s="45"/>
      <c r="U205" s="48"/>
      <c r="V205" s="48"/>
      <c r="W205" s="27"/>
    </row>
    <row r="206" spans="1:23" ht="60" hidden="1" customHeight="1" x14ac:dyDescent="0.25">
      <c r="A206" s="45" t="str">
        <f>CONCATENATE(Tabla2[[#This Row],[id_solicitud]],Tabla2[[#This Row],[tipo]])</f>
        <v>166Oficio_Solicitud</v>
      </c>
      <c r="B206" s="45">
        <f>COUNTIF($A$2:A206,A206)</f>
        <v>1</v>
      </c>
      <c r="C206" s="45" t="str">
        <f>Tabla2[[#This Row],[(id_solicitud-tipo_documento)]]&amp;B206</f>
        <v>166Oficio_Solicitud1</v>
      </c>
      <c r="D206" s="45">
        <v>205</v>
      </c>
      <c r="E206" s="45">
        <v>166</v>
      </c>
      <c r="F206" s="45" t="s">
        <v>53</v>
      </c>
      <c r="G206" s="45" t="s">
        <v>1258</v>
      </c>
      <c r="H206" s="50" t="s">
        <v>544</v>
      </c>
      <c r="I206" s="51">
        <v>195</v>
      </c>
      <c r="J206" s="80"/>
      <c r="K2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195 DAP_FETCovid19</v>
      </c>
      <c r="L206" s="48">
        <v>44671</v>
      </c>
      <c r="M206" s="48">
        <v>44827</v>
      </c>
      <c r="N206" s="49" t="s">
        <v>207</v>
      </c>
      <c r="O206" s="45">
        <v>3</v>
      </c>
      <c r="P206" s="80" t="s">
        <v>494</v>
      </c>
      <c r="Q206" s="48"/>
      <c r="R206" s="45"/>
      <c r="S206" s="114"/>
      <c r="T206" s="52"/>
      <c r="U206" s="48"/>
      <c r="V206" s="48"/>
      <c r="W206" s="27"/>
    </row>
    <row r="207" spans="1:23" ht="60" hidden="1" customHeight="1" x14ac:dyDescent="0.25">
      <c r="A207" s="45" t="str">
        <f>CONCATENATE(Tabla2[[#This Row],[id_solicitud]],Tabla2[[#This Row],[tipo]])</f>
        <v>167Oficio_Solicitud</v>
      </c>
      <c r="B207" s="45">
        <f>COUNTIF($A$2:A207,A207)</f>
        <v>1</v>
      </c>
      <c r="C207" s="45" t="str">
        <f>Tabla2[[#This Row],[(id_solicitud-tipo_documento)]]&amp;B207</f>
        <v>167Oficio_Solicitud1</v>
      </c>
      <c r="D207" s="45">
        <v>206</v>
      </c>
      <c r="E207" s="45">
        <v>167</v>
      </c>
      <c r="F207" s="45" t="s">
        <v>53</v>
      </c>
      <c r="G207" s="45" t="s">
        <v>1258</v>
      </c>
      <c r="H207" s="50" t="s">
        <v>10</v>
      </c>
      <c r="I207" s="51">
        <v>196</v>
      </c>
      <c r="J207" s="80"/>
      <c r="K2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196 DAP</v>
      </c>
      <c r="L207" s="48">
        <v>44672</v>
      </c>
      <c r="M207" s="48">
        <v>44827</v>
      </c>
      <c r="N207" s="49" t="s">
        <v>208</v>
      </c>
      <c r="O207" s="45">
        <v>1</v>
      </c>
      <c r="P207" s="80" t="s">
        <v>494</v>
      </c>
      <c r="Q207" s="48"/>
      <c r="R207" s="45"/>
      <c r="S207" s="114"/>
      <c r="T207" s="52"/>
      <c r="U207" s="48"/>
      <c r="V207" s="48"/>
      <c r="W207" s="27"/>
    </row>
    <row r="208" spans="1:23" ht="60" hidden="1" customHeight="1" x14ac:dyDescent="0.25">
      <c r="A208" s="45" t="str">
        <f>CONCATENATE(Tabla2[[#This Row],[id_solicitud]],Tabla2[[#This Row],[tipo]])</f>
        <v>154Proposicion</v>
      </c>
      <c r="B208" s="45">
        <f>COUNTIF($A$2:A208,A208)</f>
        <v>1</v>
      </c>
      <c r="C208" s="45" t="str">
        <f>Tabla2[[#This Row],[(id_solicitud-tipo_documento)]]&amp;B208</f>
        <v>154Proposicion1</v>
      </c>
      <c r="D208" s="45">
        <v>207</v>
      </c>
      <c r="E208" s="45">
        <v>154</v>
      </c>
      <c r="F208" s="45" t="s">
        <v>46</v>
      </c>
      <c r="G208" s="45" t="s">
        <v>60</v>
      </c>
      <c r="H208" s="50" t="s">
        <v>541</v>
      </c>
      <c r="I208" s="51">
        <v>198</v>
      </c>
      <c r="J208" s="80"/>
      <c r="K2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198 DOP_FETCovid19</v>
      </c>
      <c r="L208" s="48">
        <v>44663</v>
      </c>
      <c r="M208" s="48">
        <v>44827</v>
      </c>
      <c r="N208" s="49" t="s">
        <v>197</v>
      </c>
      <c r="O208" s="45">
        <v>6</v>
      </c>
      <c r="P208" s="80" t="s">
        <v>494</v>
      </c>
      <c r="Q208" s="24"/>
      <c r="R208" s="24" t="s">
        <v>24</v>
      </c>
      <c r="S208" s="114"/>
      <c r="T208" s="45"/>
      <c r="U208" s="48"/>
      <c r="V208" s="48"/>
      <c r="W208" s="27"/>
    </row>
    <row r="209" spans="1:23" ht="60" hidden="1" customHeight="1" x14ac:dyDescent="0.25">
      <c r="A209" s="45" t="str">
        <f>CONCATENATE(Tabla2[[#This Row],[id_solicitud]],Tabla2[[#This Row],[tipo]])</f>
        <v>20Decreto</v>
      </c>
      <c r="B209" s="45">
        <f>COUNTIF($A$2:A209,A209)</f>
        <v>1</v>
      </c>
      <c r="C209" s="45" t="str">
        <f>Tabla2[[#This Row],[(id_solicitud-tipo_documento)]]&amp;B209</f>
        <v>20Decreto1</v>
      </c>
      <c r="D209" s="45">
        <v>208</v>
      </c>
      <c r="E209" s="45">
        <v>20</v>
      </c>
      <c r="F209" s="45" t="s">
        <v>47</v>
      </c>
      <c r="G209" s="45" t="s">
        <v>43</v>
      </c>
      <c r="H209" s="50" t="s">
        <v>532</v>
      </c>
      <c r="I209" s="51">
        <v>199</v>
      </c>
      <c r="J209" s="80"/>
      <c r="K2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199 DA_FETCovid19</v>
      </c>
      <c r="L209" s="48">
        <v>44595</v>
      </c>
      <c r="M209" s="48">
        <v>44595</v>
      </c>
      <c r="N209" s="49" t="s">
        <v>766</v>
      </c>
      <c r="O209" s="45"/>
      <c r="P209" s="80"/>
      <c r="Q209" s="48"/>
      <c r="R209" s="45"/>
      <c r="S209" s="115">
        <v>58</v>
      </c>
      <c r="T209" s="20">
        <v>44588</v>
      </c>
      <c r="U209" s="53">
        <v>44603</v>
      </c>
      <c r="V209" s="53">
        <v>44603</v>
      </c>
      <c r="W209" s="27"/>
    </row>
    <row r="210" spans="1:23" ht="60" hidden="1" customHeight="1" x14ac:dyDescent="0.25">
      <c r="A210" s="45" t="str">
        <f>CONCATENATE(Tabla2[[#This Row],[id_solicitud]],Tabla2[[#This Row],[tipo]])</f>
        <v>24Resolucion</v>
      </c>
      <c r="B210" s="45">
        <f>COUNTIF($A$2:A210,A210)</f>
        <v>1</v>
      </c>
      <c r="C210" s="45" t="str">
        <f>Tabla2[[#This Row],[(id_solicitud-tipo_documento)]]&amp;B210</f>
        <v>24Resolucion1</v>
      </c>
      <c r="D210" s="45">
        <v>209</v>
      </c>
      <c r="E210" s="45">
        <v>24</v>
      </c>
      <c r="F210" s="45" t="s">
        <v>48</v>
      </c>
      <c r="G210" s="45"/>
      <c r="H210" s="50" t="s">
        <v>544</v>
      </c>
      <c r="I210" s="51">
        <v>199</v>
      </c>
      <c r="J210" s="80"/>
      <c r="K2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10" s="48">
        <v>44600</v>
      </c>
      <c r="M210" s="48">
        <v>44827</v>
      </c>
      <c r="N210" s="49"/>
      <c r="O210" s="45"/>
      <c r="P210" s="80"/>
      <c r="Q210" s="48"/>
      <c r="R210" s="45"/>
      <c r="S210" s="114"/>
      <c r="T210" s="45"/>
      <c r="U210" s="48"/>
      <c r="V210" s="48"/>
      <c r="W210" s="27"/>
    </row>
    <row r="211" spans="1:23" ht="60" hidden="1" customHeight="1" x14ac:dyDescent="0.25">
      <c r="A211" s="45" t="str">
        <f>CONCATENATE(Tabla2[[#This Row],[id_solicitud]],Tabla2[[#This Row],[tipo]])</f>
        <v>150Proposicion</v>
      </c>
      <c r="B211" s="45">
        <f>COUNTIF($A$2:A211,A211)</f>
        <v>1</v>
      </c>
      <c r="C211" s="45" t="str">
        <f>Tabla2[[#This Row],[(id_solicitud-tipo_documento)]]&amp;B211</f>
        <v>150Proposicion1</v>
      </c>
      <c r="D211" s="45">
        <v>210</v>
      </c>
      <c r="E211" s="45">
        <v>150</v>
      </c>
      <c r="F211" s="45" t="s">
        <v>46</v>
      </c>
      <c r="G211" s="45" t="s">
        <v>60</v>
      </c>
      <c r="H211" s="50" t="s">
        <v>22</v>
      </c>
      <c r="I211" s="51">
        <v>199</v>
      </c>
      <c r="J211" s="80"/>
      <c r="K2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199 DOP</v>
      </c>
      <c r="L211" s="48">
        <v>44663</v>
      </c>
      <c r="M211" s="48">
        <v>44827</v>
      </c>
      <c r="N211" s="49" t="s">
        <v>193</v>
      </c>
      <c r="O211" s="45">
        <v>20</v>
      </c>
      <c r="P211" s="80" t="s">
        <v>494</v>
      </c>
      <c r="Q211" s="24"/>
      <c r="R211" s="24" t="s">
        <v>24</v>
      </c>
      <c r="S211" s="114"/>
      <c r="T211" s="45"/>
      <c r="U211" s="48"/>
      <c r="V211" s="48"/>
      <c r="W211" s="27"/>
    </row>
    <row r="212" spans="1:23" ht="60" hidden="1" customHeight="1" x14ac:dyDescent="0.25">
      <c r="A212" s="45" t="str">
        <f>CONCATENATE(Tabla2[[#This Row],[id_solicitud]],Tabla2[[#This Row],[tipo]])</f>
        <v>37Decreto</v>
      </c>
      <c r="B212" s="45">
        <f>COUNTIF($A$2:A212,A212)</f>
        <v>1</v>
      </c>
      <c r="C212" s="45" t="str">
        <f>Tabla2[[#This Row],[(id_solicitud-tipo_documento)]]&amp;B212</f>
        <v>37Decreto1</v>
      </c>
      <c r="D212" s="45">
        <v>211</v>
      </c>
      <c r="E212" s="45">
        <v>37</v>
      </c>
      <c r="F212" s="45" t="s">
        <v>47</v>
      </c>
      <c r="G212" s="45" t="s">
        <v>43</v>
      </c>
      <c r="H212" s="50" t="s">
        <v>535</v>
      </c>
      <c r="I212" s="51">
        <v>200</v>
      </c>
      <c r="J212" s="80"/>
      <c r="K2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200 DOH_FETCovid19</v>
      </c>
      <c r="L212" s="48">
        <v>44595</v>
      </c>
      <c r="M212" s="48">
        <v>44826</v>
      </c>
      <c r="N212" s="49" t="s">
        <v>99</v>
      </c>
      <c r="O212" s="45"/>
      <c r="P212" s="80"/>
      <c r="Q212" s="48"/>
      <c r="R212" s="45"/>
      <c r="S212" s="115">
        <v>36</v>
      </c>
      <c r="T212" s="20">
        <v>44588</v>
      </c>
      <c r="U212" s="53">
        <v>44606</v>
      </c>
      <c r="V212" s="53">
        <v>44606</v>
      </c>
      <c r="W212" s="27"/>
    </row>
    <row r="213" spans="1:23" ht="60" hidden="1" customHeight="1" x14ac:dyDescent="0.25">
      <c r="A213" s="45" t="str">
        <f>CONCATENATE(Tabla2[[#This Row],[id_solicitud]],Tabla2[[#This Row],[tipo]])</f>
        <v>145Proposicion</v>
      </c>
      <c r="B213" s="45">
        <f>COUNTIF($A$2:A213,A213)</f>
        <v>1</v>
      </c>
      <c r="C213" s="45" t="str">
        <f>Tabla2[[#This Row],[(id_solicitud-tipo_documento)]]&amp;B213</f>
        <v>145Proposicion1</v>
      </c>
      <c r="D213" s="45">
        <v>212</v>
      </c>
      <c r="E213" s="45">
        <v>145</v>
      </c>
      <c r="F213" s="45" t="s">
        <v>46</v>
      </c>
      <c r="G213" s="45" t="s">
        <v>60</v>
      </c>
      <c r="H213" s="50" t="s">
        <v>6</v>
      </c>
      <c r="I213" s="51">
        <v>201</v>
      </c>
      <c r="J213" s="80"/>
      <c r="K2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201 APR</v>
      </c>
      <c r="L213" s="48">
        <v>44663</v>
      </c>
      <c r="M213" s="48">
        <v>44827</v>
      </c>
      <c r="N213" s="49" t="s">
        <v>188</v>
      </c>
      <c r="O213" s="45">
        <v>14</v>
      </c>
      <c r="P213" s="80" t="s">
        <v>494</v>
      </c>
      <c r="Q213" s="24"/>
      <c r="R213" s="24" t="s">
        <v>24</v>
      </c>
      <c r="S213" s="114"/>
      <c r="T213" s="45"/>
      <c r="U213" s="48"/>
      <c r="V213" s="48"/>
      <c r="W213" s="27"/>
    </row>
    <row r="214" spans="1:23" ht="60" hidden="1" customHeight="1" x14ac:dyDescent="0.25">
      <c r="A214" s="45" t="str">
        <f>CONCATENATE(Tabla2[[#This Row],[id_solicitud]],Tabla2[[#This Row],[tipo]])</f>
        <v>151Proposicion</v>
      </c>
      <c r="B214" s="45">
        <f>COUNTIF($A$2:A214,A214)</f>
        <v>1</v>
      </c>
      <c r="C214" s="45" t="str">
        <f>Tabla2[[#This Row],[(id_solicitud-tipo_documento)]]&amp;B214</f>
        <v>151Proposicion1</v>
      </c>
      <c r="D214" s="45">
        <v>213</v>
      </c>
      <c r="E214" s="45">
        <v>151</v>
      </c>
      <c r="F214" s="45" t="s">
        <v>46</v>
      </c>
      <c r="G214" s="45" t="s">
        <v>60</v>
      </c>
      <c r="H214" s="50" t="s">
        <v>8</v>
      </c>
      <c r="I214" s="51">
        <v>202</v>
      </c>
      <c r="J214" s="80"/>
      <c r="K2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202 DA</v>
      </c>
      <c r="L214" s="48">
        <v>44663</v>
      </c>
      <c r="M214" s="48">
        <v>44827</v>
      </c>
      <c r="N214" s="49" t="s">
        <v>194</v>
      </c>
      <c r="O214" s="45">
        <v>8</v>
      </c>
      <c r="P214" s="80" t="s">
        <v>494</v>
      </c>
      <c r="Q214" s="24"/>
      <c r="R214" s="24" t="s">
        <v>24</v>
      </c>
      <c r="S214" s="114"/>
      <c r="T214" s="45"/>
      <c r="U214" s="48"/>
      <c r="V214" s="48"/>
      <c r="W214" s="27"/>
    </row>
    <row r="215" spans="1:23" ht="60" hidden="1" customHeight="1" x14ac:dyDescent="0.25">
      <c r="A215" s="45" t="str">
        <f>CONCATENATE(Tabla2[[#This Row],[id_solicitud]],Tabla2[[#This Row],[tipo]])</f>
        <v>97Oficio_Solicitud</v>
      </c>
      <c r="B215" s="45">
        <f>COUNTIF($A$2:A215,A215)</f>
        <v>1</v>
      </c>
      <c r="C215" s="45" t="str">
        <f>Tabla2[[#This Row],[(id_solicitud-tipo_documento)]]&amp;B215</f>
        <v>97Oficio_Solicitud1</v>
      </c>
      <c r="D215" s="45">
        <v>214</v>
      </c>
      <c r="E215" s="45">
        <v>97</v>
      </c>
      <c r="F215" s="45" t="s">
        <v>53</v>
      </c>
      <c r="G215" s="45" t="s">
        <v>60</v>
      </c>
      <c r="H215" s="50" t="s">
        <v>8</v>
      </c>
      <c r="I215" s="51">
        <v>203</v>
      </c>
      <c r="J215" s="80"/>
      <c r="K2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203 DA</v>
      </c>
      <c r="L215" s="48">
        <v>44616</v>
      </c>
      <c r="M215" s="48">
        <v>44827</v>
      </c>
      <c r="N215" s="49" t="s">
        <v>1012</v>
      </c>
      <c r="O215" s="45">
        <v>5</v>
      </c>
      <c r="P215" s="80" t="s">
        <v>494</v>
      </c>
      <c r="Q215" s="48"/>
      <c r="R215" s="45"/>
      <c r="S215" s="114"/>
      <c r="T215" s="52"/>
      <c r="U215" s="48"/>
      <c r="V215" s="48"/>
      <c r="W215" s="27"/>
    </row>
    <row r="216" spans="1:23" ht="60" hidden="1" customHeight="1" x14ac:dyDescent="0.25">
      <c r="A216" s="45" t="str">
        <f>CONCATENATE(Tabla2[[#This Row],[id_solicitud]],Tabla2[[#This Row],[tipo]])</f>
        <v>99Resolucion</v>
      </c>
      <c r="B216" s="45">
        <f>COUNTIF($A$2:A216,A216)</f>
        <v>1</v>
      </c>
      <c r="C216" s="45" t="str">
        <f>Tabla2[[#This Row],[(id_solicitud-tipo_documento)]]&amp;B216</f>
        <v>99Resolucion1</v>
      </c>
      <c r="D216" s="45">
        <v>215</v>
      </c>
      <c r="E216" s="45">
        <v>99</v>
      </c>
      <c r="F216" s="45" t="s">
        <v>48</v>
      </c>
      <c r="G216" s="45"/>
      <c r="H216" s="50" t="s">
        <v>22</v>
      </c>
      <c r="I216" s="51">
        <v>204</v>
      </c>
      <c r="J216" s="80"/>
      <c r="K2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16" s="48">
        <v>44628</v>
      </c>
      <c r="M216" s="48">
        <v>44832</v>
      </c>
      <c r="N216" s="49"/>
      <c r="O216" s="45"/>
      <c r="P216" s="80"/>
      <c r="Q216" s="48"/>
      <c r="R216" s="45"/>
      <c r="S216" s="114"/>
      <c r="T216" s="45"/>
      <c r="U216" s="48"/>
      <c r="V216" s="48"/>
      <c r="W216" s="27"/>
    </row>
    <row r="217" spans="1:23" ht="60" hidden="1" customHeight="1" x14ac:dyDescent="0.25">
      <c r="A217" s="45" t="str">
        <f>CONCATENATE(Tabla2[[#This Row],[id_solicitud]],Tabla2[[#This Row],[tipo]])</f>
        <v>125Oficio_Solicitud</v>
      </c>
      <c r="B217" s="45">
        <f>COUNTIF($A$2:A217,A217)</f>
        <v>1</v>
      </c>
      <c r="C217" s="45" t="str">
        <f>Tabla2[[#This Row],[(id_solicitud-tipo_documento)]]&amp;B217</f>
        <v>125Oficio_Solicitud1</v>
      </c>
      <c r="D217" s="45">
        <v>216</v>
      </c>
      <c r="E217" s="45">
        <v>125</v>
      </c>
      <c r="F217" s="45" t="s">
        <v>53</v>
      </c>
      <c r="G217" s="45" t="s">
        <v>43</v>
      </c>
      <c r="H217" s="50" t="s">
        <v>580</v>
      </c>
      <c r="I217" s="51">
        <v>205</v>
      </c>
      <c r="J217" s="80"/>
      <c r="K2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205 DOP-DOP_FETCovid19</v>
      </c>
      <c r="L217" s="48">
        <v>44637</v>
      </c>
      <c r="M217" s="48">
        <v>44832</v>
      </c>
      <c r="N217" s="49" t="s">
        <v>172</v>
      </c>
      <c r="O217" s="45"/>
      <c r="P217" s="80" t="s">
        <v>502</v>
      </c>
      <c r="Q217" s="48"/>
      <c r="R217" s="45"/>
      <c r="S217" s="114"/>
      <c r="T217" s="52"/>
      <c r="U217" s="48"/>
      <c r="V217" s="48"/>
      <c r="W217" s="27"/>
    </row>
    <row r="218" spans="1:23" ht="60" hidden="1" customHeight="1" x14ac:dyDescent="0.25">
      <c r="A218" s="45" t="str">
        <f>CONCATENATE(Tabla2[[#This Row],[id_solicitud]],Tabla2[[#This Row],[tipo]])</f>
        <v>147Proposicion</v>
      </c>
      <c r="B218" s="45">
        <f>COUNTIF($A$2:A218,A218)</f>
        <v>1</v>
      </c>
      <c r="C218" s="45" t="str">
        <f>Tabla2[[#This Row],[(id_solicitud-tipo_documento)]]&amp;B218</f>
        <v>147Proposicion1</v>
      </c>
      <c r="D218" s="45">
        <v>217</v>
      </c>
      <c r="E218" s="45">
        <v>147</v>
      </c>
      <c r="F218" s="45" t="s">
        <v>46</v>
      </c>
      <c r="G218" s="45" t="s">
        <v>60</v>
      </c>
      <c r="H218" s="50" t="s">
        <v>10</v>
      </c>
      <c r="I218" s="51">
        <v>216</v>
      </c>
      <c r="J218" s="80"/>
      <c r="K2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216 DAP</v>
      </c>
      <c r="L218" s="48">
        <v>44670</v>
      </c>
      <c r="M218" s="48">
        <v>44840</v>
      </c>
      <c r="N218" s="49" t="s">
        <v>190</v>
      </c>
      <c r="O218" s="45">
        <v>9</v>
      </c>
      <c r="P218" s="80" t="s">
        <v>494</v>
      </c>
      <c r="Q218" s="24"/>
      <c r="R218" s="24" t="s">
        <v>24</v>
      </c>
      <c r="S218" s="114"/>
      <c r="T218" s="45"/>
      <c r="U218" s="48"/>
      <c r="V218" s="48"/>
      <c r="W218" s="27"/>
    </row>
    <row r="219" spans="1:23" ht="60" customHeight="1" x14ac:dyDescent="0.25">
      <c r="A219" s="45" t="str">
        <f>CONCATENATE(Tabla2[[#This Row],[id_solicitud]],Tabla2[[#This Row],[tipo]])</f>
        <v>40Proposicion</v>
      </c>
      <c r="B219" s="45">
        <f>COUNTIF($A$2:A219,A219)</f>
        <v>1</v>
      </c>
      <c r="C219" s="45" t="str">
        <f>Tabla2[[#This Row],[(id_solicitud-tipo_documento)]]&amp;B219</f>
        <v>40Proposicion1</v>
      </c>
      <c r="D219" s="45">
        <v>354</v>
      </c>
      <c r="E219" s="45">
        <v>40</v>
      </c>
      <c r="F219" s="45" t="s">
        <v>46</v>
      </c>
      <c r="G219" s="45" t="s">
        <v>57</v>
      </c>
      <c r="H219" s="50" t="s">
        <v>562</v>
      </c>
      <c r="I219" s="51">
        <v>351</v>
      </c>
      <c r="J219" s="80"/>
      <c r="K2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351 DGC_FETCovid19</v>
      </c>
      <c r="L219" s="48">
        <v>44707</v>
      </c>
      <c r="M219" s="48">
        <v>44707</v>
      </c>
      <c r="N219" s="49" t="s">
        <v>622</v>
      </c>
      <c r="O219" s="45">
        <v>18</v>
      </c>
      <c r="P219" s="80" t="s">
        <v>494</v>
      </c>
      <c r="Q219" s="24"/>
      <c r="R219" s="24" t="s">
        <v>24</v>
      </c>
      <c r="S219" s="114"/>
      <c r="T219" s="45"/>
      <c r="U219" s="48"/>
      <c r="V219" s="48"/>
      <c r="W219" s="27"/>
    </row>
    <row r="220" spans="1:23" ht="60" hidden="1" customHeight="1" x14ac:dyDescent="0.25">
      <c r="A220" s="45" t="str">
        <f>CONCATENATE(Tabla2[[#This Row],[id_solicitud]],Tabla2[[#This Row],[tipo]])</f>
        <v>180Oficio_Solicitud</v>
      </c>
      <c r="B220" s="45">
        <f>COUNTIF($A$2:A220,A220)</f>
        <v>1</v>
      </c>
      <c r="C220" s="45" t="str">
        <f>Tabla2[[#This Row],[(id_solicitud-tipo_documento)]]&amp;B220</f>
        <v>180Oficio_Solicitud1</v>
      </c>
      <c r="D220" s="45">
        <v>219</v>
      </c>
      <c r="E220" s="45">
        <v>180</v>
      </c>
      <c r="F220" s="45" t="s">
        <v>53</v>
      </c>
      <c r="G220" s="45" t="s">
        <v>61</v>
      </c>
      <c r="H220" s="50" t="s">
        <v>10</v>
      </c>
      <c r="I220" s="51">
        <v>217</v>
      </c>
      <c r="J220" s="80"/>
      <c r="K2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217 DAP</v>
      </c>
      <c r="L220" s="48">
        <v>44678</v>
      </c>
      <c r="M220" s="48">
        <v>44839</v>
      </c>
      <c r="N220" s="49" t="s">
        <v>1010</v>
      </c>
      <c r="O220" s="45">
        <f>2+7+27</f>
        <v>36</v>
      </c>
      <c r="P220" s="80" t="s">
        <v>494</v>
      </c>
      <c r="Q220" s="48"/>
      <c r="R220" s="45"/>
      <c r="S220" s="114"/>
      <c r="T220" s="52"/>
      <c r="U220" s="48"/>
      <c r="V220" s="48"/>
      <c r="W220" s="27"/>
    </row>
    <row r="221" spans="1:23" ht="60" hidden="1" customHeight="1" x14ac:dyDescent="0.25">
      <c r="A221" s="45" t="str">
        <f>CONCATENATE(Tabla2[[#This Row],[id_solicitud]],Tabla2[[#This Row],[tipo]])</f>
        <v>19Decreto</v>
      </c>
      <c r="B221" s="45">
        <f>COUNTIF($A$2:A221,A221)</f>
        <v>1</v>
      </c>
      <c r="C221" s="45" t="str">
        <f>Tabla2[[#This Row],[(id_solicitud-tipo_documento)]]&amp;B221</f>
        <v>19Decreto1</v>
      </c>
      <c r="D221" s="45">
        <v>220</v>
      </c>
      <c r="E221" s="45">
        <v>19</v>
      </c>
      <c r="F221" s="45" t="s">
        <v>47</v>
      </c>
      <c r="G221" s="45" t="s">
        <v>43</v>
      </c>
      <c r="H221" s="50" t="s">
        <v>8</v>
      </c>
      <c r="I221" s="51">
        <v>218</v>
      </c>
      <c r="J221" s="80"/>
      <c r="K2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218 DA</v>
      </c>
      <c r="L221" s="48">
        <v>44601</v>
      </c>
      <c r="M221" s="48">
        <v>44830</v>
      </c>
      <c r="N221" s="49" t="s">
        <v>765</v>
      </c>
      <c r="O221" s="45"/>
      <c r="P221" s="80"/>
      <c r="Q221" s="48"/>
      <c r="R221" s="45"/>
      <c r="S221" s="115">
        <v>66</v>
      </c>
      <c r="T221" s="20">
        <v>44589</v>
      </c>
      <c r="U221" s="53">
        <v>44617</v>
      </c>
      <c r="V221" s="53">
        <v>44617</v>
      </c>
      <c r="W221" s="27"/>
    </row>
    <row r="222" spans="1:23" ht="60" hidden="1" customHeight="1" x14ac:dyDescent="0.25">
      <c r="A222" s="45" t="str">
        <f>CONCATENATE(Tabla2[[#This Row],[id_solicitud]],Tabla2[[#This Row],[tipo]])</f>
        <v>138Proposicion</v>
      </c>
      <c r="B222" s="45">
        <f>COUNTIF($A$2:A222,A222)</f>
        <v>1</v>
      </c>
      <c r="C222" s="45" t="str">
        <f>Tabla2[[#This Row],[(id_solicitud-tipo_documento)]]&amp;B222</f>
        <v>138Proposicion1</v>
      </c>
      <c r="D222" s="45">
        <v>221</v>
      </c>
      <c r="E222" s="45">
        <v>138</v>
      </c>
      <c r="F222" s="45" t="s">
        <v>46</v>
      </c>
      <c r="G222" s="45" t="s">
        <v>1258</v>
      </c>
      <c r="H222" s="50" t="s">
        <v>8</v>
      </c>
      <c r="I222" s="51">
        <v>218</v>
      </c>
      <c r="J222" s="80"/>
      <c r="K2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218 DA</v>
      </c>
      <c r="L222" s="48">
        <v>44671</v>
      </c>
      <c r="M222" s="48">
        <v>44841</v>
      </c>
      <c r="N222" s="49" t="s">
        <v>183</v>
      </c>
      <c r="O222" s="45">
        <v>1</v>
      </c>
      <c r="P222" s="80" t="s">
        <v>494</v>
      </c>
      <c r="Q222" s="24"/>
      <c r="R222" s="24" t="s">
        <v>24</v>
      </c>
      <c r="S222" s="114"/>
      <c r="T222" s="45"/>
      <c r="U222" s="48"/>
      <c r="V222" s="48"/>
      <c r="W222" s="27"/>
    </row>
    <row r="223" spans="1:23" ht="60" hidden="1" customHeight="1" x14ac:dyDescent="0.25">
      <c r="A223" s="45" t="str">
        <f>CONCATENATE(Tabla2[[#This Row],[id_solicitud]],Tabla2[[#This Row],[tipo]])</f>
        <v>56Decreto</v>
      </c>
      <c r="B223" s="45">
        <f>COUNTIF($A$2:A223,A223)</f>
        <v>1</v>
      </c>
      <c r="C223" s="45" t="str">
        <f>Tabla2[[#This Row],[(id_solicitud-tipo_documento)]]&amp;B223</f>
        <v>56Decreto1</v>
      </c>
      <c r="D223" s="45">
        <v>222</v>
      </c>
      <c r="E223" s="45">
        <v>56</v>
      </c>
      <c r="F223" s="45" t="s">
        <v>47</v>
      </c>
      <c r="G223" s="45" t="s">
        <v>60</v>
      </c>
      <c r="H223" s="50" t="s">
        <v>16</v>
      </c>
      <c r="I223" s="51">
        <v>219</v>
      </c>
      <c r="J223" s="80"/>
      <c r="K2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219 DGC</v>
      </c>
      <c r="L223" s="48">
        <v>44601</v>
      </c>
      <c r="M223" s="48">
        <v>44827</v>
      </c>
      <c r="N223" s="49" t="s">
        <v>786</v>
      </c>
      <c r="O223" s="45"/>
      <c r="P223" s="80"/>
      <c r="Q223" s="48"/>
      <c r="R223" s="45"/>
      <c r="S223" s="115">
        <v>68</v>
      </c>
      <c r="T223" s="20">
        <v>44589</v>
      </c>
      <c r="U223" s="53">
        <v>44617</v>
      </c>
      <c r="V223" s="53">
        <v>44617</v>
      </c>
      <c r="W223" s="27"/>
    </row>
    <row r="224" spans="1:23" ht="60" hidden="1" customHeight="1" x14ac:dyDescent="0.25">
      <c r="A224" s="45" t="str">
        <f>CONCATENATE(Tabla2[[#This Row],[id_solicitud]],Tabla2[[#This Row],[tipo]])</f>
        <v>158Proposicion</v>
      </c>
      <c r="B224" s="45">
        <f>COUNTIF($A$2:A224,A224)</f>
        <v>1</v>
      </c>
      <c r="C224" s="45" t="str">
        <f>Tabla2[[#This Row],[(id_solicitud-tipo_documento)]]&amp;B224</f>
        <v>158Proposicion1</v>
      </c>
      <c r="D224" s="45">
        <v>223</v>
      </c>
      <c r="E224" s="45">
        <v>158</v>
      </c>
      <c r="F224" s="45" t="s">
        <v>46</v>
      </c>
      <c r="G224" s="45" t="s">
        <v>1258</v>
      </c>
      <c r="H224" s="50" t="s">
        <v>22</v>
      </c>
      <c r="I224" s="51">
        <v>219</v>
      </c>
      <c r="J224" s="80"/>
      <c r="K2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219 DOP</v>
      </c>
      <c r="L224" s="48">
        <v>44671</v>
      </c>
      <c r="M224" s="48">
        <v>44846</v>
      </c>
      <c r="N224" s="49" t="s">
        <v>651</v>
      </c>
      <c r="O224" s="45">
        <v>1</v>
      </c>
      <c r="P224" s="80" t="s">
        <v>494</v>
      </c>
      <c r="Q224" s="24"/>
      <c r="R224" s="24" t="s">
        <v>24</v>
      </c>
      <c r="S224" s="114"/>
      <c r="T224" s="45"/>
      <c r="U224" s="48"/>
      <c r="V224" s="48"/>
      <c r="W224" s="27"/>
    </row>
    <row r="225" spans="1:23" ht="60" hidden="1" customHeight="1" x14ac:dyDescent="0.25">
      <c r="A225" s="45" t="str">
        <f>CONCATENATE(Tabla2[[#This Row],[id_solicitud]],Tabla2[[#This Row],[tipo]])</f>
        <v>57Decreto</v>
      </c>
      <c r="B225" s="45">
        <f>COUNTIF($A$2:A225,A225)</f>
        <v>1</v>
      </c>
      <c r="C225" s="45" t="str">
        <f>Tabla2[[#This Row],[(id_solicitud-tipo_documento)]]&amp;B225</f>
        <v>57Decreto1</v>
      </c>
      <c r="D225" s="45">
        <v>224</v>
      </c>
      <c r="E225" s="45">
        <v>57</v>
      </c>
      <c r="F225" s="45" t="s">
        <v>47</v>
      </c>
      <c r="G225" s="45" t="s">
        <v>60</v>
      </c>
      <c r="H225" s="50" t="s">
        <v>16</v>
      </c>
      <c r="I225" s="51">
        <v>220</v>
      </c>
      <c r="J225" s="80"/>
      <c r="K2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220 DGC</v>
      </c>
      <c r="L225" s="48">
        <v>44601</v>
      </c>
      <c r="M225" s="48">
        <v>44845</v>
      </c>
      <c r="N225" s="49" t="s">
        <v>787</v>
      </c>
      <c r="O225" s="45"/>
      <c r="P225" s="80"/>
      <c r="Q225" s="48"/>
      <c r="R225" s="45"/>
      <c r="S225" s="115">
        <v>72</v>
      </c>
      <c r="T225" s="20">
        <v>44589</v>
      </c>
      <c r="U225" s="20">
        <v>44621</v>
      </c>
      <c r="V225" s="20">
        <v>44621</v>
      </c>
      <c r="W225" s="27"/>
    </row>
    <row r="226" spans="1:23" ht="60" hidden="1" customHeight="1" x14ac:dyDescent="0.25">
      <c r="A226" s="45" t="str">
        <f>CONCATENATE(Tabla2[[#This Row],[id_solicitud]],Tabla2[[#This Row],[tipo]])</f>
        <v>211Oficio_Solicitud</v>
      </c>
      <c r="B226" s="45">
        <f>COUNTIF($A$2:A226,A226)</f>
        <v>1</v>
      </c>
      <c r="C226" s="45" t="str">
        <f>Tabla2[[#This Row],[(id_solicitud-tipo_documento)]]&amp;B226</f>
        <v>211Oficio_Solicitud1</v>
      </c>
      <c r="D226" s="45">
        <v>225</v>
      </c>
      <c r="E226" s="45">
        <v>211</v>
      </c>
      <c r="F226" s="45" t="s">
        <v>53</v>
      </c>
      <c r="G226" s="45" t="s">
        <v>60</v>
      </c>
      <c r="H226" s="50" t="s">
        <v>565</v>
      </c>
      <c r="I226" s="51">
        <v>220</v>
      </c>
      <c r="J226" s="80"/>
      <c r="K2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220 DGA_FETCovid19</v>
      </c>
      <c r="L226" s="48">
        <v>44698</v>
      </c>
      <c r="M226" s="48">
        <v>44846</v>
      </c>
      <c r="N226" s="49" t="s">
        <v>239</v>
      </c>
      <c r="O226" s="45">
        <v>5</v>
      </c>
      <c r="P226" s="80" t="s">
        <v>494</v>
      </c>
      <c r="Q226" s="48">
        <v>44700</v>
      </c>
      <c r="R226" s="45"/>
      <c r="S226" s="114"/>
      <c r="T226" s="52"/>
      <c r="U226" s="48"/>
      <c r="V226" s="48"/>
      <c r="W226" s="27"/>
    </row>
    <row r="227" spans="1:23" ht="60" hidden="1" customHeight="1" x14ac:dyDescent="0.25">
      <c r="A227" s="45" t="str">
        <f>CONCATENATE(Tabla2[[#This Row],[id_solicitud]],Tabla2[[#This Row],[tipo]])</f>
        <v>213Oficio_Solicitud</v>
      </c>
      <c r="B227" s="45">
        <f>COUNTIF($A$2:A227,A227)</f>
        <v>1</v>
      </c>
      <c r="C227" s="45" t="str">
        <f>Tabla2[[#This Row],[(id_solicitud-tipo_documento)]]&amp;B227</f>
        <v>213Oficio_Solicitud1</v>
      </c>
      <c r="D227" s="45">
        <v>226</v>
      </c>
      <c r="E227" s="45">
        <v>213</v>
      </c>
      <c r="F227" s="45" t="s">
        <v>53</v>
      </c>
      <c r="G227" s="45" t="s">
        <v>40</v>
      </c>
      <c r="H227" s="50" t="s">
        <v>14</v>
      </c>
      <c r="I227" s="51">
        <v>223</v>
      </c>
      <c r="J227" s="80"/>
      <c r="K2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223 DGA</v>
      </c>
      <c r="L227" s="48">
        <v>44699</v>
      </c>
      <c r="M227" s="48">
        <v>44847</v>
      </c>
      <c r="N227" s="49" t="s">
        <v>241</v>
      </c>
      <c r="O227" s="45"/>
      <c r="P227" s="80" t="s">
        <v>510</v>
      </c>
      <c r="Q227" s="48"/>
      <c r="R227" s="45"/>
      <c r="S227" s="114"/>
      <c r="T227" s="52"/>
      <c r="U227" s="48"/>
      <c r="V227" s="48"/>
      <c r="W227" s="27"/>
    </row>
    <row r="228" spans="1:23" ht="60" hidden="1" customHeight="1" x14ac:dyDescent="0.25">
      <c r="A228" s="45" t="str">
        <f>CONCATENATE(Tabla2[[#This Row],[id_solicitud]],Tabla2[[#This Row],[tipo]])</f>
        <v>98Oficio_Solicitud</v>
      </c>
      <c r="B228" s="45">
        <f>COUNTIF($A$2:A228,A228)</f>
        <v>1</v>
      </c>
      <c r="C228" s="45" t="str">
        <f>Tabla2[[#This Row],[(id_solicitud-tipo_documento)]]&amp;B228</f>
        <v>98Oficio_Solicitud1</v>
      </c>
      <c r="D228" s="45">
        <v>227</v>
      </c>
      <c r="E228" s="45">
        <v>98</v>
      </c>
      <c r="F228" s="45" t="s">
        <v>53</v>
      </c>
      <c r="G228" s="45" t="s">
        <v>60</v>
      </c>
      <c r="H228" s="50" t="s">
        <v>532</v>
      </c>
      <c r="I228" s="51">
        <v>225</v>
      </c>
      <c r="J228" s="80"/>
      <c r="K2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225 DA_FETCovid19</v>
      </c>
      <c r="L228" s="48">
        <v>44622</v>
      </c>
      <c r="M228" s="48">
        <v>44846</v>
      </c>
      <c r="N228" s="49" t="s">
        <v>148</v>
      </c>
      <c r="O228" s="45">
        <v>1</v>
      </c>
      <c r="P228" s="80" t="s">
        <v>494</v>
      </c>
      <c r="Q228" s="48"/>
      <c r="R228" s="45"/>
      <c r="S228" s="114"/>
      <c r="T228" s="52"/>
      <c r="U228" s="48"/>
      <c r="V228" s="48"/>
      <c r="W228" s="27"/>
    </row>
    <row r="229" spans="1:23" ht="60" hidden="1" customHeight="1" x14ac:dyDescent="0.25">
      <c r="A229" s="45" t="str">
        <f>CONCATENATE(Tabla2[[#This Row],[id_solicitud]],Tabla2[[#This Row],[tipo]])</f>
        <v>70Resolucion</v>
      </c>
      <c r="B229" s="45">
        <f>COUNTIF($A$2:A229,A229)</f>
        <v>1</v>
      </c>
      <c r="C229" s="45" t="str">
        <f>Tabla2[[#This Row],[(id_solicitud-tipo_documento)]]&amp;B229</f>
        <v>70Resolucion1</v>
      </c>
      <c r="D229" s="45">
        <v>228</v>
      </c>
      <c r="E229" s="45">
        <v>70</v>
      </c>
      <c r="F229" s="45" t="s">
        <v>48</v>
      </c>
      <c r="G229" s="45"/>
      <c r="H229" s="50" t="s">
        <v>544</v>
      </c>
      <c r="I229" s="51">
        <v>226</v>
      </c>
      <c r="J229" s="80"/>
      <c r="K2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29" s="48">
        <v>44606</v>
      </c>
      <c r="M229" s="48">
        <v>44846</v>
      </c>
      <c r="N229" s="49"/>
      <c r="O229" s="45"/>
      <c r="P229" s="80"/>
      <c r="Q229" s="48"/>
      <c r="R229" s="45"/>
      <c r="S229" s="114"/>
      <c r="T229" s="45"/>
      <c r="U229" s="48"/>
      <c r="V229" s="48"/>
      <c r="W229" s="27"/>
    </row>
    <row r="230" spans="1:23" ht="60" hidden="1" customHeight="1" x14ac:dyDescent="0.25">
      <c r="A230" s="45" t="str">
        <f>CONCATENATE(Tabla2[[#This Row],[id_solicitud]],Tabla2[[#This Row],[tipo]])</f>
        <v>32Decreto</v>
      </c>
      <c r="B230" s="45">
        <f>COUNTIF($A$2:A230,A230)</f>
        <v>1</v>
      </c>
      <c r="C230" s="45" t="str">
        <f>Tabla2[[#This Row],[(id_solicitud-tipo_documento)]]&amp;B230</f>
        <v>32Decreto1</v>
      </c>
      <c r="D230" s="45">
        <v>229</v>
      </c>
      <c r="E230" s="45">
        <v>32</v>
      </c>
      <c r="F230" s="45" t="s">
        <v>47</v>
      </c>
      <c r="G230" s="45" t="s">
        <v>43</v>
      </c>
      <c r="H230" s="50" t="s">
        <v>26</v>
      </c>
      <c r="I230" s="51">
        <v>230</v>
      </c>
      <c r="J230" s="80"/>
      <c r="K2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230 DV</v>
      </c>
      <c r="L230" s="48">
        <v>44601</v>
      </c>
      <c r="M230" s="48">
        <v>44841</v>
      </c>
      <c r="N230" s="49" t="s">
        <v>774</v>
      </c>
      <c r="O230" s="45"/>
      <c r="P230" s="80"/>
      <c r="Q230" s="48"/>
      <c r="R230" s="45"/>
      <c r="S230" s="115">
        <v>70</v>
      </c>
      <c r="T230" s="20">
        <v>44592</v>
      </c>
      <c r="U230" s="53">
        <v>44617</v>
      </c>
      <c r="V230" s="53">
        <v>44617</v>
      </c>
      <c r="W230" s="27"/>
    </row>
    <row r="231" spans="1:23" ht="60" hidden="1" customHeight="1" x14ac:dyDescent="0.25">
      <c r="A231" s="45" t="str">
        <f>CONCATENATE(Tabla2[[#This Row],[id_solicitud]],Tabla2[[#This Row],[tipo]])</f>
        <v>184Proposicion</v>
      </c>
      <c r="B231" s="45">
        <f>COUNTIF($A$2:A231,A231)</f>
        <v>1</v>
      </c>
      <c r="C231" s="45" t="str">
        <f>Tabla2[[#This Row],[(id_solicitud-tipo_documento)]]&amp;B231</f>
        <v>184Proposicion1</v>
      </c>
      <c r="D231" s="45">
        <v>230</v>
      </c>
      <c r="E231" s="45">
        <v>184</v>
      </c>
      <c r="F231" s="45" t="s">
        <v>46</v>
      </c>
      <c r="G231" s="45" t="s">
        <v>40</v>
      </c>
      <c r="H231" s="50" t="s">
        <v>10</v>
      </c>
      <c r="I231" s="51">
        <v>232</v>
      </c>
      <c r="J231" s="80"/>
      <c r="K2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232 DAP</v>
      </c>
      <c r="L231" s="48">
        <v>44659</v>
      </c>
      <c r="M231" s="48">
        <v>44846</v>
      </c>
      <c r="N231" s="49" t="s">
        <v>219</v>
      </c>
      <c r="O231" s="45">
        <v>0</v>
      </c>
      <c r="P231" s="80" t="s">
        <v>497</v>
      </c>
      <c r="Q231" s="24"/>
      <c r="R231" s="23" t="s">
        <v>12</v>
      </c>
      <c r="S231" s="114"/>
      <c r="T231" s="45"/>
      <c r="U231" s="48"/>
      <c r="V231" s="48"/>
      <c r="W231" s="27"/>
    </row>
    <row r="232" spans="1:23" ht="60" hidden="1" customHeight="1" x14ac:dyDescent="0.25">
      <c r="A232" s="45" t="str">
        <f>CONCATENATE(Tabla2[[#This Row],[id_solicitud]],Tabla2[[#This Row],[tipo]])</f>
        <v>157Proposicion</v>
      </c>
      <c r="B232" s="45">
        <f>COUNTIF($A$2:A232,A232)</f>
        <v>1</v>
      </c>
      <c r="C232" s="45" t="str">
        <f>Tabla2[[#This Row],[(id_solicitud-tipo_documento)]]&amp;B232</f>
        <v>157Proposicion1</v>
      </c>
      <c r="D232" s="45">
        <v>231</v>
      </c>
      <c r="E232" s="45">
        <v>157</v>
      </c>
      <c r="F232" s="45" t="s">
        <v>46</v>
      </c>
      <c r="G232" s="45" t="s">
        <v>1258</v>
      </c>
      <c r="H232" s="50" t="s">
        <v>535</v>
      </c>
      <c r="I232" s="51">
        <v>233</v>
      </c>
      <c r="J232" s="80"/>
      <c r="K2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233 DOH_FETCovid19</v>
      </c>
      <c r="L232" s="48">
        <v>44672</v>
      </c>
      <c r="M232" s="48">
        <v>44672</v>
      </c>
      <c r="N232" s="49" t="s">
        <v>650</v>
      </c>
      <c r="O232" s="45">
        <v>4</v>
      </c>
      <c r="P232" s="80" t="s">
        <v>494</v>
      </c>
      <c r="Q232" s="24"/>
      <c r="R232" s="24" t="s">
        <v>24</v>
      </c>
      <c r="S232" s="114"/>
      <c r="T232" s="45"/>
      <c r="U232" s="48"/>
      <c r="V232" s="48"/>
      <c r="W232" s="27"/>
    </row>
    <row r="233" spans="1:23" ht="60" hidden="1" customHeight="1" x14ac:dyDescent="0.25">
      <c r="A233" s="45" t="str">
        <f>CONCATENATE(Tabla2[[#This Row],[id_solicitud]],Tabla2[[#This Row],[tipo]])</f>
        <v>429Proposicion</v>
      </c>
      <c r="B233" s="45">
        <f>COUNTIF($A$2:A233,A233)</f>
        <v>1</v>
      </c>
      <c r="C233" s="45" t="str">
        <f>Tabla2[[#This Row],[(id_solicitud-tipo_documento)]]&amp;B233</f>
        <v>429Proposicion1</v>
      </c>
      <c r="D233" s="45">
        <v>232</v>
      </c>
      <c r="E233" s="45">
        <v>429</v>
      </c>
      <c r="F233" s="45" t="s">
        <v>46</v>
      </c>
      <c r="G233" s="45" t="s">
        <v>44</v>
      </c>
      <c r="H233" s="50" t="s">
        <v>16</v>
      </c>
      <c r="I233" s="51">
        <v>233</v>
      </c>
      <c r="J233" s="80"/>
      <c r="K2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233 DGC</v>
      </c>
      <c r="L233" s="48">
        <v>44659</v>
      </c>
      <c r="M233" s="48">
        <v>44659</v>
      </c>
      <c r="N233" s="49" t="s">
        <v>721</v>
      </c>
      <c r="O233" s="45"/>
      <c r="P233" s="80" t="s">
        <v>500</v>
      </c>
      <c r="Q233" s="24"/>
      <c r="R233" s="23" t="s">
        <v>12</v>
      </c>
      <c r="S233" s="114"/>
      <c r="T233" s="45"/>
      <c r="U233" s="48"/>
      <c r="V233" s="48"/>
      <c r="W233" s="27"/>
    </row>
    <row r="234" spans="1:23" ht="60" hidden="1" customHeight="1" x14ac:dyDescent="0.25">
      <c r="A234" s="45" t="str">
        <f>CONCATENATE(Tabla2[[#This Row],[id_solicitud]],Tabla2[[#This Row],[tipo]])</f>
        <v>156Proposicion</v>
      </c>
      <c r="B234" s="45">
        <f>COUNTIF($A$2:A234,A234)</f>
        <v>1</v>
      </c>
      <c r="C234" s="45" t="str">
        <f>Tabla2[[#This Row],[(id_solicitud-tipo_documento)]]&amp;B234</f>
        <v>156Proposicion1</v>
      </c>
      <c r="D234" s="45">
        <v>233</v>
      </c>
      <c r="E234" s="45">
        <v>156</v>
      </c>
      <c r="F234" s="45" t="s">
        <v>46</v>
      </c>
      <c r="G234" s="45" t="s">
        <v>1258</v>
      </c>
      <c r="H234" s="50" t="s">
        <v>20</v>
      </c>
      <c r="I234" s="51">
        <v>234</v>
      </c>
      <c r="J234" s="80"/>
      <c r="K2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234 DOH</v>
      </c>
      <c r="L234" s="48">
        <v>44672</v>
      </c>
      <c r="M234" s="48">
        <v>44672</v>
      </c>
      <c r="N234" s="49" t="s">
        <v>649</v>
      </c>
      <c r="O234" s="45">
        <v>12</v>
      </c>
      <c r="P234" s="80" t="s">
        <v>494</v>
      </c>
      <c r="Q234" s="24"/>
      <c r="R234" s="24" t="s">
        <v>24</v>
      </c>
      <c r="S234" s="114"/>
      <c r="T234" s="45"/>
      <c r="U234" s="48"/>
      <c r="V234" s="48"/>
      <c r="W234" s="27"/>
    </row>
    <row r="235" spans="1:23" ht="60" hidden="1" customHeight="1" x14ac:dyDescent="0.25">
      <c r="A235" s="45" t="str">
        <f>CONCATENATE(Tabla2[[#This Row],[id_solicitud]],Tabla2[[#This Row],[tipo]])</f>
        <v>165Proposicion</v>
      </c>
      <c r="B235" s="45">
        <f>COUNTIF($A$2:A235,A235)</f>
        <v>1</v>
      </c>
      <c r="C235" s="45" t="str">
        <f>Tabla2[[#This Row],[(id_solicitud-tipo_documento)]]&amp;B235</f>
        <v>165Proposicion1</v>
      </c>
      <c r="D235" s="45">
        <v>234</v>
      </c>
      <c r="E235" s="45">
        <v>165</v>
      </c>
      <c r="F235" s="45" t="s">
        <v>46</v>
      </c>
      <c r="G235" s="45" t="s">
        <v>60</v>
      </c>
      <c r="H235" s="50" t="s">
        <v>22</v>
      </c>
      <c r="I235" s="51">
        <v>235</v>
      </c>
      <c r="J235" s="80"/>
      <c r="K2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235 DOP</v>
      </c>
      <c r="L235" s="48">
        <v>44672</v>
      </c>
      <c r="M235" s="48">
        <v>44846</v>
      </c>
      <c r="N235" s="49" t="s">
        <v>206</v>
      </c>
      <c r="O235" s="45">
        <v>5</v>
      </c>
      <c r="P235" s="80" t="s">
        <v>494</v>
      </c>
      <c r="Q235" s="24"/>
      <c r="R235" s="24" t="s">
        <v>24</v>
      </c>
      <c r="S235" s="114"/>
      <c r="T235" s="45"/>
      <c r="U235" s="48"/>
      <c r="V235" s="48"/>
      <c r="W235" s="27"/>
    </row>
    <row r="236" spans="1:23" ht="60" hidden="1" customHeight="1" x14ac:dyDescent="0.25">
      <c r="A236" s="45" t="str">
        <f>CONCATENATE(Tabla2[[#This Row],[id_solicitud]],Tabla2[[#This Row],[tipo]])</f>
        <v>66Resolucion</v>
      </c>
      <c r="B236" s="45">
        <f>COUNTIF($A$2:A236,A236)</f>
        <v>1</v>
      </c>
      <c r="C236" s="45" t="str">
        <f>Tabla2[[#This Row],[(id_solicitud-tipo_documento)]]&amp;B236</f>
        <v>66Resolucion1</v>
      </c>
      <c r="D236" s="45">
        <v>235</v>
      </c>
      <c r="E236" s="45">
        <v>66</v>
      </c>
      <c r="F236" s="45" t="s">
        <v>48</v>
      </c>
      <c r="G236" s="45"/>
      <c r="H236" s="50" t="s">
        <v>541</v>
      </c>
      <c r="I236" s="51">
        <v>236</v>
      </c>
      <c r="J236" s="80"/>
      <c r="K2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36" s="48">
        <v>44636</v>
      </c>
      <c r="M236" s="48">
        <v>44846</v>
      </c>
      <c r="N236" s="49"/>
      <c r="O236" s="45"/>
      <c r="P236" s="80"/>
      <c r="Q236" s="48"/>
      <c r="R236" s="45"/>
      <c r="S236" s="114"/>
      <c r="T236" s="45"/>
      <c r="U236" s="48"/>
      <c r="V236" s="48"/>
      <c r="W236" s="27"/>
    </row>
    <row r="237" spans="1:23" ht="60" hidden="1" customHeight="1" x14ac:dyDescent="0.25">
      <c r="A237" s="45" t="str">
        <f>CONCATENATE(Tabla2[[#This Row],[id_solicitud]],Tabla2[[#This Row],[tipo]])</f>
        <v>248Oficio_Solicitud</v>
      </c>
      <c r="B237" s="45">
        <f>COUNTIF($A$2:A237,A237)</f>
        <v>1</v>
      </c>
      <c r="C237" s="45" t="str">
        <f>Tabla2[[#This Row],[(id_solicitud-tipo_documento)]]&amp;B237</f>
        <v>248Oficio_Solicitud1</v>
      </c>
      <c r="D237" s="45">
        <v>236</v>
      </c>
      <c r="E237" s="45">
        <v>248</v>
      </c>
      <c r="F237" s="45" t="s">
        <v>53</v>
      </c>
      <c r="G237" s="45" t="s">
        <v>40</v>
      </c>
      <c r="H237" s="50" t="s">
        <v>565</v>
      </c>
      <c r="I237" s="51">
        <v>236</v>
      </c>
      <c r="J237" s="80"/>
      <c r="K2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236 DGA_FETCovid19</v>
      </c>
      <c r="L237" s="48">
        <v>44712</v>
      </c>
      <c r="M237" s="48">
        <v>44847</v>
      </c>
      <c r="N237" s="49" t="s">
        <v>275</v>
      </c>
      <c r="O237" s="45">
        <v>2</v>
      </c>
      <c r="P237" s="80" t="s">
        <v>499</v>
      </c>
      <c r="Q237" s="48"/>
      <c r="R237" s="45"/>
      <c r="S237" s="114"/>
      <c r="T237" s="52"/>
      <c r="U237" s="48"/>
      <c r="V237" s="48"/>
      <c r="W237" s="27"/>
    </row>
    <row r="238" spans="1:23" ht="60" hidden="1" customHeight="1" x14ac:dyDescent="0.25">
      <c r="A238" s="45" t="str">
        <f>CONCATENATE(Tabla2[[#This Row],[id_solicitud]],Tabla2[[#This Row],[tipo]])</f>
        <v>367Oficio_Solicitud</v>
      </c>
      <c r="B238" s="45">
        <f>COUNTIF($A$2:A238,A238)</f>
        <v>1</v>
      </c>
      <c r="C238" s="45" t="str">
        <f>Tabla2[[#This Row],[(id_solicitud-tipo_documento)]]&amp;B238</f>
        <v>367Oficio_Solicitud1</v>
      </c>
      <c r="D238" s="45">
        <v>237</v>
      </c>
      <c r="E238" s="45">
        <v>367</v>
      </c>
      <c r="F238" s="45" t="s">
        <v>53</v>
      </c>
      <c r="G238" s="45" t="s">
        <v>44</v>
      </c>
      <c r="H238" s="50" t="s">
        <v>35</v>
      </c>
      <c r="I238" s="51">
        <v>241</v>
      </c>
      <c r="J238" s="80"/>
      <c r="K2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241 SOP</v>
      </c>
      <c r="L238" s="48">
        <v>44757</v>
      </c>
      <c r="M238" s="48">
        <v>44855</v>
      </c>
      <c r="N238" s="49"/>
      <c r="O238" s="45"/>
      <c r="P238" s="80" t="s">
        <v>500</v>
      </c>
      <c r="Q238" s="48"/>
      <c r="R238" s="45"/>
      <c r="S238" s="114"/>
      <c r="T238" s="52"/>
      <c r="U238" s="48"/>
      <c r="V238" s="48"/>
      <c r="W238" s="27"/>
    </row>
    <row r="239" spans="1:23" ht="60" hidden="1" customHeight="1" x14ac:dyDescent="0.25">
      <c r="A239" s="45" t="str">
        <f>CONCATENATE(Tabla2[[#This Row],[id_solicitud]],Tabla2[[#This Row],[tipo]])</f>
        <v>17Resolucion</v>
      </c>
      <c r="B239" s="45">
        <f>COUNTIF($A$2:A239,A239)</f>
        <v>1</v>
      </c>
      <c r="C239" s="45" t="str">
        <f>Tabla2[[#This Row],[(id_solicitud-tipo_documento)]]&amp;B239</f>
        <v>17Resolucion1</v>
      </c>
      <c r="D239" s="45">
        <v>238</v>
      </c>
      <c r="E239" s="45">
        <v>17</v>
      </c>
      <c r="F239" s="45" t="s">
        <v>48</v>
      </c>
      <c r="G239" s="45"/>
      <c r="H239" s="50" t="s">
        <v>565</v>
      </c>
      <c r="I239" s="51">
        <v>243</v>
      </c>
      <c r="J239" s="80"/>
      <c r="K2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39" s="48">
        <v>44601</v>
      </c>
      <c r="M239" s="48">
        <v>44858</v>
      </c>
      <c r="N239" s="49"/>
      <c r="O239" s="45"/>
      <c r="P239" s="80"/>
      <c r="Q239" s="48"/>
      <c r="R239" s="45"/>
      <c r="S239" s="114"/>
      <c r="T239" s="45"/>
      <c r="U239" s="48"/>
      <c r="V239" s="48"/>
      <c r="W239" s="27"/>
    </row>
    <row r="240" spans="1:23" ht="60" hidden="1" customHeight="1" x14ac:dyDescent="0.25">
      <c r="A240" s="45" t="str">
        <f>CONCATENATE(Tabla2[[#This Row],[id_solicitud]],Tabla2[[#This Row],[tipo]])</f>
        <v>162Proposicion</v>
      </c>
      <c r="B240" s="45">
        <f>COUNTIF($A$2:A240,A240)</f>
        <v>1</v>
      </c>
      <c r="C240" s="45" t="str">
        <f>Tabla2[[#This Row],[(id_solicitud-tipo_documento)]]&amp;B240</f>
        <v>162Proposicion1</v>
      </c>
      <c r="D240" s="45">
        <v>239</v>
      </c>
      <c r="E240" s="45">
        <v>162</v>
      </c>
      <c r="F240" s="45" t="s">
        <v>46</v>
      </c>
      <c r="G240" s="45" t="s">
        <v>60</v>
      </c>
      <c r="H240" s="50" t="s">
        <v>16</v>
      </c>
      <c r="I240" s="51">
        <v>243</v>
      </c>
      <c r="J240" s="80"/>
      <c r="K2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243 DGC</v>
      </c>
      <c r="L240" s="48">
        <v>44673</v>
      </c>
      <c r="M240" s="48">
        <v>44858</v>
      </c>
      <c r="N240" s="49" t="s">
        <v>203</v>
      </c>
      <c r="O240" s="45">
        <v>8</v>
      </c>
      <c r="P240" s="80" t="s">
        <v>494</v>
      </c>
      <c r="Q240" s="24"/>
      <c r="R240" s="24" t="s">
        <v>24</v>
      </c>
      <c r="S240" s="114"/>
      <c r="T240" s="45"/>
      <c r="U240" s="48"/>
      <c r="V240" s="48"/>
      <c r="W240" s="27"/>
    </row>
    <row r="241" spans="1:23" ht="60" hidden="1" customHeight="1" x14ac:dyDescent="0.25">
      <c r="A241" s="45" t="str">
        <f>CONCATENATE(Tabla2[[#This Row],[id_solicitud]],Tabla2[[#This Row],[tipo]])</f>
        <v>153Proposicion</v>
      </c>
      <c r="B241" s="45">
        <f>COUNTIF($A$2:A241,A241)</f>
        <v>1</v>
      </c>
      <c r="C241" s="45" t="str">
        <f>Tabla2[[#This Row],[(id_solicitud-tipo_documento)]]&amp;B241</f>
        <v>153Proposicion1</v>
      </c>
      <c r="D241" s="45">
        <v>240</v>
      </c>
      <c r="E241" s="45">
        <v>153</v>
      </c>
      <c r="F241" s="45" t="s">
        <v>46</v>
      </c>
      <c r="G241" s="45" t="s">
        <v>60</v>
      </c>
      <c r="H241" s="50" t="s">
        <v>8</v>
      </c>
      <c r="I241" s="51">
        <v>244</v>
      </c>
      <c r="J241" s="80"/>
      <c r="K2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244 DA</v>
      </c>
      <c r="L241" s="48">
        <v>44673</v>
      </c>
      <c r="M241" s="48">
        <v>44855</v>
      </c>
      <c r="N241" s="49" t="s">
        <v>196</v>
      </c>
      <c r="O241" s="45">
        <v>1</v>
      </c>
      <c r="P241" s="80" t="s">
        <v>494</v>
      </c>
      <c r="Q241" s="24"/>
      <c r="R241" s="24" t="s">
        <v>24</v>
      </c>
      <c r="S241" s="114"/>
      <c r="T241" s="45"/>
      <c r="U241" s="48"/>
      <c r="V241" s="48"/>
      <c r="W241" s="27"/>
    </row>
    <row r="242" spans="1:23" ht="60" hidden="1" customHeight="1" x14ac:dyDescent="0.25">
      <c r="A242" s="45" t="str">
        <f>CONCATENATE(Tabla2[[#This Row],[id_solicitud]],Tabla2[[#This Row],[tipo]])</f>
        <v>159Proposicion</v>
      </c>
      <c r="B242" s="45">
        <f>COUNTIF($A$2:A242,A242)</f>
        <v>1</v>
      </c>
      <c r="C242" s="45" t="str">
        <f>Tabla2[[#This Row],[(id_solicitud-tipo_documento)]]&amp;B242</f>
        <v>159Proposicion1</v>
      </c>
      <c r="D242" s="45">
        <v>241</v>
      </c>
      <c r="E242" s="45">
        <v>159</v>
      </c>
      <c r="F242" s="45" t="s">
        <v>46</v>
      </c>
      <c r="G242" s="45" t="s">
        <v>60</v>
      </c>
      <c r="H242" s="50" t="s">
        <v>20</v>
      </c>
      <c r="I242" s="51">
        <v>245</v>
      </c>
      <c r="J242" s="80"/>
      <c r="K2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245 DOH</v>
      </c>
      <c r="L242" s="48">
        <v>44673</v>
      </c>
      <c r="M242" s="48">
        <v>44867</v>
      </c>
      <c r="N242" s="49" t="s">
        <v>652</v>
      </c>
      <c r="O242" s="45">
        <v>15</v>
      </c>
      <c r="P242" s="80" t="s">
        <v>494</v>
      </c>
      <c r="Q242" s="24"/>
      <c r="R242" s="24" t="s">
        <v>24</v>
      </c>
      <c r="S242" s="114"/>
      <c r="T242" s="45"/>
      <c r="U242" s="48"/>
      <c r="V242" s="48"/>
      <c r="W242" s="27"/>
    </row>
    <row r="243" spans="1:23" ht="60" hidden="1" customHeight="1" x14ac:dyDescent="0.25">
      <c r="A243" s="45" t="str">
        <f>CONCATENATE(Tabla2[[#This Row],[id_solicitud]],Tabla2[[#This Row],[tipo]])</f>
        <v>67Oficio_Solicitud</v>
      </c>
      <c r="B243" s="45">
        <f>COUNTIF($A$2:A243,A243)</f>
        <v>1</v>
      </c>
      <c r="C243" s="45" t="str">
        <f>Tabla2[[#This Row],[(id_solicitud-tipo_documento)]]&amp;B243</f>
        <v>67Oficio_Solicitud1</v>
      </c>
      <c r="D243" s="45">
        <v>242</v>
      </c>
      <c r="E243" s="45">
        <v>67</v>
      </c>
      <c r="F243" s="45" t="s">
        <v>53</v>
      </c>
      <c r="G243" s="45" t="s">
        <v>42</v>
      </c>
      <c r="H243" s="50" t="s">
        <v>16</v>
      </c>
      <c r="I243" s="51">
        <v>246</v>
      </c>
      <c r="J243" s="80"/>
      <c r="K2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246 DGC</v>
      </c>
      <c r="L243" s="48">
        <v>44665</v>
      </c>
      <c r="M243" s="48">
        <v>44867</v>
      </c>
      <c r="N243" s="49" t="s">
        <v>124</v>
      </c>
      <c r="O243" s="45"/>
      <c r="P243" s="80" t="s">
        <v>497</v>
      </c>
      <c r="Q243" s="48">
        <v>44593</v>
      </c>
      <c r="R243" s="45"/>
      <c r="S243" s="114"/>
      <c r="T243" s="52"/>
      <c r="U243" s="48"/>
      <c r="V243" s="48"/>
      <c r="W243" s="27"/>
    </row>
    <row r="244" spans="1:23" ht="60" hidden="1" customHeight="1" x14ac:dyDescent="0.25">
      <c r="A244" s="45" t="str">
        <f>CONCATENATE(Tabla2[[#This Row],[id_solicitud]],Tabla2[[#This Row],[tipo]])</f>
        <v>170Proposicion</v>
      </c>
      <c r="B244" s="45">
        <f>COUNTIF($A$2:A244,A244)</f>
        <v>1</v>
      </c>
      <c r="C244" s="45" t="str">
        <f>Tabla2[[#This Row],[(id_solicitud-tipo_documento)]]&amp;B244</f>
        <v>170Proposicion1</v>
      </c>
      <c r="D244" s="45">
        <v>243</v>
      </c>
      <c r="E244" s="45">
        <v>170</v>
      </c>
      <c r="F244" s="45" t="s">
        <v>46</v>
      </c>
      <c r="G244" s="45" t="s">
        <v>1258</v>
      </c>
      <c r="H244" s="50" t="s">
        <v>541</v>
      </c>
      <c r="I244" s="51">
        <v>246</v>
      </c>
      <c r="J244" s="80"/>
      <c r="K2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246 DOP_FETCovid19</v>
      </c>
      <c r="L244" s="48">
        <v>44673</v>
      </c>
      <c r="M244" s="48">
        <v>44867</v>
      </c>
      <c r="N244" s="49" t="s">
        <v>653</v>
      </c>
      <c r="O244" s="45">
        <v>2</v>
      </c>
      <c r="P244" s="80" t="s">
        <v>494</v>
      </c>
      <c r="Q244" s="24"/>
      <c r="R244" s="24" t="s">
        <v>24</v>
      </c>
      <c r="S244" s="114"/>
      <c r="T244" s="45"/>
      <c r="U244" s="48"/>
      <c r="V244" s="48"/>
      <c r="W244" s="27"/>
    </row>
    <row r="245" spans="1:23" ht="60" hidden="1" customHeight="1" x14ac:dyDescent="0.25">
      <c r="A245" s="45" t="str">
        <f>CONCATENATE(Tabla2[[#This Row],[id_solicitud]],Tabla2[[#This Row],[tipo]])</f>
        <v>167Proposicion</v>
      </c>
      <c r="B245" s="45">
        <f>COUNTIF($A$2:A245,A245)</f>
        <v>1</v>
      </c>
      <c r="C245" s="45" t="str">
        <f>Tabla2[[#This Row],[(id_solicitud-tipo_documento)]]&amp;B245</f>
        <v>167Proposicion1</v>
      </c>
      <c r="D245" s="45">
        <v>244</v>
      </c>
      <c r="E245" s="45">
        <v>167</v>
      </c>
      <c r="F245" s="45" t="s">
        <v>46</v>
      </c>
      <c r="G245" s="45" t="s">
        <v>1258</v>
      </c>
      <c r="H245" s="50" t="s">
        <v>10</v>
      </c>
      <c r="I245" s="51">
        <v>247</v>
      </c>
      <c r="J245" s="80"/>
      <c r="K2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247 DAP</v>
      </c>
      <c r="L245" s="48">
        <v>44673</v>
      </c>
      <c r="M245" s="48">
        <v>44868</v>
      </c>
      <c r="N245" s="49" t="s">
        <v>208</v>
      </c>
      <c r="O245" s="45">
        <v>1</v>
      </c>
      <c r="P245" s="80" t="s">
        <v>494</v>
      </c>
      <c r="Q245" s="24"/>
      <c r="R245" s="24" t="s">
        <v>24</v>
      </c>
      <c r="S245" s="114"/>
      <c r="T245" s="45"/>
      <c r="U245" s="48"/>
      <c r="V245" s="48"/>
      <c r="W245" s="27"/>
    </row>
    <row r="246" spans="1:23" ht="60" hidden="1" customHeight="1" x14ac:dyDescent="0.25">
      <c r="A246" s="45" t="str">
        <f>CONCATENATE(Tabla2[[#This Row],[id_solicitud]],Tabla2[[#This Row],[tipo]])</f>
        <v>166Proposicion</v>
      </c>
      <c r="B246" s="45">
        <f>COUNTIF($A$2:A246,A246)</f>
        <v>1</v>
      </c>
      <c r="C246" s="45" t="str">
        <f>Tabla2[[#This Row],[(id_solicitud-tipo_documento)]]&amp;B246</f>
        <v>166Proposicion1</v>
      </c>
      <c r="D246" s="45">
        <v>245</v>
      </c>
      <c r="E246" s="45">
        <v>166</v>
      </c>
      <c r="F246" s="45" t="s">
        <v>46</v>
      </c>
      <c r="G246" s="45" t="s">
        <v>1258</v>
      </c>
      <c r="H246" s="50" t="s">
        <v>544</v>
      </c>
      <c r="I246" s="51">
        <v>248</v>
      </c>
      <c r="J246" s="80"/>
      <c r="K2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248 DAP_FETCovid19</v>
      </c>
      <c r="L246" s="48">
        <v>44673</v>
      </c>
      <c r="M246" s="48">
        <v>44867</v>
      </c>
      <c r="N246" s="49" t="s">
        <v>207</v>
      </c>
      <c r="O246" s="45">
        <v>3</v>
      </c>
      <c r="P246" s="80" t="s">
        <v>494</v>
      </c>
      <c r="Q246" s="24"/>
      <c r="R246" s="24" t="s">
        <v>24</v>
      </c>
      <c r="S246" s="114"/>
      <c r="T246" s="45"/>
      <c r="U246" s="48"/>
      <c r="V246" s="48"/>
      <c r="W246" s="27"/>
    </row>
    <row r="247" spans="1:23" ht="60" hidden="1" customHeight="1" x14ac:dyDescent="0.25">
      <c r="A247" s="45" t="str">
        <f>CONCATENATE(Tabla2[[#This Row],[id_solicitud]],Tabla2[[#This Row],[tipo]])</f>
        <v>319Oficio_Solicitud</v>
      </c>
      <c r="B247" s="45">
        <f>COUNTIF($A$2:A247,A247)</f>
        <v>1</v>
      </c>
      <c r="C247" s="45" t="str">
        <f>Tabla2[[#This Row],[(id_solicitud-tipo_documento)]]&amp;B247</f>
        <v>319Oficio_Solicitud1</v>
      </c>
      <c r="D247" s="45">
        <v>246</v>
      </c>
      <c r="E247" s="45">
        <v>319</v>
      </c>
      <c r="F247" s="45" t="s">
        <v>53</v>
      </c>
      <c r="G247" s="45" t="s">
        <v>40</v>
      </c>
      <c r="H247" s="50" t="s">
        <v>589</v>
      </c>
      <c r="I247" s="51">
        <v>251</v>
      </c>
      <c r="J247" s="80"/>
      <c r="K2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251 SOP-DOH</v>
      </c>
      <c r="L247" s="48">
        <v>44771</v>
      </c>
      <c r="M247" s="48">
        <v>44869</v>
      </c>
      <c r="N247" s="49" t="s">
        <v>330</v>
      </c>
      <c r="O247" s="45"/>
      <c r="P247" s="80" t="s">
        <v>498</v>
      </c>
      <c r="Q247" s="48">
        <v>44774</v>
      </c>
      <c r="R247" s="45"/>
      <c r="S247" s="114"/>
      <c r="T247" s="52"/>
      <c r="U247" s="48"/>
      <c r="V247" s="48"/>
      <c r="W247" s="27"/>
    </row>
    <row r="248" spans="1:23" ht="60" hidden="1" customHeight="1" x14ac:dyDescent="0.25">
      <c r="A248" s="45" t="str">
        <f>CONCATENATE(Tabla2[[#This Row],[id_solicitud]],Tabla2[[#This Row],[tipo]])</f>
        <v>121Resolucion</v>
      </c>
      <c r="B248" s="45">
        <f>COUNTIF($A$2:A248,A248)</f>
        <v>1</v>
      </c>
      <c r="C248" s="45" t="str">
        <f>Tabla2[[#This Row],[(id_solicitud-tipo_documento)]]&amp;B248</f>
        <v>121Resolucion1</v>
      </c>
      <c r="D248" s="45">
        <v>247</v>
      </c>
      <c r="E248" s="45">
        <v>121</v>
      </c>
      <c r="F248" s="45" t="s">
        <v>48</v>
      </c>
      <c r="G248" s="45"/>
      <c r="H248" s="50" t="s">
        <v>22</v>
      </c>
      <c r="I248" s="51">
        <v>252</v>
      </c>
      <c r="J248" s="80"/>
      <c r="K2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48" s="48">
        <v>44637</v>
      </c>
      <c r="M248" s="48">
        <v>44869</v>
      </c>
      <c r="N248" s="49"/>
      <c r="O248" s="45"/>
      <c r="P248" s="80"/>
      <c r="Q248" s="48"/>
      <c r="R248" s="45"/>
      <c r="S248" s="114"/>
      <c r="T248" s="45"/>
      <c r="U248" s="48"/>
      <c r="V248" s="48"/>
      <c r="W248" s="27"/>
    </row>
    <row r="249" spans="1:23" ht="60" hidden="1" customHeight="1" x14ac:dyDescent="0.25">
      <c r="A249" s="45" t="str">
        <f>CONCATENATE(Tabla2[[#This Row],[id_solicitud]],Tabla2[[#This Row],[tipo]])</f>
        <v>116Resolucion</v>
      </c>
      <c r="B249" s="45">
        <f>COUNTIF($A$2:A249,A249)</f>
        <v>1</v>
      </c>
      <c r="C249" s="45" t="str">
        <f>Tabla2[[#This Row],[(id_solicitud-tipo_documento)]]&amp;B249</f>
        <v>116Resolucion1</v>
      </c>
      <c r="D249" s="45">
        <v>248</v>
      </c>
      <c r="E249" s="45">
        <v>116</v>
      </c>
      <c r="F249" s="45" t="s">
        <v>48</v>
      </c>
      <c r="G249" s="45"/>
      <c r="H249" s="50" t="s">
        <v>22</v>
      </c>
      <c r="I249" s="51">
        <v>253</v>
      </c>
      <c r="J249" s="80"/>
      <c r="K2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49" s="48">
        <v>44637</v>
      </c>
      <c r="M249" s="48">
        <v>44869</v>
      </c>
      <c r="N249" s="49"/>
      <c r="O249" s="45"/>
      <c r="P249" s="80"/>
      <c r="Q249" s="48"/>
      <c r="R249" s="45"/>
      <c r="S249" s="114"/>
      <c r="T249" s="45"/>
      <c r="U249" s="48"/>
      <c r="V249" s="48"/>
      <c r="W249" s="27"/>
    </row>
    <row r="250" spans="1:23" ht="60" hidden="1" customHeight="1" x14ac:dyDescent="0.25">
      <c r="A250" s="45" t="str">
        <f>CONCATENATE(Tabla2[[#This Row],[id_solicitud]],Tabla2[[#This Row],[tipo]])</f>
        <v>22Resolucion</v>
      </c>
      <c r="B250" s="45">
        <f>COUNTIF($A$2:A250,A250)</f>
        <v>1</v>
      </c>
      <c r="C250" s="45" t="str">
        <f>Tabla2[[#This Row],[(id_solicitud-tipo_documento)]]&amp;B250</f>
        <v>22Resolucion1</v>
      </c>
      <c r="D250" s="45">
        <v>249</v>
      </c>
      <c r="E250" s="45">
        <v>22</v>
      </c>
      <c r="F250" s="45" t="s">
        <v>48</v>
      </c>
      <c r="G250" s="45"/>
      <c r="H250" s="50" t="s">
        <v>562</v>
      </c>
      <c r="I250" s="51">
        <v>254</v>
      </c>
      <c r="J250" s="80"/>
      <c r="K2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50" s="48">
        <v>44592</v>
      </c>
      <c r="M250" s="48">
        <v>44868</v>
      </c>
      <c r="N250" s="49"/>
      <c r="O250" s="45"/>
      <c r="P250" s="80"/>
      <c r="Q250" s="48"/>
      <c r="R250" s="45"/>
      <c r="S250" s="114"/>
      <c r="T250" s="45"/>
      <c r="U250" s="48"/>
      <c r="V250" s="48"/>
      <c r="W250" s="27"/>
    </row>
    <row r="251" spans="1:23" ht="60" hidden="1" customHeight="1" x14ac:dyDescent="0.25">
      <c r="A251" s="45" t="str">
        <f>CONCATENATE(Tabla2[[#This Row],[id_solicitud]],Tabla2[[#This Row],[tipo]])</f>
        <v>114Resolucion</v>
      </c>
      <c r="B251" s="45">
        <f>COUNTIF($A$2:A251,A251)</f>
        <v>1</v>
      </c>
      <c r="C251" s="45" t="str">
        <f>Tabla2[[#This Row],[(id_solicitud-tipo_documento)]]&amp;B251</f>
        <v>114Resolucion1</v>
      </c>
      <c r="D251" s="45">
        <v>250</v>
      </c>
      <c r="E251" s="45">
        <v>114</v>
      </c>
      <c r="F251" s="45" t="s">
        <v>48</v>
      </c>
      <c r="G251" s="45"/>
      <c r="H251" s="50" t="s">
        <v>22</v>
      </c>
      <c r="I251" s="51">
        <v>254</v>
      </c>
      <c r="J251" s="80"/>
      <c r="K2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51" s="48">
        <v>44637</v>
      </c>
      <c r="M251" s="48">
        <v>44868</v>
      </c>
      <c r="N251" s="49"/>
      <c r="O251" s="45"/>
      <c r="P251" s="80"/>
      <c r="Q251" s="48"/>
      <c r="R251" s="45"/>
      <c r="S251" s="114"/>
      <c r="T251" s="45"/>
      <c r="U251" s="48"/>
      <c r="V251" s="48"/>
      <c r="W251" s="27"/>
    </row>
    <row r="252" spans="1:23" ht="60" hidden="1" customHeight="1" x14ac:dyDescent="0.25">
      <c r="A252" s="45" t="str">
        <f>CONCATENATE(Tabla2[[#This Row],[id_solicitud]],Tabla2[[#This Row],[tipo]])</f>
        <v>173Proposicion</v>
      </c>
      <c r="B252" s="45">
        <f>COUNTIF($A$2:A252,A252)</f>
        <v>1</v>
      </c>
      <c r="C252" s="45" t="str">
        <f>Tabla2[[#This Row],[(id_solicitud-tipo_documento)]]&amp;B252</f>
        <v>173Proposicion1</v>
      </c>
      <c r="D252" s="45">
        <v>251</v>
      </c>
      <c r="E252" s="45">
        <v>173</v>
      </c>
      <c r="F252" s="45" t="s">
        <v>46</v>
      </c>
      <c r="G252" s="45" t="s">
        <v>40</v>
      </c>
      <c r="H252" s="50" t="s">
        <v>26</v>
      </c>
      <c r="I252" s="51">
        <v>255</v>
      </c>
      <c r="J252" s="80"/>
      <c r="K2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255 DV</v>
      </c>
      <c r="L252" s="48">
        <v>44673</v>
      </c>
      <c r="M252" s="48">
        <v>44869</v>
      </c>
      <c r="N252" s="49" t="s">
        <v>654</v>
      </c>
      <c r="O252" s="45"/>
      <c r="P252" s="80" t="s">
        <v>500</v>
      </c>
      <c r="Q252" s="24"/>
      <c r="R252" s="23" t="s">
        <v>12</v>
      </c>
      <c r="S252" s="114"/>
      <c r="T252" s="45"/>
      <c r="U252" s="48"/>
      <c r="V252" s="48"/>
      <c r="W252" s="27"/>
    </row>
    <row r="253" spans="1:23" ht="60" hidden="1" customHeight="1" x14ac:dyDescent="0.25">
      <c r="A253" s="45" t="str">
        <f>CONCATENATE(Tabla2[[#This Row],[id_solicitud]],Tabla2[[#This Row],[tipo]])</f>
        <v>243Proposicion</v>
      </c>
      <c r="B253" s="45">
        <f>COUNTIF($A$2:A253,A253)</f>
        <v>1</v>
      </c>
      <c r="C253" s="45" t="str">
        <f>Tabla2[[#This Row],[(id_solicitud-tipo_documento)]]&amp;B253</f>
        <v>243Proposicion1</v>
      </c>
      <c r="D253" s="45">
        <v>252</v>
      </c>
      <c r="E253" s="45">
        <v>243</v>
      </c>
      <c r="F253" s="45" t="s">
        <v>46</v>
      </c>
      <c r="G253" s="45" t="s">
        <v>40</v>
      </c>
      <c r="H253" s="50" t="s">
        <v>26</v>
      </c>
      <c r="I253" s="51">
        <v>255</v>
      </c>
      <c r="J253" s="80"/>
      <c r="K2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255 DV</v>
      </c>
      <c r="L253" s="48">
        <v>44673</v>
      </c>
      <c r="M253" s="48">
        <v>44868</v>
      </c>
      <c r="N253" s="49" t="s">
        <v>654</v>
      </c>
      <c r="O253" s="45"/>
      <c r="P253" s="80" t="s">
        <v>494</v>
      </c>
      <c r="Q253" s="24"/>
      <c r="R253" s="23" t="s">
        <v>12</v>
      </c>
      <c r="S253" s="114"/>
      <c r="T253" s="45"/>
      <c r="U253" s="48"/>
      <c r="V253" s="48"/>
      <c r="W253" s="27"/>
    </row>
    <row r="254" spans="1:23" ht="60" hidden="1" customHeight="1" x14ac:dyDescent="0.25">
      <c r="A254" s="45" t="str">
        <f>CONCATENATE(Tabla2[[#This Row],[id_solicitud]],Tabla2[[#This Row],[tipo]])</f>
        <v>149Oficio_Solicitud</v>
      </c>
      <c r="B254" s="45">
        <f>COUNTIF($A$2:A254,A254)</f>
        <v>1</v>
      </c>
      <c r="C254" s="45" t="str">
        <f>Tabla2[[#This Row],[(id_solicitud-tipo_documento)]]&amp;B254</f>
        <v>149Oficio_Solicitud1</v>
      </c>
      <c r="D254" s="45">
        <v>253</v>
      </c>
      <c r="E254" s="45">
        <v>149</v>
      </c>
      <c r="F254" s="45" t="s">
        <v>53</v>
      </c>
      <c r="G254" s="45" t="s">
        <v>1258</v>
      </c>
      <c r="H254" s="50" t="s">
        <v>22</v>
      </c>
      <c r="I254" s="51">
        <v>256</v>
      </c>
      <c r="J254" s="80"/>
      <c r="K2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256 DOP</v>
      </c>
      <c r="L254" s="48">
        <v>44655</v>
      </c>
      <c r="M254" s="48">
        <v>44868</v>
      </c>
      <c r="N254" s="49" t="s">
        <v>192</v>
      </c>
      <c r="O254" s="45">
        <v>1</v>
      </c>
      <c r="P254" s="80" t="s">
        <v>494</v>
      </c>
      <c r="Q254" s="48"/>
      <c r="R254" s="45"/>
      <c r="S254" s="114"/>
      <c r="T254" s="52"/>
      <c r="U254" s="48"/>
      <c r="V254" s="48"/>
      <c r="W254" s="27"/>
    </row>
    <row r="255" spans="1:23" ht="60" hidden="1" customHeight="1" x14ac:dyDescent="0.25">
      <c r="A255" s="45" t="str">
        <f>CONCATENATE(Tabla2[[#This Row],[id_solicitud]],Tabla2[[#This Row],[tipo]])</f>
        <v>204Oficio_Solicitud</v>
      </c>
      <c r="B255" s="45">
        <f>COUNTIF($A$2:A255,A255)</f>
        <v>1</v>
      </c>
      <c r="C255" s="45" t="str">
        <f>Tabla2[[#This Row],[(id_solicitud-tipo_documento)]]&amp;B255</f>
        <v>204Oficio_Solicitud1</v>
      </c>
      <c r="D255" s="45">
        <v>254</v>
      </c>
      <c r="E255" s="45">
        <v>204</v>
      </c>
      <c r="F255" s="45" t="s">
        <v>53</v>
      </c>
      <c r="G255" s="45" t="s">
        <v>1258</v>
      </c>
      <c r="H255" s="50" t="s">
        <v>544</v>
      </c>
      <c r="I255" s="51">
        <v>256</v>
      </c>
      <c r="J255" s="80"/>
      <c r="K2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256 DAP_FETCovid19</v>
      </c>
      <c r="L255" s="48">
        <v>44693</v>
      </c>
      <c r="M255" s="48">
        <v>44869</v>
      </c>
      <c r="N255" s="49" t="s">
        <v>233</v>
      </c>
      <c r="O255" s="45">
        <v>1</v>
      </c>
      <c r="P255" s="80" t="s">
        <v>494</v>
      </c>
      <c r="Q255" s="48"/>
      <c r="R255" s="45"/>
      <c r="S255" s="114"/>
      <c r="T255" s="52"/>
      <c r="U255" s="48"/>
      <c r="V255" s="48"/>
      <c r="W255" s="27"/>
    </row>
    <row r="256" spans="1:23" ht="60" hidden="1" customHeight="1" x14ac:dyDescent="0.25">
      <c r="A256" s="45" t="str">
        <f>CONCATENATE(Tabla2[[#This Row],[id_solicitud]],Tabla2[[#This Row],[tipo]])</f>
        <v>150Oficio_Solicitud</v>
      </c>
      <c r="B256" s="45">
        <f>COUNTIF($A$2:A256,A256)</f>
        <v>1</v>
      </c>
      <c r="C256" s="45" t="str">
        <f>Tabla2[[#This Row],[(id_solicitud-tipo_documento)]]&amp;B256</f>
        <v>150Oficio_Solicitud1</v>
      </c>
      <c r="D256" s="45">
        <v>255</v>
      </c>
      <c r="E256" s="45">
        <v>150</v>
      </c>
      <c r="F256" s="45" t="s">
        <v>53</v>
      </c>
      <c r="G256" s="45" t="s">
        <v>60</v>
      </c>
      <c r="H256" s="50" t="s">
        <v>22</v>
      </c>
      <c r="I256" s="51">
        <v>257</v>
      </c>
      <c r="J256" s="80"/>
      <c r="K2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257 DOP</v>
      </c>
      <c r="L256" s="48">
        <v>44656</v>
      </c>
      <c r="M256" s="48">
        <v>44869</v>
      </c>
      <c r="N256" s="49" t="s">
        <v>193</v>
      </c>
      <c r="O256" s="45">
        <v>20</v>
      </c>
      <c r="P256" s="80" t="s">
        <v>494</v>
      </c>
      <c r="Q256" s="48"/>
      <c r="R256" s="45"/>
      <c r="S256" s="114"/>
      <c r="T256" s="52"/>
      <c r="U256" s="48"/>
      <c r="V256" s="48"/>
      <c r="W256" s="27"/>
    </row>
    <row r="257" spans="1:23" ht="60" hidden="1" customHeight="1" x14ac:dyDescent="0.25">
      <c r="A257" s="45" t="str">
        <f>CONCATENATE(Tabla2[[#This Row],[id_solicitud]],Tabla2[[#This Row],[tipo]])</f>
        <v>368Oficio_Solicitud</v>
      </c>
      <c r="B257" s="45">
        <f>COUNTIF($A$2:A257,A257)</f>
        <v>1</v>
      </c>
      <c r="C257" s="45" t="str">
        <f>Tabla2[[#This Row],[(id_solicitud-tipo_documento)]]&amp;B257</f>
        <v>368Oficio_Solicitud1</v>
      </c>
      <c r="D257" s="45">
        <v>256</v>
      </c>
      <c r="E257" s="45">
        <v>368</v>
      </c>
      <c r="F257" s="45" t="s">
        <v>53</v>
      </c>
      <c r="G257" s="45" t="s">
        <v>44</v>
      </c>
      <c r="H257" s="50" t="s">
        <v>35</v>
      </c>
      <c r="I257" s="51">
        <v>257</v>
      </c>
      <c r="J257" s="80"/>
      <c r="K2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257 SOP</v>
      </c>
      <c r="L257" s="48">
        <v>44775</v>
      </c>
      <c r="M257" s="48">
        <v>44868</v>
      </c>
      <c r="N257" s="49"/>
      <c r="O257" s="45"/>
      <c r="P257" s="80" t="s">
        <v>500</v>
      </c>
      <c r="Q257" s="48"/>
      <c r="R257" s="45"/>
      <c r="S257" s="114"/>
      <c r="T257" s="52"/>
      <c r="U257" s="48"/>
      <c r="V257" s="48"/>
      <c r="W257" s="27"/>
    </row>
    <row r="258" spans="1:23" ht="60" hidden="1" customHeight="1" x14ac:dyDescent="0.25">
      <c r="A258" s="45" t="str">
        <f>CONCATENATE(Tabla2[[#This Row],[id_solicitud]],Tabla2[[#This Row],[tipo]])</f>
        <v>205Oficio_Solicitud</v>
      </c>
      <c r="B258" s="45">
        <f>COUNTIF($A$2:A258,A258)</f>
        <v>1</v>
      </c>
      <c r="C258" s="45" t="str">
        <f>Tabla2[[#This Row],[(id_solicitud-tipo_documento)]]&amp;B258</f>
        <v>205Oficio_Solicitud1</v>
      </c>
      <c r="D258" s="45">
        <v>257</v>
      </c>
      <c r="E258" s="45">
        <v>205</v>
      </c>
      <c r="F258" s="45" t="s">
        <v>53</v>
      </c>
      <c r="G258" s="45" t="s">
        <v>61</v>
      </c>
      <c r="H258" s="50" t="s">
        <v>10</v>
      </c>
      <c r="I258" s="51">
        <v>260</v>
      </c>
      <c r="J258" s="80"/>
      <c r="K2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260 DAP</v>
      </c>
      <c r="L258" s="48">
        <v>44694</v>
      </c>
      <c r="M258" s="48">
        <v>44869</v>
      </c>
      <c r="N258" s="49" t="s">
        <v>234</v>
      </c>
      <c r="O258" s="45">
        <v>2</v>
      </c>
      <c r="P258" s="80" t="s">
        <v>496</v>
      </c>
      <c r="Q258" s="48"/>
      <c r="R258" s="45"/>
      <c r="S258" s="114"/>
      <c r="T258" s="52"/>
      <c r="U258" s="48"/>
      <c r="V258" s="48"/>
      <c r="W258" s="27"/>
    </row>
    <row r="259" spans="1:23" ht="60" hidden="1" customHeight="1" x14ac:dyDescent="0.25">
      <c r="A259" s="45" t="str">
        <f>CONCATENATE(Tabla2[[#This Row],[id_solicitud]],Tabla2[[#This Row],[tipo]])</f>
        <v>154Oficio_Solicitud</v>
      </c>
      <c r="B259" s="45">
        <f>COUNTIF($A$2:A259,A259)</f>
        <v>1</v>
      </c>
      <c r="C259" s="45" t="str">
        <f>Tabla2[[#This Row],[(id_solicitud-tipo_documento)]]&amp;B259</f>
        <v>154Oficio_Solicitud1</v>
      </c>
      <c r="D259" s="45">
        <v>258</v>
      </c>
      <c r="E259" s="45">
        <v>154</v>
      </c>
      <c r="F259" s="45" t="s">
        <v>53</v>
      </c>
      <c r="G259" s="45" t="s">
        <v>60</v>
      </c>
      <c r="H259" s="50" t="s">
        <v>541</v>
      </c>
      <c r="I259" s="51">
        <v>261</v>
      </c>
      <c r="J259" s="80"/>
      <c r="K2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261 DOP_FETCovid19</v>
      </c>
      <c r="L259" s="48">
        <v>44656</v>
      </c>
      <c r="M259" s="48">
        <v>44869</v>
      </c>
      <c r="N259" s="49" t="s">
        <v>197</v>
      </c>
      <c r="O259" s="45">
        <v>6</v>
      </c>
      <c r="P259" s="80" t="s">
        <v>494</v>
      </c>
      <c r="Q259" s="48"/>
      <c r="R259" s="45"/>
      <c r="S259" s="114"/>
      <c r="T259" s="52"/>
      <c r="U259" s="48"/>
      <c r="V259" s="48"/>
      <c r="W259" s="27"/>
    </row>
    <row r="260" spans="1:23" ht="60" hidden="1" customHeight="1" x14ac:dyDescent="0.25">
      <c r="A260" s="45" t="str">
        <f>CONCATENATE(Tabla2[[#This Row],[id_solicitud]],Tabla2[[#This Row],[tipo]])</f>
        <v>85Resolucion</v>
      </c>
      <c r="B260" s="45">
        <f>COUNTIF($A$2:A260,A260)</f>
        <v>1</v>
      </c>
      <c r="C260" s="45" t="str">
        <f>Tabla2[[#This Row],[(id_solicitud-tipo_documento)]]&amp;B260</f>
        <v>85Resolucion1</v>
      </c>
      <c r="D260" s="45">
        <v>259</v>
      </c>
      <c r="E260" s="45">
        <v>85</v>
      </c>
      <c r="F260" s="45" t="s">
        <v>48</v>
      </c>
      <c r="G260" s="45"/>
      <c r="H260" s="50" t="s">
        <v>544</v>
      </c>
      <c r="I260" s="51">
        <v>262</v>
      </c>
      <c r="J260" s="80"/>
      <c r="K2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60" s="48">
        <v>44614</v>
      </c>
      <c r="M260" s="48">
        <v>44875</v>
      </c>
      <c r="N260" s="49"/>
      <c r="O260" s="45"/>
      <c r="P260" s="80"/>
      <c r="Q260" s="48"/>
      <c r="R260" s="45"/>
      <c r="S260" s="114"/>
      <c r="T260" s="45"/>
      <c r="U260" s="48"/>
      <c r="V260" s="48"/>
      <c r="W260" s="27"/>
    </row>
    <row r="261" spans="1:23" ht="60" hidden="1" customHeight="1" x14ac:dyDescent="0.25">
      <c r="A261" s="45" t="str">
        <f>CONCATENATE(Tabla2[[#This Row],[id_solicitud]],Tabla2[[#This Row],[tipo]])</f>
        <v>209Oficio_Solicitud</v>
      </c>
      <c r="B261" s="45">
        <f>COUNTIF($A$2:A261,A261)</f>
        <v>1</v>
      </c>
      <c r="C261" s="45" t="str">
        <f>Tabla2[[#This Row],[(id_solicitud-tipo_documento)]]&amp;B261</f>
        <v>209Oficio_Solicitud1</v>
      </c>
      <c r="D261" s="45">
        <v>260</v>
      </c>
      <c r="E261" s="45">
        <v>209</v>
      </c>
      <c r="F261" s="45" t="s">
        <v>53</v>
      </c>
      <c r="G261" s="45" t="s">
        <v>44</v>
      </c>
      <c r="H261" s="50" t="s">
        <v>10</v>
      </c>
      <c r="I261" s="51">
        <v>263</v>
      </c>
      <c r="J261" s="80"/>
      <c r="K2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263 DAP</v>
      </c>
      <c r="L261" s="48">
        <v>44698</v>
      </c>
      <c r="M261" s="48">
        <v>44875</v>
      </c>
      <c r="N261" s="49" t="s">
        <v>237</v>
      </c>
      <c r="O261" s="45">
        <v>0</v>
      </c>
      <c r="P261" s="80" t="s">
        <v>498</v>
      </c>
      <c r="Q261" s="48"/>
      <c r="R261" s="45"/>
      <c r="S261" s="114"/>
      <c r="T261" s="52"/>
      <c r="U261" s="48"/>
      <c r="V261" s="48"/>
      <c r="W261" s="27"/>
    </row>
    <row r="262" spans="1:23" ht="60" hidden="1" customHeight="1" x14ac:dyDescent="0.25">
      <c r="A262" s="45" t="str">
        <f>CONCATENATE(Tabla2[[#This Row],[id_solicitud]],Tabla2[[#This Row],[tipo]])</f>
        <v>355Oficio_Solicitud</v>
      </c>
      <c r="B262" s="45">
        <f>COUNTIF($A$2:A262,A262)</f>
        <v>1</v>
      </c>
      <c r="C262" s="45" t="str">
        <f>Tabla2[[#This Row],[(id_solicitud-tipo_documento)]]&amp;B262</f>
        <v>355Oficio_Solicitud1</v>
      </c>
      <c r="D262" s="45">
        <v>261</v>
      </c>
      <c r="E262" s="45">
        <v>355</v>
      </c>
      <c r="F262" s="45" t="s">
        <v>53</v>
      </c>
      <c r="G262" s="45" t="s">
        <v>44</v>
      </c>
      <c r="H262" s="50" t="s">
        <v>35</v>
      </c>
      <c r="I262" s="51">
        <v>265</v>
      </c>
      <c r="J262" s="80"/>
      <c r="K2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265 SOP</v>
      </c>
      <c r="L262" s="48">
        <v>44783</v>
      </c>
      <c r="M262" s="48">
        <v>44875</v>
      </c>
      <c r="N262" s="49" t="s">
        <v>359</v>
      </c>
      <c r="O262" s="45"/>
      <c r="P262" s="80" t="s">
        <v>498</v>
      </c>
      <c r="Q262" s="48">
        <v>44795</v>
      </c>
      <c r="R262" s="45"/>
      <c r="S262" s="114"/>
      <c r="T262" s="52"/>
      <c r="U262" s="48"/>
      <c r="V262" s="48"/>
      <c r="W262" s="27"/>
    </row>
    <row r="263" spans="1:23" ht="60" hidden="1" customHeight="1" x14ac:dyDescent="0.25">
      <c r="A263" s="45" t="str">
        <f>CONCATENATE(Tabla2[[#This Row],[id_solicitud]],Tabla2[[#This Row],[tipo]])</f>
        <v>45Decreto</v>
      </c>
      <c r="B263" s="45">
        <f>COUNTIF($A$2:A263,A263)</f>
        <v>1</v>
      </c>
      <c r="C263" s="45" t="str">
        <f>Tabla2[[#This Row],[(id_solicitud-tipo_documento)]]&amp;B263</f>
        <v>45Decreto1</v>
      </c>
      <c r="D263" s="45">
        <v>262</v>
      </c>
      <c r="E263" s="45">
        <v>45</v>
      </c>
      <c r="F263" s="45" t="s">
        <v>47</v>
      </c>
      <c r="G263" s="45" t="s">
        <v>42</v>
      </c>
      <c r="H263" s="50" t="s">
        <v>14</v>
      </c>
      <c r="I263" s="51">
        <v>267</v>
      </c>
      <c r="J263" s="80"/>
      <c r="K2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267 DGA</v>
      </c>
      <c r="L263" s="48">
        <v>44602</v>
      </c>
      <c r="M263" s="48">
        <v>44846</v>
      </c>
      <c r="N263" s="49" t="s">
        <v>779</v>
      </c>
      <c r="O263" s="45"/>
      <c r="P263" s="80"/>
      <c r="Q263" s="48"/>
      <c r="R263" s="45"/>
      <c r="S263" s="115">
        <v>64</v>
      </c>
      <c r="T263" s="20">
        <v>44600</v>
      </c>
      <c r="U263" s="20">
        <v>44620</v>
      </c>
      <c r="V263" s="20">
        <v>44620</v>
      </c>
      <c r="W263" s="27"/>
    </row>
    <row r="264" spans="1:23" ht="60" hidden="1" customHeight="1" x14ac:dyDescent="0.25">
      <c r="A264" s="45" t="str">
        <f>CONCATENATE(Tabla2[[#This Row],[id_solicitud]],Tabla2[[#This Row],[tipo]])</f>
        <v>210Oficio_Solicitud</v>
      </c>
      <c r="B264" s="45">
        <f>COUNTIF($A$2:A264,A264)</f>
        <v>1</v>
      </c>
      <c r="C264" s="45" t="str">
        <f>Tabla2[[#This Row],[(id_solicitud-tipo_documento)]]&amp;B264</f>
        <v>210Oficio_Solicitud1</v>
      </c>
      <c r="D264" s="45">
        <v>263</v>
      </c>
      <c r="E264" s="45">
        <v>210</v>
      </c>
      <c r="F264" s="45" t="s">
        <v>53</v>
      </c>
      <c r="G264" s="45" t="s">
        <v>61</v>
      </c>
      <c r="H264" s="50" t="s">
        <v>544</v>
      </c>
      <c r="I264" s="51">
        <v>269</v>
      </c>
      <c r="J264" s="80"/>
      <c r="K2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269 DAP_FETCovid19</v>
      </c>
      <c r="L264" s="48">
        <v>44699</v>
      </c>
      <c r="M264" s="48">
        <v>44875</v>
      </c>
      <c r="N264" s="49" t="s">
        <v>238</v>
      </c>
      <c r="O264" s="45">
        <f>4+16</f>
        <v>20</v>
      </c>
      <c r="P264" s="80" t="s">
        <v>494</v>
      </c>
      <c r="Q264" s="48"/>
      <c r="R264" s="45"/>
      <c r="S264" s="114"/>
      <c r="T264" s="52"/>
      <c r="U264" s="48"/>
      <c r="V264" s="48"/>
      <c r="W264" s="27"/>
    </row>
    <row r="265" spans="1:23" ht="60" hidden="1" customHeight="1" x14ac:dyDescent="0.25">
      <c r="A265" s="45" t="str">
        <f>CONCATENATE(Tabla2[[#This Row],[id_solicitud]],Tabla2[[#This Row],[tipo]])</f>
        <v>61Oficio_Solicitud</v>
      </c>
      <c r="B265" s="45">
        <f>COUNTIF($A$2:A265,A265)</f>
        <v>1</v>
      </c>
      <c r="C265" s="45" t="str">
        <f>Tabla2[[#This Row],[(id_solicitud-tipo_documento)]]&amp;B265</f>
        <v>61Oficio_Solicitud1</v>
      </c>
      <c r="D265" s="45">
        <v>264</v>
      </c>
      <c r="E265" s="45">
        <v>61</v>
      </c>
      <c r="F265" s="45" t="s">
        <v>53</v>
      </c>
      <c r="G265" s="45" t="s">
        <v>61</v>
      </c>
      <c r="H265" s="50" t="s">
        <v>33</v>
      </c>
      <c r="I265" s="51">
        <v>271</v>
      </c>
      <c r="J265" s="80"/>
      <c r="K2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271 SISS</v>
      </c>
      <c r="L265" s="48">
        <v>44588</v>
      </c>
      <c r="M265" s="48">
        <v>44588</v>
      </c>
      <c r="N265" s="49" t="s">
        <v>119</v>
      </c>
      <c r="O265" s="45">
        <v>1</v>
      </c>
      <c r="P265" s="80" t="s">
        <v>494</v>
      </c>
      <c r="Q265" s="48">
        <v>44594</v>
      </c>
      <c r="R265" s="45"/>
      <c r="S265" s="114"/>
      <c r="T265" s="52"/>
      <c r="U265" s="48"/>
      <c r="V265" s="48"/>
      <c r="W265" s="27"/>
    </row>
    <row r="266" spans="1:23" ht="60" hidden="1" customHeight="1" x14ac:dyDescent="0.25">
      <c r="A266" s="45" t="str">
        <f>CONCATENATE(Tabla2[[#This Row],[id_solicitud]],Tabla2[[#This Row],[tipo]])</f>
        <v>152Proposicion</v>
      </c>
      <c r="B266" s="45">
        <f>COUNTIF($A$2:A266,A266)</f>
        <v>1</v>
      </c>
      <c r="C266" s="45" t="str">
        <f>Tabla2[[#This Row],[(id_solicitud-tipo_documento)]]&amp;B266</f>
        <v>152Proposicion1</v>
      </c>
      <c r="D266" s="45">
        <v>265</v>
      </c>
      <c r="E266" s="45">
        <v>152</v>
      </c>
      <c r="F266" s="45" t="s">
        <v>46</v>
      </c>
      <c r="G266" s="45" t="s">
        <v>60</v>
      </c>
      <c r="H266" s="50" t="s">
        <v>26</v>
      </c>
      <c r="I266" s="51">
        <v>271</v>
      </c>
      <c r="J266" s="80"/>
      <c r="K2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271 DV</v>
      </c>
      <c r="L266" s="48">
        <v>44677</v>
      </c>
      <c r="M266" s="48">
        <v>44875</v>
      </c>
      <c r="N266" s="49" t="s">
        <v>195</v>
      </c>
      <c r="O266" s="45">
        <f>11+30</f>
        <v>41</v>
      </c>
      <c r="P266" s="80" t="s">
        <v>494</v>
      </c>
      <c r="Q266" s="24"/>
      <c r="R266" s="24" t="s">
        <v>24</v>
      </c>
      <c r="S266" s="114"/>
      <c r="T266" s="45"/>
      <c r="U266" s="48"/>
      <c r="V266" s="48"/>
      <c r="W266" s="27"/>
    </row>
    <row r="267" spans="1:23" ht="60" hidden="1" customHeight="1" x14ac:dyDescent="0.25">
      <c r="A267" s="45" t="str">
        <f>CONCATENATE(Tabla2[[#This Row],[id_solicitud]],Tabla2[[#This Row],[tipo]])</f>
        <v>155Decreto</v>
      </c>
      <c r="B267" s="45">
        <f>COUNTIF($A$2:A267,A267)</f>
        <v>1</v>
      </c>
      <c r="C267" s="45" t="str">
        <f>Tabla2[[#This Row],[(id_solicitud-tipo_documento)]]&amp;B267</f>
        <v>155Decreto1</v>
      </c>
      <c r="D267" s="45">
        <v>266</v>
      </c>
      <c r="E267" s="45">
        <v>155</v>
      </c>
      <c r="F267" s="45" t="s">
        <v>47</v>
      </c>
      <c r="G267" s="45" t="s">
        <v>60</v>
      </c>
      <c r="H267" s="50" t="s">
        <v>14</v>
      </c>
      <c r="I267" s="51">
        <v>676</v>
      </c>
      <c r="J267" s="80"/>
      <c r="K2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676 DGA</v>
      </c>
      <c r="L267" s="48">
        <v>44692</v>
      </c>
      <c r="M267" s="48"/>
      <c r="N267" s="49" t="s">
        <v>863</v>
      </c>
      <c r="O267" s="45"/>
      <c r="P267" s="80"/>
      <c r="Q267" s="48"/>
      <c r="R267" s="45"/>
      <c r="S267" s="115">
        <v>283</v>
      </c>
      <c r="T267" s="20">
        <v>44684</v>
      </c>
      <c r="U267" s="20">
        <v>44706</v>
      </c>
      <c r="V267" s="20">
        <v>44706</v>
      </c>
      <c r="W267" s="27"/>
    </row>
    <row r="268" spans="1:23" ht="60" hidden="1" customHeight="1" x14ac:dyDescent="0.25">
      <c r="A268" s="45" t="str">
        <f>CONCATENATE(Tabla2[[#This Row],[id_solicitud]],Tabla2[[#This Row],[tipo]])</f>
        <v>155Decreto</v>
      </c>
      <c r="B268" s="45">
        <f>COUNTIF($A$2:A268,A268)</f>
        <v>2</v>
      </c>
      <c r="C268" s="45" t="str">
        <f>Tabla2[[#This Row],[(id_solicitud-tipo_documento)]]&amp;B268</f>
        <v>155Decreto2</v>
      </c>
      <c r="D268" s="45">
        <v>267</v>
      </c>
      <c r="E268" s="45">
        <v>155</v>
      </c>
      <c r="F268" s="45" t="s">
        <v>47</v>
      </c>
      <c r="G268" s="45" t="s">
        <v>60</v>
      </c>
      <c r="H268" s="50" t="s">
        <v>14</v>
      </c>
      <c r="I268" s="51">
        <v>677</v>
      </c>
      <c r="J268" s="80"/>
      <c r="K2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677 DGA</v>
      </c>
      <c r="L268" s="48">
        <v>44692</v>
      </c>
      <c r="M268" s="48"/>
      <c r="N268" s="49" t="s">
        <v>836</v>
      </c>
      <c r="O268" s="45"/>
      <c r="P268" s="80"/>
      <c r="Q268" s="48"/>
      <c r="R268" s="45"/>
      <c r="S268" s="115">
        <v>283</v>
      </c>
      <c r="T268" s="20">
        <v>44684</v>
      </c>
      <c r="U268" s="20">
        <v>44706</v>
      </c>
      <c r="V268" s="20">
        <v>44706</v>
      </c>
      <c r="W268" s="27"/>
    </row>
    <row r="269" spans="1:23" ht="60" hidden="1" customHeight="1" x14ac:dyDescent="0.25">
      <c r="A269" s="45" t="str">
        <f>CONCATENATE(Tabla2[[#This Row],[id_solicitud]],Tabla2[[#This Row],[tipo]])</f>
        <v>125Proposicion</v>
      </c>
      <c r="B269" s="45">
        <f>COUNTIF($A$2:A269,A269)</f>
        <v>1</v>
      </c>
      <c r="C269" s="45" t="str">
        <f>Tabla2[[#This Row],[(id_solicitud-tipo_documento)]]&amp;B269</f>
        <v>125Proposicion1</v>
      </c>
      <c r="D269" s="45">
        <v>268</v>
      </c>
      <c r="E269" s="45">
        <v>125</v>
      </c>
      <c r="F269" s="45" t="s">
        <v>46</v>
      </c>
      <c r="G269" s="45" t="s">
        <v>43</v>
      </c>
      <c r="H269" s="50" t="s">
        <v>580</v>
      </c>
      <c r="I269" s="51">
        <v>273</v>
      </c>
      <c r="J269" s="80"/>
      <c r="K2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273 DOP-DOP_FETCovid19</v>
      </c>
      <c r="L269" s="48">
        <v>44677</v>
      </c>
      <c r="M269" s="48">
        <v>44810</v>
      </c>
      <c r="N269" s="49" t="s">
        <v>644</v>
      </c>
      <c r="O269" s="45"/>
      <c r="P269" s="80" t="s">
        <v>502</v>
      </c>
      <c r="Q269" s="24"/>
      <c r="R269" s="24" t="s">
        <v>24</v>
      </c>
      <c r="S269" s="114"/>
      <c r="T269" s="45"/>
      <c r="U269" s="48"/>
      <c r="V269" s="48"/>
      <c r="W269" s="27"/>
    </row>
    <row r="270" spans="1:23" ht="60" hidden="1" customHeight="1" x14ac:dyDescent="0.25">
      <c r="A270" s="45" t="str">
        <f>CONCATENATE(Tabla2[[#This Row],[id_solicitud]],Tabla2[[#This Row],[tipo]])</f>
        <v>126Proposicion</v>
      </c>
      <c r="B270" s="45">
        <f>COUNTIF($A$2:A270,A270)</f>
        <v>1</v>
      </c>
      <c r="C270" s="45" t="str">
        <f>Tabla2[[#This Row],[(id_solicitud-tipo_documento)]]&amp;B270</f>
        <v>126Proposicion1</v>
      </c>
      <c r="D270" s="45">
        <v>269</v>
      </c>
      <c r="E270" s="45">
        <v>126</v>
      </c>
      <c r="F270" s="45" t="s">
        <v>46</v>
      </c>
      <c r="G270" s="45" t="s">
        <v>43</v>
      </c>
      <c r="H270" s="50" t="s">
        <v>581</v>
      </c>
      <c r="I270" s="51">
        <v>273</v>
      </c>
      <c r="J270" s="80"/>
      <c r="K2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273 DAP-DAP_FETCovid19</v>
      </c>
      <c r="L270" s="48">
        <v>44677</v>
      </c>
      <c r="M270" s="48">
        <v>44811</v>
      </c>
      <c r="N270" s="49" t="s">
        <v>644</v>
      </c>
      <c r="O270" s="45"/>
      <c r="P270" s="80" t="s">
        <v>503</v>
      </c>
      <c r="Q270" s="24"/>
      <c r="R270" s="24" t="s">
        <v>24</v>
      </c>
      <c r="S270" s="114"/>
      <c r="T270" s="45"/>
      <c r="U270" s="48"/>
      <c r="V270" s="48"/>
      <c r="W270" s="27"/>
    </row>
    <row r="271" spans="1:23" ht="60" hidden="1" customHeight="1" x14ac:dyDescent="0.25">
      <c r="A271" s="45" t="str">
        <f>CONCATENATE(Tabla2[[#This Row],[id_solicitud]],Tabla2[[#This Row],[tipo]])</f>
        <v>132Proposicion</v>
      </c>
      <c r="B271" s="45">
        <f>COUNTIF($A$2:A271,A271)</f>
        <v>1</v>
      </c>
      <c r="C271" s="45" t="str">
        <f>Tabla2[[#This Row],[(id_solicitud-tipo_documento)]]&amp;B271</f>
        <v>132Proposicion1</v>
      </c>
      <c r="D271" s="45">
        <v>270</v>
      </c>
      <c r="E271" s="45">
        <v>132</v>
      </c>
      <c r="F271" s="45" t="s">
        <v>46</v>
      </c>
      <c r="G271" s="45" t="s">
        <v>43</v>
      </c>
      <c r="H271" s="50" t="s">
        <v>28</v>
      </c>
      <c r="I271" s="51">
        <v>273</v>
      </c>
      <c r="J271" s="80"/>
      <c r="K2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273 FISC</v>
      </c>
      <c r="L271" s="48">
        <v>44677</v>
      </c>
      <c r="M271" s="48">
        <v>44824</v>
      </c>
      <c r="N271" s="49" t="s">
        <v>644</v>
      </c>
      <c r="O271" s="45"/>
      <c r="P271" s="80" t="s">
        <v>505</v>
      </c>
      <c r="Q271" s="24"/>
      <c r="R271" s="24" t="s">
        <v>24</v>
      </c>
      <c r="S271" s="114"/>
      <c r="T271" s="45"/>
      <c r="U271" s="48"/>
      <c r="V271" s="48"/>
      <c r="W271" s="27"/>
    </row>
    <row r="272" spans="1:23" ht="60" hidden="1" customHeight="1" x14ac:dyDescent="0.25">
      <c r="A272" s="45" t="str">
        <f>CONCATENATE(Tabla2[[#This Row],[id_solicitud]],Tabla2[[#This Row],[tipo]])</f>
        <v>134Proposicion</v>
      </c>
      <c r="B272" s="45">
        <f>COUNTIF($A$2:A272,A272)</f>
        <v>1</v>
      </c>
      <c r="C272" s="45" t="str">
        <f>Tabla2[[#This Row],[(id_solicitud-tipo_documento)]]&amp;B272</f>
        <v>134Proposicion1</v>
      </c>
      <c r="D272" s="45">
        <v>271</v>
      </c>
      <c r="E272" s="45">
        <v>134</v>
      </c>
      <c r="F272" s="45" t="s">
        <v>46</v>
      </c>
      <c r="G272" s="45" t="s">
        <v>43</v>
      </c>
      <c r="H272" s="50" t="s">
        <v>8</v>
      </c>
      <c r="I272" s="51">
        <v>273</v>
      </c>
      <c r="J272" s="80"/>
      <c r="K2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273 DA</v>
      </c>
      <c r="L272" s="48">
        <v>44677</v>
      </c>
      <c r="M272" s="48">
        <v>44558</v>
      </c>
      <c r="N272" s="49" t="s">
        <v>644</v>
      </c>
      <c r="O272" s="45"/>
      <c r="P272" s="80" t="s">
        <v>506</v>
      </c>
      <c r="Q272" s="24"/>
      <c r="R272" s="24" t="s">
        <v>24</v>
      </c>
      <c r="S272" s="114"/>
      <c r="T272" s="45"/>
      <c r="U272" s="48"/>
      <c r="V272" s="48"/>
      <c r="W272" s="27"/>
    </row>
    <row r="273" spans="1:23" ht="60" hidden="1" customHeight="1" x14ac:dyDescent="0.25">
      <c r="A273" s="45" t="str">
        <f>CONCATENATE(Tabla2[[#This Row],[id_solicitud]],Tabla2[[#This Row],[tipo]])</f>
        <v>135Proposicion</v>
      </c>
      <c r="B273" s="45">
        <f>COUNTIF($A$2:A273,A273)</f>
        <v>1</v>
      </c>
      <c r="C273" s="45" t="str">
        <f>Tabla2[[#This Row],[(id_solicitud-tipo_documento)]]&amp;B273</f>
        <v>135Proposicion1</v>
      </c>
      <c r="D273" s="45">
        <v>272</v>
      </c>
      <c r="E273" s="45">
        <v>135</v>
      </c>
      <c r="F273" s="45" t="s">
        <v>46</v>
      </c>
      <c r="G273" s="45" t="s">
        <v>43</v>
      </c>
      <c r="H273" s="50" t="s">
        <v>24</v>
      </c>
      <c r="I273" s="51">
        <v>273</v>
      </c>
      <c r="J273" s="80"/>
      <c r="K2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273 DP</v>
      </c>
      <c r="L273" s="48">
        <v>44677</v>
      </c>
      <c r="M273" s="48">
        <v>44558</v>
      </c>
      <c r="N273" s="49" t="s">
        <v>644</v>
      </c>
      <c r="O273" s="45"/>
      <c r="P273" s="80" t="s">
        <v>507</v>
      </c>
      <c r="Q273" s="24"/>
      <c r="R273" s="24" t="s">
        <v>24</v>
      </c>
      <c r="S273" s="114"/>
      <c r="T273" s="45"/>
      <c r="U273" s="48"/>
      <c r="V273" s="48"/>
      <c r="W273" s="27"/>
    </row>
    <row r="274" spans="1:23" ht="60" hidden="1" customHeight="1" x14ac:dyDescent="0.25">
      <c r="A274" s="45" t="str">
        <f>CONCATENATE(Tabla2[[#This Row],[id_solicitud]],Tabla2[[#This Row],[tipo]])</f>
        <v>136Proposicion</v>
      </c>
      <c r="B274" s="45">
        <f>COUNTIF($A$2:A274,A274)</f>
        <v>1</v>
      </c>
      <c r="C274" s="45" t="str">
        <f>Tabla2[[#This Row],[(id_solicitud-tipo_documento)]]&amp;B274</f>
        <v>136Proposicion1</v>
      </c>
      <c r="D274" s="45">
        <v>273</v>
      </c>
      <c r="E274" s="45">
        <v>136</v>
      </c>
      <c r="F274" s="45" t="s">
        <v>46</v>
      </c>
      <c r="G274" s="45" t="s">
        <v>43</v>
      </c>
      <c r="H274" s="50" t="s">
        <v>16</v>
      </c>
      <c r="I274" s="51">
        <v>273</v>
      </c>
      <c r="J274" s="80"/>
      <c r="K2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273 DGC</v>
      </c>
      <c r="L274" s="48">
        <v>44677</v>
      </c>
      <c r="M274" s="48">
        <v>44558</v>
      </c>
      <c r="N274" s="49" t="s">
        <v>644</v>
      </c>
      <c r="O274" s="45"/>
      <c r="P274" s="80" t="s">
        <v>508</v>
      </c>
      <c r="Q274" s="24"/>
      <c r="R274" s="24" t="s">
        <v>24</v>
      </c>
      <c r="S274" s="114"/>
      <c r="T274" s="45"/>
      <c r="U274" s="48"/>
      <c r="V274" s="48"/>
      <c r="W274" s="27"/>
    </row>
    <row r="275" spans="1:23" ht="60" hidden="1" customHeight="1" x14ac:dyDescent="0.25">
      <c r="A275" s="45" t="str">
        <f>CONCATENATE(Tabla2[[#This Row],[id_solicitud]],Tabla2[[#This Row],[tipo]])</f>
        <v>139Proposicion</v>
      </c>
      <c r="B275" s="45">
        <f>COUNTIF($A$2:A275,A275)</f>
        <v>1</v>
      </c>
      <c r="C275" s="45" t="str">
        <f>Tabla2[[#This Row],[(id_solicitud-tipo_documento)]]&amp;B275</f>
        <v>139Proposicion1</v>
      </c>
      <c r="D275" s="45">
        <v>274</v>
      </c>
      <c r="E275" s="45">
        <v>139</v>
      </c>
      <c r="F275" s="45" t="s">
        <v>46</v>
      </c>
      <c r="G275" s="45" t="s">
        <v>43</v>
      </c>
      <c r="H275" s="50" t="s">
        <v>12</v>
      </c>
      <c r="I275" s="51">
        <v>273</v>
      </c>
      <c r="J275" s="80"/>
      <c r="K2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273 DCyF</v>
      </c>
      <c r="L275" s="48">
        <v>44677</v>
      </c>
      <c r="M275" s="48">
        <v>44559</v>
      </c>
      <c r="N275" s="49" t="s">
        <v>644</v>
      </c>
      <c r="O275" s="45"/>
      <c r="P275" s="80" t="s">
        <v>505</v>
      </c>
      <c r="Q275" s="24"/>
      <c r="R275" s="24" t="s">
        <v>24</v>
      </c>
      <c r="S275" s="114"/>
      <c r="T275" s="45"/>
      <c r="U275" s="48"/>
      <c r="V275" s="48"/>
      <c r="W275" s="27"/>
    </row>
    <row r="276" spans="1:23" ht="60" hidden="1" customHeight="1" x14ac:dyDescent="0.25">
      <c r="A276" s="45" t="str">
        <f>CONCATENATE(Tabla2[[#This Row],[id_solicitud]],Tabla2[[#This Row],[tipo]])</f>
        <v>142Proposicion</v>
      </c>
      <c r="B276" s="45">
        <f>COUNTIF($A$2:A276,A276)</f>
        <v>1</v>
      </c>
      <c r="C276" s="45" t="str">
        <f>Tabla2[[#This Row],[(id_solicitud-tipo_documento)]]&amp;B276</f>
        <v>142Proposicion1</v>
      </c>
      <c r="D276" s="45">
        <v>275</v>
      </c>
      <c r="E276" s="45">
        <v>142</v>
      </c>
      <c r="F276" s="45" t="s">
        <v>46</v>
      </c>
      <c r="G276" s="45" t="s">
        <v>43</v>
      </c>
      <c r="H276" s="50" t="s">
        <v>18</v>
      </c>
      <c r="I276" s="51">
        <v>273</v>
      </c>
      <c r="J276" s="80"/>
      <c r="K2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273 DGOP</v>
      </c>
      <c r="L276" s="48">
        <v>44677</v>
      </c>
      <c r="M276" s="48">
        <v>44559</v>
      </c>
      <c r="N276" s="49" t="s">
        <v>644</v>
      </c>
      <c r="O276" s="45"/>
      <c r="P276" s="80" t="s">
        <v>505</v>
      </c>
      <c r="Q276" s="24"/>
      <c r="R276" s="24" t="s">
        <v>24</v>
      </c>
      <c r="S276" s="114"/>
      <c r="T276" s="45"/>
      <c r="U276" s="48"/>
      <c r="V276" s="48"/>
      <c r="W276" s="27"/>
    </row>
    <row r="277" spans="1:23" ht="60" hidden="1" customHeight="1" x14ac:dyDescent="0.25">
      <c r="A277" s="45" t="str">
        <f>CONCATENATE(Tabla2[[#This Row],[id_solicitud]],Tabla2[[#This Row],[tipo]])</f>
        <v>144Proposicion</v>
      </c>
      <c r="B277" s="45">
        <f>COUNTIF($A$2:A277,A277)</f>
        <v>1</v>
      </c>
      <c r="C277" s="45" t="str">
        <f>Tabla2[[#This Row],[(id_solicitud-tipo_documento)]]&amp;B277</f>
        <v>144Proposicion1</v>
      </c>
      <c r="D277" s="45">
        <v>276</v>
      </c>
      <c r="E277" s="45">
        <v>144</v>
      </c>
      <c r="F277" s="45" t="s">
        <v>46</v>
      </c>
      <c r="G277" s="45" t="s">
        <v>43</v>
      </c>
      <c r="H277" s="50" t="s">
        <v>582</v>
      </c>
      <c r="I277" s="51">
        <v>273</v>
      </c>
      <c r="J277" s="80"/>
      <c r="K2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273 DOH-APR-DOH_FETCovid19-APR_FETCovid19</v>
      </c>
      <c r="L277" s="48">
        <v>44677</v>
      </c>
      <c r="M277" s="48">
        <v>44924</v>
      </c>
      <c r="N277" s="49" t="s">
        <v>644</v>
      </c>
      <c r="O277" s="45"/>
      <c r="P277" s="80" t="s">
        <v>505</v>
      </c>
      <c r="Q277" s="24"/>
      <c r="R277" s="24" t="s">
        <v>24</v>
      </c>
      <c r="S277" s="114"/>
      <c r="T277" s="45"/>
      <c r="U277" s="48"/>
      <c r="V277" s="48"/>
      <c r="W277" s="27"/>
    </row>
    <row r="278" spans="1:23" ht="60" hidden="1" customHeight="1" x14ac:dyDescent="0.25">
      <c r="A278" s="45" t="str">
        <f>CONCATENATE(Tabla2[[#This Row],[id_solicitud]],Tabla2[[#This Row],[tipo]])</f>
        <v>171Proposicion</v>
      </c>
      <c r="B278" s="45">
        <f>COUNTIF($A$2:A278,A278)</f>
        <v>1</v>
      </c>
      <c r="C278" s="45" t="str">
        <f>Tabla2[[#This Row],[(id_solicitud-tipo_documento)]]&amp;B278</f>
        <v>171Proposicion1</v>
      </c>
      <c r="D278" s="45">
        <v>277</v>
      </c>
      <c r="E278" s="45">
        <v>171</v>
      </c>
      <c r="F278" s="45" t="s">
        <v>46</v>
      </c>
      <c r="G278" s="45" t="s">
        <v>43</v>
      </c>
      <c r="H278" s="50" t="s">
        <v>576</v>
      </c>
      <c r="I278" s="51">
        <v>273</v>
      </c>
      <c r="J278" s="80"/>
      <c r="K2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273 DV-DV_FETCovid19</v>
      </c>
      <c r="L278" s="48">
        <v>44677</v>
      </c>
      <c r="M278" s="48">
        <v>44559</v>
      </c>
      <c r="N278" s="49" t="s">
        <v>644</v>
      </c>
      <c r="O278" s="45"/>
      <c r="P278" s="80" t="s">
        <v>505</v>
      </c>
      <c r="Q278" s="24"/>
      <c r="R278" s="24" t="s">
        <v>24</v>
      </c>
      <c r="S278" s="114"/>
      <c r="T278" s="45"/>
      <c r="U278" s="48"/>
      <c r="V278" s="48"/>
      <c r="W278" s="27"/>
    </row>
    <row r="279" spans="1:23" ht="60" hidden="1" customHeight="1" x14ac:dyDescent="0.25">
      <c r="A279" s="45" t="str">
        <f>CONCATENATE(Tabla2[[#This Row],[id_solicitud]],Tabla2[[#This Row],[tipo]])</f>
        <v>176Proposicion</v>
      </c>
      <c r="B279" s="45">
        <f>COUNTIF($A$2:A279,A279)</f>
        <v>1</v>
      </c>
      <c r="C279" s="45" t="str">
        <f>Tabla2[[#This Row],[(id_solicitud-tipo_documento)]]&amp;B279</f>
        <v>176Proposicion1</v>
      </c>
      <c r="D279" s="45">
        <v>278</v>
      </c>
      <c r="E279" s="45">
        <v>176</v>
      </c>
      <c r="F279" s="45" t="s">
        <v>46</v>
      </c>
      <c r="G279" s="45" t="s">
        <v>43</v>
      </c>
      <c r="H279" s="50" t="s">
        <v>577</v>
      </c>
      <c r="I279" s="51">
        <v>273</v>
      </c>
      <c r="J279" s="80"/>
      <c r="K2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273 MOP-MOP_FETCovid19</v>
      </c>
      <c r="L279" s="48">
        <v>44677</v>
      </c>
      <c r="M279" s="48">
        <v>44559</v>
      </c>
      <c r="N279" s="49" t="s">
        <v>644</v>
      </c>
      <c r="O279" s="45"/>
      <c r="P279" s="80" t="s">
        <v>505</v>
      </c>
      <c r="Q279" s="24"/>
      <c r="R279" s="24" t="s">
        <v>24</v>
      </c>
      <c r="S279" s="114"/>
      <c r="T279" s="45"/>
      <c r="U279" s="48"/>
      <c r="V279" s="48"/>
      <c r="W279" s="27"/>
    </row>
    <row r="280" spans="1:23" ht="60" hidden="1" customHeight="1" x14ac:dyDescent="0.25">
      <c r="A280" s="45" t="str">
        <f>CONCATENATE(Tabla2[[#This Row],[id_solicitud]],Tabla2[[#This Row],[tipo]])</f>
        <v>257Proposicion</v>
      </c>
      <c r="B280" s="45">
        <f>COUNTIF($A$2:A280,A280)</f>
        <v>1</v>
      </c>
      <c r="C280" s="45" t="str">
        <f>Tabla2[[#This Row],[(id_solicitud-tipo_documento)]]&amp;B280</f>
        <v>257Proposicion1</v>
      </c>
      <c r="D280" s="45">
        <v>279</v>
      </c>
      <c r="E280" s="45">
        <v>257</v>
      </c>
      <c r="F280" s="45" t="s">
        <v>46</v>
      </c>
      <c r="G280" s="45" t="s">
        <v>43</v>
      </c>
      <c r="H280" s="50" t="s">
        <v>574</v>
      </c>
      <c r="I280" s="51">
        <v>273</v>
      </c>
      <c r="J280" s="80"/>
      <c r="K2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273 MOP_FETCovid19</v>
      </c>
      <c r="L280" s="48">
        <v>44677</v>
      </c>
      <c r="M280" s="48">
        <v>44559</v>
      </c>
      <c r="N280" s="49" t="s">
        <v>644</v>
      </c>
      <c r="O280" s="45"/>
      <c r="P280" s="80" t="s">
        <v>505</v>
      </c>
      <c r="Q280" s="24"/>
      <c r="R280" s="24" t="s">
        <v>24</v>
      </c>
      <c r="S280" s="114"/>
      <c r="T280" s="45"/>
      <c r="U280" s="48"/>
      <c r="V280" s="48"/>
      <c r="W280" s="27"/>
    </row>
    <row r="281" spans="1:23" ht="60" hidden="1" customHeight="1" x14ac:dyDescent="0.25">
      <c r="A281" s="45" t="str">
        <f>CONCATENATE(Tabla2[[#This Row],[id_solicitud]],Tabla2[[#This Row],[tipo]])</f>
        <v>163Proposicion</v>
      </c>
      <c r="B281" s="45">
        <f>COUNTIF($A$2:A281,A281)</f>
        <v>1</v>
      </c>
      <c r="C281" s="45" t="str">
        <f>Tabla2[[#This Row],[(id_solicitud-tipo_documento)]]&amp;B281</f>
        <v>163Proposicion1</v>
      </c>
      <c r="D281" s="45">
        <v>280</v>
      </c>
      <c r="E281" s="45">
        <v>163</v>
      </c>
      <c r="F281" s="45" t="s">
        <v>46</v>
      </c>
      <c r="G281" s="45" t="s">
        <v>60</v>
      </c>
      <c r="H281" s="50" t="s">
        <v>16</v>
      </c>
      <c r="I281" s="51">
        <v>274</v>
      </c>
      <c r="J281" s="80"/>
      <c r="K2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274 DGC</v>
      </c>
      <c r="L281" s="48">
        <v>44677</v>
      </c>
      <c r="M281" s="48">
        <v>44734</v>
      </c>
      <c r="N281" s="49" t="s">
        <v>204</v>
      </c>
      <c r="O281" s="45">
        <v>9</v>
      </c>
      <c r="P281" s="80" t="s">
        <v>494</v>
      </c>
      <c r="Q281" s="24"/>
      <c r="R281" s="24" t="s">
        <v>24</v>
      </c>
      <c r="S281" s="114"/>
      <c r="T281" s="45"/>
      <c r="U281" s="48"/>
      <c r="V281" s="48"/>
      <c r="W281" s="27"/>
    </row>
    <row r="282" spans="1:23" ht="60" hidden="1" customHeight="1" x14ac:dyDescent="0.25">
      <c r="A282" s="45" t="str">
        <f>CONCATENATE(Tabla2[[#This Row],[id_solicitud]],Tabla2[[#This Row],[tipo]])</f>
        <v>216Oficio_Solicitud</v>
      </c>
      <c r="B282" s="45">
        <f>COUNTIF($A$2:A282,A282)</f>
        <v>1</v>
      </c>
      <c r="C282" s="45" t="str">
        <f>Tabla2[[#This Row],[(id_solicitud-tipo_documento)]]&amp;B282</f>
        <v>216Oficio_Solicitud1</v>
      </c>
      <c r="D282" s="45">
        <v>281</v>
      </c>
      <c r="E282" s="45">
        <v>216</v>
      </c>
      <c r="F282" s="45" t="s">
        <v>53</v>
      </c>
      <c r="G282" s="45" t="s">
        <v>60</v>
      </c>
      <c r="H282" s="50" t="s">
        <v>544</v>
      </c>
      <c r="I282" s="51">
        <v>274</v>
      </c>
      <c r="J282" s="80"/>
      <c r="K2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274 DAP_FETCovid19</v>
      </c>
      <c r="L282" s="48">
        <v>44700</v>
      </c>
      <c r="M282" s="48">
        <v>44783</v>
      </c>
      <c r="N282" s="49" t="s">
        <v>244</v>
      </c>
      <c r="O282" s="45">
        <v>3</v>
      </c>
      <c r="P282" s="80" t="s">
        <v>494</v>
      </c>
      <c r="Q282" s="48"/>
      <c r="R282" s="45"/>
      <c r="S282" s="114"/>
      <c r="T282" s="52"/>
      <c r="U282" s="48"/>
      <c r="V282" s="48"/>
      <c r="W282" s="27"/>
    </row>
    <row r="283" spans="1:23" ht="60" hidden="1" customHeight="1" x14ac:dyDescent="0.25">
      <c r="A283" s="45" t="str">
        <f>CONCATENATE(Tabla2[[#This Row],[id_solicitud]],Tabla2[[#This Row],[tipo]])</f>
        <v>291Oficio_Solicitud</v>
      </c>
      <c r="B283" s="45">
        <f>COUNTIF($A$2:A283,A283)</f>
        <v>1</v>
      </c>
      <c r="C283" s="45" t="str">
        <f>Tabla2[[#This Row],[(id_solicitud-tipo_documento)]]&amp;B283</f>
        <v>291Oficio_Solicitud1</v>
      </c>
      <c r="D283" s="45">
        <v>282</v>
      </c>
      <c r="E283" s="45">
        <v>291</v>
      </c>
      <c r="F283" s="45" t="s">
        <v>53</v>
      </c>
      <c r="G283" s="45" t="s">
        <v>44</v>
      </c>
      <c r="H283" s="50" t="s">
        <v>14</v>
      </c>
      <c r="I283" s="51">
        <v>276</v>
      </c>
      <c r="J283" s="80"/>
      <c r="K2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276 DGA</v>
      </c>
      <c r="L283" s="48">
        <v>44743</v>
      </c>
      <c r="M283" s="48">
        <v>44817</v>
      </c>
      <c r="N283" s="49" t="s">
        <v>308</v>
      </c>
      <c r="O283" s="45"/>
      <c r="P283" s="80" t="s">
        <v>494</v>
      </c>
      <c r="Q283" s="48"/>
      <c r="R283" s="45"/>
      <c r="S283" s="114"/>
      <c r="T283" s="52"/>
      <c r="U283" s="48"/>
      <c r="V283" s="48"/>
      <c r="W283" s="27"/>
    </row>
    <row r="284" spans="1:23" ht="60" hidden="1" customHeight="1" x14ac:dyDescent="0.25">
      <c r="A284" s="45" t="str">
        <f>CONCATENATE(Tabla2[[#This Row],[id_solicitud]],Tabla2[[#This Row],[tipo]])</f>
        <v>158Oficio_Solicitud</v>
      </c>
      <c r="B284" s="45">
        <f>COUNTIF($A$2:A284,A284)</f>
        <v>1</v>
      </c>
      <c r="C284" s="45" t="str">
        <f>Tabla2[[#This Row],[(id_solicitud-tipo_documento)]]&amp;B284</f>
        <v>158Oficio_Solicitud1</v>
      </c>
      <c r="D284" s="45">
        <v>283</v>
      </c>
      <c r="E284" s="45">
        <v>158</v>
      </c>
      <c r="F284" s="45" t="s">
        <v>53</v>
      </c>
      <c r="G284" s="45" t="s">
        <v>1258</v>
      </c>
      <c r="H284" s="50" t="s">
        <v>22</v>
      </c>
      <c r="I284" s="51">
        <v>277</v>
      </c>
      <c r="J284" s="80"/>
      <c r="K2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277 DOP</v>
      </c>
      <c r="L284" s="48">
        <v>44665</v>
      </c>
      <c r="M284" s="48">
        <v>44830</v>
      </c>
      <c r="N284" s="49" t="s">
        <v>200</v>
      </c>
      <c r="O284" s="45">
        <v>1</v>
      </c>
      <c r="P284" s="80" t="s">
        <v>494</v>
      </c>
      <c r="Q284" s="48"/>
      <c r="R284" s="45"/>
      <c r="S284" s="114"/>
      <c r="T284" s="52"/>
      <c r="U284" s="48"/>
      <c r="V284" s="48"/>
      <c r="W284" s="27"/>
    </row>
    <row r="285" spans="1:23" ht="60" hidden="1" customHeight="1" x14ac:dyDescent="0.25">
      <c r="A285" s="45" t="str">
        <f>CONCATENATE(Tabla2[[#This Row],[id_solicitud]],Tabla2[[#This Row],[tipo]])</f>
        <v>288Oficio_Solicitud</v>
      </c>
      <c r="B285" s="45">
        <f>COUNTIF($A$2:A285,A285)</f>
        <v>1</v>
      </c>
      <c r="C285" s="45" t="str">
        <f>Tabla2[[#This Row],[(id_solicitud-tipo_documento)]]&amp;B285</f>
        <v>288Oficio_Solicitud1</v>
      </c>
      <c r="D285" s="45">
        <v>284</v>
      </c>
      <c r="E285" s="45">
        <v>288</v>
      </c>
      <c r="F285" s="45" t="s">
        <v>53</v>
      </c>
      <c r="G285" s="45" t="s">
        <v>44</v>
      </c>
      <c r="H285" s="50" t="s">
        <v>565</v>
      </c>
      <c r="I285" s="51">
        <v>278</v>
      </c>
      <c r="J285" s="80"/>
      <c r="K2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278 DGA_FETCovid19</v>
      </c>
      <c r="L285" s="48">
        <v>44743</v>
      </c>
      <c r="M285" s="48">
        <v>44741</v>
      </c>
      <c r="N285" s="49" t="s">
        <v>305</v>
      </c>
      <c r="O285" s="45"/>
      <c r="P285" s="80" t="s">
        <v>498</v>
      </c>
      <c r="Q285" s="48"/>
      <c r="R285" s="45"/>
      <c r="S285" s="114"/>
      <c r="T285" s="52"/>
      <c r="U285" s="48"/>
      <c r="V285" s="48"/>
      <c r="W285" s="27"/>
    </row>
    <row r="286" spans="1:23" ht="60" hidden="1" customHeight="1" x14ac:dyDescent="0.25">
      <c r="A286" s="45" t="str">
        <f>CONCATENATE(Tabla2[[#This Row],[id_solicitud]],Tabla2[[#This Row],[tipo]])</f>
        <v>354Oficio_Solicitud</v>
      </c>
      <c r="B286" s="45">
        <f>COUNTIF($A$2:A286,A286)</f>
        <v>1</v>
      </c>
      <c r="C286" s="45" t="str">
        <f>Tabla2[[#This Row],[(id_solicitud-tipo_documento)]]&amp;B286</f>
        <v>354Oficio_Solicitud1</v>
      </c>
      <c r="D286" s="45">
        <v>285</v>
      </c>
      <c r="E286" s="45">
        <v>354</v>
      </c>
      <c r="F286" s="45" t="s">
        <v>53</v>
      </c>
      <c r="G286" s="45" t="s">
        <v>65</v>
      </c>
      <c r="H286" s="50" t="s">
        <v>594</v>
      </c>
      <c r="I286" s="51">
        <v>278</v>
      </c>
      <c r="J286" s="80"/>
      <c r="K2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278 DGOP-DOH</v>
      </c>
      <c r="L286" s="48">
        <v>44784</v>
      </c>
      <c r="M286" s="48">
        <v>44741</v>
      </c>
      <c r="N286" s="49" t="s">
        <v>358</v>
      </c>
      <c r="O286" s="45"/>
      <c r="P286" s="80" t="s">
        <v>498</v>
      </c>
      <c r="Q286" s="48"/>
      <c r="R286" s="45"/>
      <c r="S286" s="114"/>
      <c r="T286" s="52"/>
      <c r="U286" s="48"/>
      <c r="V286" s="48"/>
      <c r="W286" s="27"/>
    </row>
    <row r="287" spans="1:23" ht="60" hidden="1" customHeight="1" x14ac:dyDescent="0.25">
      <c r="A287" s="45" t="str">
        <f>CONCATENATE(Tabla2[[#This Row],[id_solicitud]],Tabla2[[#This Row],[tipo]])</f>
        <v>220Oficio_Solicitud</v>
      </c>
      <c r="B287" s="45">
        <f>COUNTIF($A$2:A287,A287)</f>
        <v>1</v>
      </c>
      <c r="C287" s="45" t="str">
        <f>Tabla2[[#This Row],[(id_solicitud-tipo_documento)]]&amp;B287</f>
        <v>220Oficio_Solicitud1</v>
      </c>
      <c r="D287" s="45">
        <v>286</v>
      </c>
      <c r="E287" s="45">
        <v>220</v>
      </c>
      <c r="F287" s="45" t="s">
        <v>53</v>
      </c>
      <c r="G287" s="45" t="s">
        <v>1258</v>
      </c>
      <c r="H287" s="50" t="s">
        <v>544</v>
      </c>
      <c r="I287" s="51">
        <v>279</v>
      </c>
      <c r="J287" s="80"/>
      <c r="K2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279 DAP_FETCovid19</v>
      </c>
      <c r="L287" s="48">
        <v>44700</v>
      </c>
      <c r="M287" s="48">
        <v>44750</v>
      </c>
      <c r="N287" s="49" t="s">
        <v>248</v>
      </c>
      <c r="O287" s="45">
        <v>1</v>
      </c>
      <c r="P287" s="80" t="s">
        <v>494</v>
      </c>
      <c r="Q287" s="48"/>
      <c r="R287" s="45"/>
      <c r="S287" s="114"/>
      <c r="T287" s="52"/>
      <c r="U287" s="48"/>
      <c r="V287" s="48"/>
      <c r="W287" s="27"/>
    </row>
    <row r="288" spans="1:23" ht="60" hidden="1" customHeight="1" x14ac:dyDescent="0.25">
      <c r="A288" s="45" t="str">
        <f>CONCATENATE(Tabla2[[#This Row],[id_solicitud]],Tabla2[[#This Row],[tipo]])</f>
        <v>172Proposicion</v>
      </c>
      <c r="B288" s="45">
        <f>COUNTIF($A$2:A288,A288)</f>
        <v>1</v>
      </c>
      <c r="C288" s="45" t="str">
        <f>Tabla2[[#This Row],[(id_solicitud-tipo_documento)]]&amp;B288</f>
        <v>172Proposicion1</v>
      </c>
      <c r="D288" s="45">
        <v>287</v>
      </c>
      <c r="E288" s="45">
        <v>172</v>
      </c>
      <c r="F288" s="45" t="s">
        <v>46</v>
      </c>
      <c r="G288" s="45" t="s">
        <v>60</v>
      </c>
      <c r="H288" s="50" t="s">
        <v>535</v>
      </c>
      <c r="I288" s="51">
        <v>286</v>
      </c>
      <c r="J288" s="80"/>
      <c r="K2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286 DOH_FETCovid19</v>
      </c>
      <c r="L288" s="48">
        <v>44679</v>
      </c>
      <c r="M288" s="48">
        <v>44750</v>
      </c>
      <c r="N288" s="49" t="s">
        <v>212</v>
      </c>
      <c r="O288" s="45">
        <v>1</v>
      </c>
      <c r="P288" s="80" t="s">
        <v>494</v>
      </c>
      <c r="Q288" s="24"/>
      <c r="R288" s="24" t="s">
        <v>24</v>
      </c>
      <c r="S288" s="114"/>
      <c r="T288" s="45"/>
      <c r="U288" s="48"/>
      <c r="V288" s="48"/>
      <c r="W288" s="27"/>
    </row>
    <row r="289" spans="1:23" ht="60" hidden="1" customHeight="1" x14ac:dyDescent="0.25">
      <c r="A289" s="45" t="str">
        <f>CONCATENATE(Tabla2[[#This Row],[id_solicitud]],Tabla2[[#This Row],[tipo]])</f>
        <v>223Oficio_Solicitud</v>
      </c>
      <c r="B289" s="45">
        <f>COUNTIF($A$2:A289,A289)</f>
        <v>1</v>
      </c>
      <c r="C289" s="45" t="str">
        <f>Tabla2[[#This Row],[(id_solicitud-tipo_documento)]]&amp;B289</f>
        <v>223Oficio_Solicitud1</v>
      </c>
      <c r="D289" s="45">
        <v>288</v>
      </c>
      <c r="E289" s="45">
        <v>223</v>
      </c>
      <c r="F289" s="45" t="s">
        <v>53</v>
      </c>
      <c r="G289" s="45" t="s">
        <v>40</v>
      </c>
      <c r="H289" s="50" t="s">
        <v>10</v>
      </c>
      <c r="I289" s="51">
        <v>286</v>
      </c>
      <c r="J289" s="80"/>
      <c r="K2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286 DAP</v>
      </c>
      <c r="L289" s="48">
        <v>44705</v>
      </c>
      <c r="M289" s="48">
        <v>44763</v>
      </c>
      <c r="N289" s="49" t="s">
        <v>251</v>
      </c>
      <c r="O289" s="45"/>
      <c r="P289" s="80" t="s">
        <v>500</v>
      </c>
      <c r="Q289" s="48"/>
      <c r="R289" s="45"/>
      <c r="S289" s="114"/>
      <c r="T289" s="52"/>
      <c r="U289" s="48"/>
      <c r="V289" s="48"/>
      <c r="W289" s="27"/>
    </row>
    <row r="290" spans="1:23" ht="60" hidden="1" customHeight="1" x14ac:dyDescent="0.25">
      <c r="A290" s="45" t="str">
        <f>CONCATENATE(Tabla2[[#This Row],[id_solicitud]],Tabla2[[#This Row],[tipo]])</f>
        <v>168Proposicion</v>
      </c>
      <c r="B290" s="45">
        <f>COUNTIF($A$2:A290,A290)</f>
        <v>1</v>
      </c>
      <c r="C290" s="45" t="str">
        <f>Tabla2[[#This Row],[(id_solicitud-tipo_documento)]]&amp;B290</f>
        <v>168Proposicion1</v>
      </c>
      <c r="D290" s="45">
        <v>289</v>
      </c>
      <c r="E290" s="45">
        <v>168</v>
      </c>
      <c r="F290" s="45" t="s">
        <v>46</v>
      </c>
      <c r="G290" s="45" t="s">
        <v>60</v>
      </c>
      <c r="H290" s="50" t="s">
        <v>559</v>
      </c>
      <c r="I290" s="51">
        <v>287</v>
      </c>
      <c r="J290" s="80"/>
      <c r="K2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287 APR_FETCovid19</v>
      </c>
      <c r="L290" s="48">
        <v>44679</v>
      </c>
      <c r="M290" s="48">
        <v>44764</v>
      </c>
      <c r="N290" s="49" t="s">
        <v>209</v>
      </c>
      <c r="O290" s="45"/>
      <c r="P290" s="80" t="s">
        <v>494</v>
      </c>
      <c r="Q290" s="24"/>
      <c r="R290" s="24" t="s">
        <v>24</v>
      </c>
      <c r="S290" s="114"/>
      <c r="T290" s="45"/>
      <c r="U290" s="48"/>
      <c r="V290" s="48"/>
      <c r="W290" s="27"/>
    </row>
    <row r="291" spans="1:23" ht="60" hidden="1" customHeight="1" x14ac:dyDescent="0.25">
      <c r="A291" s="45" t="str">
        <f>CONCATENATE(Tabla2[[#This Row],[id_solicitud]],Tabla2[[#This Row],[tipo]])</f>
        <v>160Proposicion</v>
      </c>
      <c r="B291" s="45">
        <f>COUNTIF($A$2:A291,A291)</f>
        <v>1</v>
      </c>
      <c r="C291" s="45" t="str">
        <f>Tabla2[[#This Row],[(id_solicitud-tipo_documento)]]&amp;B291</f>
        <v>160Proposicion1</v>
      </c>
      <c r="D291" s="45">
        <v>290</v>
      </c>
      <c r="E291" s="45">
        <v>160</v>
      </c>
      <c r="F291" s="45" t="s">
        <v>46</v>
      </c>
      <c r="G291" s="45" t="s">
        <v>44</v>
      </c>
      <c r="H291" s="50" t="s">
        <v>20</v>
      </c>
      <c r="I291" s="51">
        <v>288</v>
      </c>
      <c r="J291" s="80"/>
      <c r="K2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288 DOH</v>
      </c>
      <c r="L291" s="48">
        <v>44679</v>
      </c>
      <c r="M291" s="48">
        <v>44790</v>
      </c>
      <c r="N291" s="49" t="s">
        <v>202</v>
      </c>
      <c r="O291" s="45"/>
      <c r="P291" s="80" t="s">
        <v>498</v>
      </c>
      <c r="Q291" s="24"/>
      <c r="R291" s="24" t="s">
        <v>24</v>
      </c>
      <c r="S291" s="114"/>
      <c r="T291" s="45"/>
      <c r="U291" s="48"/>
      <c r="V291" s="48"/>
      <c r="W291" s="27"/>
    </row>
    <row r="292" spans="1:23" ht="60" hidden="1" customHeight="1" x14ac:dyDescent="0.25">
      <c r="A292" s="45" t="str">
        <f>CONCATENATE(Tabla2[[#This Row],[id_solicitud]],Tabla2[[#This Row],[tipo]])</f>
        <v>165Oficio_Solicitud</v>
      </c>
      <c r="B292" s="45">
        <f>COUNTIF($A$2:A292,A292)</f>
        <v>1</v>
      </c>
      <c r="C292" s="45" t="str">
        <f>Tabla2[[#This Row],[(id_solicitud-tipo_documento)]]&amp;B292</f>
        <v>165Oficio_Solicitud1</v>
      </c>
      <c r="D292" s="45">
        <v>291</v>
      </c>
      <c r="E292" s="45">
        <v>165</v>
      </c>
      <c r="F292" s="45" t="s">
        <v>53</v>
      </c>
      <c r="G292" s="45" t="s">
        <v>60</v>
      </c>
      <c r="H292" s="50" t="s">
        <v>22</v>
      </c>
      <c r="I292" s="51">
        <v>288</v>
      </c>
      <c r="J292" s="80"/>
      <c r="K2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288 DOP</v>
      </c>
      <c r="L292" s="48">
        <v>44670</v>
      </c>
      <c r="M292" s="48">
        <v>44833</v>
      </c>
      <c r="N292" s="49" t="s">
        <v>206</v>
      </c>
      <c r="O292" s="45">
        <v>5</v>
      </c>
      <c r="P292" s="80" t="s">
        <v>494</v>
      </c>
      <c r="Q292" s="48"/>
      <c r="R292" s="45"/>
      <c r="S292" s="114"/>
      <c r="T292" s="52"/>
      <c r="U292" s="48"/>
      <c r="V292" s="48"/>
      <c r="W292" s="27"/>
    </row>
    <row r="293" spans="1:23" ht="60" hidden="1" customHeight="1" x14ac:dyDescent="0.25">
      <c r="A293" s="45" t="str">
        <f>CONCATENATE(Tabla2[[#This Row],[id_solicitud]],Tabla2[[#This Row],[tipo]])</f>
        <v>52Resolucion</v>
      </c>
      <c r="B293" s="45">
        <f>COUNTIF($A$2:A293,A293)</f>
        <v>1</v>
      </c>
      <c r="C293" s="45" t="str">
        <f>Tabla2[[#This Row],[(id_solicitud-tipo_documento)]]&amp;B293</f>
        <v>52Resolucion1</v>
      </c>
      <c r="D293" s="45">
        <v>292</v>
      </c>
      <c r="E293" s="45">
        <v>52</v>
      </c>
      <c r="F293" s="45" t="s">
        <v>48</v>
      </c>
      <c r="G293" s="45"/>
      <c r="H293" s="50" t="s">
        <v>16</v>
      </c>
      <c r="I293" s="51">
        <v>289</v>
      </c>
      <c r="J293" s="80"/>
      <c r="K2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93" s="48">
        <v>44596</v>
      </c>
      <c r="M293" s="48">
        <v>44833</v>
      </c>
      <c r="N293" s="49"/>
      <c r="O293" s="45"/>
      <c r="P293" s="80"/>
      <c r="Q293" s="48"/>
      <c r="R293" s="45"/>
      <c r="S293" s="114"/>
      <c r="T293" s="45"/>
      <c r="U293" s="48"/>
      <c r="V293" s="48"/>
      <c r="W293" s="27"/>
    </row>
    <row r="294" spans="1:23" ht="60" hidden="1" customHeight="1" x14ac:dyDescent="0.25">
      <c r="A294" s="45" t="str">
        <f>CONCATENATE(Tabla2[[#This Row],[id_solicitud]],Tabla2[[#This Row],[tipo]])</f>
        <v>294Oficio_Solicitud</v>
      </c>
      <c r="B294" s="45">
        <f>COUNTIF($A$2:A294,A294)</f>
        <v>1</v>
      </c>
      <c r="C294" s="45" t="str">
        <f>Tabla2[[#This Row],[(id_solicitud-tipo_documento)]]&amp;B294</f>
        <v>294Oficio_Solicitud1</v>
      </c>
      <c r="D294" s="45">
        <v>293</v>
      </c>
      <c r="E294" s="45">
        <v>294</v>
      </c>
      <c r="F294" s="45" t="s">
        <v>53</v>
      </c>
      <c r="G294" s="45" t="s">
        <v>1258</v>
      </c>
      <c r="H294" s="50" t="s">
        <v>565</v>
      </c>
      <c r="I294" s="51">
        <v>290</v>
      </c>
      <c r="J294" s="80"/>
      <c r="K2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290 DGA_FETCovid19</v>
      </c>
      <c r="L294" s="48">
        <v>44754</v>
      </c>
      <c r="M294" s="48">
        <v>44873</v>
      </c>
      <c r="N294" s="49" t="s">
        <v>311</v>
      </c>
      <c r="O294" s="45">
        <v>3</v>
      </c>
      <c r="P294" s="80" t="s">
        <v>494</v>
      </c>
      <c r="Q294" s="48">
        <v>44764</v>
      </c>
      <c r="R294" s="45"/>
      <c r="S294" s="114"/>
      <c r="T294" s="52"/>
      <c r="U294" s="48"/>
      <c r="V294" s="48"/>
      <c r="W294" s="27"/>
    </row>
    <row r="295" spans="1:23" ht="60" hidden="1" customHeight="1" x14ac:dyDescent="0.25">
      <c r="A295" s="45" t="str">
        <f>CONCATENATE(Tabla2[[#This Row],[id_solicitud]],Tabla2[[#This Row],[tipo]])</f>
        <v>65Resolucion</v>
      </c>
      <c r="B295" s="45">
        <f>COUNTIF($A$2:A295,A295)</f>
        <v>1</v>
      </c>
      <c r="C295" s="45" t="str">
        <f>Tabla2[[#This Row],[(id_solicitud-tipo_documento)]]&amp;B295</f>
        <v>65Resolucion1</v>
      </c>
      <c r="D295" s="45">
        <v>294</v>
      </c>
      <c r="E295" s="45">
        <v>65</v>
      </c>
      <c r="F295" s="45" t="s">
        <v>48</v>
      </c>
      <c r="G295" s="45"/>
      <c r="H295" s="50" t="s">
        <v>22</v>
      </c>
      <c r="I295" s="51">
        <v>291</v>
      </c>
      <c r="J295" s="80"/>
      <c r="K2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295" s="48">
        <v>44645</v>
      </c>
      <c r="M295" s="48">
        <v>44650</v>
      </c>
      <c r="N295" s="49"/>
      <c r="O295" s="45"/>
      <c r="P295" s="80"/>
      <c r="Q295" s="48"/>
      <c r="R295" s="45"/>
      <c r="S295" s="114"/>
      <c r="T295" s="45"/>
      <c r="U295" s="48"/>
      <c r="V295" s="48"/>
      <c r="W295" s="27"/>
    </row>
    <row r="296" spans="1:23" ht="60" hidden="1" customHeight="1" x14ac:dyDescent="0.25">
      <c r="A296" s="45" t="str">
        <f>CONCATENATE(Tabla2[[#This Row],[id_solicitud]],Tabla2[[#This Row],[tipo]])</f>
        <v>113Proposicion</v>
      </c>
      <c r="B296" s="45">
        <f>COUNTIF($A$2:A296,A296)</f>
        <v>1</v>
      </c>
      <c r="C296" s="45" t="str">
        <f>Tabla2[[#This Row],[(id_solicitud-tipo_documento)]]&amp;B296</f>
        <v>113Proposicion1</v>
      </c>
      <c r="D296" s="45">
        <v>295</v>
      </c>
      <c r="E296" s="45">
        <v>113</v>
      </c>
      <c r="F296" s="45" t="s">
        <v>46</v>
      </c>
      <c r="G296" s="45" t="s">
        <v>44</v>
      </c>
      <c r="H296" s="50" t="s">
        <v>28</v>
      </c>
      <c r="I296" s="51">
        <v>291</v>
      </c>
      <c r="J296" s="80"/>
      <c r="K2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291 FISC</v>
      </c>
      <c r="L296" s="48">
        <v>44679</v>
      </c>
      <c r="M296" s="48">
        <v>44790</v>
      </c>
      <c r="N296" s="49" t="s">
        <v>641</v>
      </c>
      <c r="O296" s="45"/>
      <c r="P296" s="80" t="s">
        <v>498</v>
      </c>
      <c r="Q296" s="24"/>
      <c r="R296" s="24" t="s">
        <v>24</v>
      </c>
      <c r="S296" s="114"/>
      <c r="T296" s="45"/>
      <c r="U296" s="48"/>
      <c r="V296" s="48"/>
      <c r="W296" s="27"/>
    </row>
    <row r="297" spans="1:23" ht="60" hidden="1" customHeight="1" x14ac:dyDescent="0.25">
      <c r="A297" s="45" t="str">
        <f>CONCATENATE(Tabla2[[#This Row],[id_solicitud]],Tabla2[[#This Row],[tipo]])</f>
        <v>134Oficio_Solicitud</v>
      </c>
      <c r="B297" s="45">
        <f>COUNTIF($A$2:A297,A297)</f>
        <v>1</v>
      </c>
      <c r="C297" s="45" t="str">
        <f>Tabla2[[#This Row],[(id_solicitud-tipo_documento)]]&amp;B297</f>
        <v>134Oficio_Solicitud1</v>
      </c>
      <c r="D297" s="45">
        <v>296</v>
      </c>
      <c r="E297" s="45">
        <v>134</v>
      </c>
      <c r="F297" s="45" t="s">
        <v>53</v>
      </c>
      <c r="G297" s="45" t="s">
        <v>43</v>
      </c>
      <c r="H297" s="50" t="s">
        <v>8</v>
      </c>
      <c r="I297" s="51">
        <v>291</v>
      </c>
      <c r="J297" s="80"/>
      <c r="K2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291 DA</v>
      </c>
      <c r="L297" s="48">
        <v>44641</v>
      </c>
      <c r="M297" s="48">
        <v>44643</v>
      </c>
      <c r="N297" s="49" t="s">
        <v>179</v>
      </c>
      <c r="O297" s="45"/>
      <c r="P297" s="80" t="s">
        <v>506</v>
      </c>
      <c r="Q297" s="48"/>
      <c r="R297" s="45"/>
      <c r="S297" s="114"/>
      <c r="T297" s="52"/>
      <c r="U297" s="48"/>
      <c r="V297" s="48"/>
      <c r="W297" s="27"/>
    </row>
    <row r="298" spans="1:23" ht="60" hidden="1" customHeight="1" x14ac:dyDescent="0.25">
      <c r="A298" s="45" t="str">
        <f>CONCATENATE(Tabla2[[#This Row],[id_solicitud]],Tabla2[[#This Row],[tipo]])</f>
        <v>426Oficio_Solicitud</v>
      </c>
      <c r="B298" s="45">
        <f>COUNTIF($A$2:A298,A298)</f>
        <v>1</v>
      </c>
      <c r="C298" s="45" t="str">
        <f>Tabla2[[#This Row],[(id_solicitud-tipo_documento)]]&amp;B298</f>
        <v>426Oficio_Solicitud1</v>
      </c>
      <c r="D298" s="45">
        <v>297</v>
      </c>
      <c r="E298" s="45">
        <v>426</v>
      </c>
      <c r="F298" s="45" t="s">
        <v>53</v>
      </c>
      <c r="G298" s="45" t="s">
        <v>42</v>
      </c>
      <c r="H298" s="50" t="s">
        <v>35</v>
      </c>
      <c r="I298" s="51">
        <v>291</v>
      </c>
      <c r="J298" s="80"/>
      <c r="K2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291 SOP</v>
      </c>
      <c r="L298" s="48">
        <v>44816</v>
      </c>
      <c r="M298" s="48">
        <v>44816</v>
      </c>
      <c r="N298" s="49" t="s">
        <v>410</v>
      </c>
      <c r="O298" s="45"/>
      <c r="P298" s="80" t="s">
        <v>497</v>
      </c>
      <c r="Q298" s="48"/>
      <c r="R298" s="45"/>
      <c r="S298" s="114"/>
      <c r="T298" s="52"/>
      <c r="U298" s="48"/>
      <c r="V298" s="48"/>
      <c r="W298" s="27"/>
    </row>
    <row r="299" spans="1:23" ht="60" hidden="1" customHeight="1" x14ac:dyDescent="0.25">
      <c r="A299" s="45" t="str">
        <f>CONCATENATE(Tabla2[[#This Row],[id_solicitud]],Tabla2[[#This Row],[tipo]])</f>
        <v>138Oficio_Solicitud</v>
      </c>
      <c r="B299" s="45">
        <f>COUNTIF($A$2:A299,A299)</f>
        <v>1</v>
      </c>
      <c r="C299" s="45" t="str">
        <f>Tabla2[[#This Row],[(id_solicitud-tipo_documento)]]&amp;B299</f>
        <v>138Oficio_Solicitud1</v>
      </c>
      <c r="D299" s="45">
        <v>298</v>
      </c>
      <c r="E299" s="45">
        <v>138</v>
      </c>
      <c r="F299" s="45" t="s">
        <v>53</v>
      </c>
      <c r="G299" s="45" t="s">
        <v>1258</v>
      </c>
      <c r="H299" s="50" t="s">
        <v>8</v>
      </c>
      <c r="I299" s="51">
        <v>293</v>
      </c>
      <c r="J299" s="80"/>
      <c r="K2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293 DA</v>
      </c>
      <c r="L299" s="48">
        <v>44643</v>
      </c>
      <c r="M299" s="48">
        <v>44644</v>
      </c>
      <c r="N299" s="49" t="s">
        <v>183</v>
      </c>
      <c r="O299" s="45">
        <v>1</v>
      </c>
      <c r="P299" s="80" t="s">
        <v>494</v>
      </c>
      <c r="Q299" s="48"/>
      <c r="R299" s="45"/>
      <c r="S299" s="114"/>
      <c r="T299" s="52"/>
      <c r="U299" s="48"/>
      <c r="V299" s="48"/>
      <c r="W299" s="27"/>
    </row>
    <row r="300" spans="1:23" ht="60" hidden="1" customHeight="1" x14ac:dyDescent="0.25">
      <c r="A300" s="45" t="str">
        <f>CONCATENATE(Tabla2[[#This Row],[id_solicitud]],Tabla2[[#This Row],[tipo]])</f>
        <v>186Proposicion</v>
      </c>
      <c r="B300" s="45">
        <f>COUNTIF($A$2:A300,A300)</f>
        <v>1</v>
      </c>
      <c r="C300" s="45" t="str">
        <f>Tabla2[[#This Row],[(id_solicitud-tipo_documento)]]&amp;B300</f>
        <v>186Proposicion1</v>
      </c>
      <c r="D300" s="45">
        <v>299</v>
      </c>
      <c r="E300" s="45">
        <v>186</v>
      </c>
      <c r="F300" s="45" t="s">
        <v>46</v>
      </c>
      <c r="G300" s="45" t="s">
        <v>40</v>
      </c>
      <c r="H300" s="50" t="s">
        <v>33</v>
      </c>
      <c r="I300" s="51">
        <v>295</v>
      </c>
      <c r="J300" s="80"/>
      <c r="K3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295 SISS</v>
      </c>
      <c r="L300" s="48">
        <v>44685</v>
      </c>
      <c r="M300" s="48">
        <v>44685</v>
      </c>
      <c r="N300" s="49" t="s">
        <v>221</v>
      </c>
      <c r="O300" s="45">
        <v>0</v>
      </c>
      <c r="P300" s="80" t="s">
        <v>500</v>
      </c>
      <c r="Q300" s="24"/>
      <c r="R300" s="23" t="s">
        <v>12</v>
      </c>
      <c r="S300" s="114"/>
      <c r="T300" s="45"/>
      <c r="U300" s="48"/>
      <c r="V300" s="48"/>
      <c r="W300" s="27"/>
    </row>
    <row r="301" spans="1:23" ht="60" hidden="1" customHeight="1" x14ac:dyDescent="0.25">
      <c r="A301" s="45" t="str">
        <f>CONCATENATE(Tabla2[[#This Row],[id_solicitud]],Tabla2[[#This Row],[tipo]])</f>
        <v>169Proposicion</v>
      </c>
      <c r="B301" s="45">
        <f>COUNTIF($A$2:A301,A301)</f>
        <v>1</v>
      </c>
      <c r="C301" s="45" t="str">
        <f>Tabla2[[#This Row],[(id_solicitud-tipo_documento)]]&amp;B301</f>
        <v>169Proposicion1</v>
      </c>
      <c r="D301" s="45">
        <v>300</v>
      </c>
      <c r="E301" s="45">
        <v>169</v>
      </c>
      <c r="F301" s="45" t="s">
        <v>46</v>
      </c>
      <c r="G301" s="45" t="s">
        <v>60</v>
      </c>
      <c r="H301" s="50" t="s">
        <v>8</v>
      </c>
      <c r="I301" s="51">
        <v>296</v>
      </c>
      <c r="J301" s="80"/>
      <c r="K3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296 DA</v>
      </c>
      <c r="L301" s="48">
        <v>44680</v>
      </c>
      <c r="M301" s="48">
        <v>44683</v>
      </c>
      <c r="N301" s="49" t="s">
        <v>210</v>
      </c>
      <c r="O301" s="45">
        <v>2</v>
      </c>
      <c r="P301" s="80" t="s">
        <v>494</v>
      </c>
      <c r="Q301" s="24"/>
      <c r="R301" s="24" t="s">
        <v>24</v>
      </c>
      <c r="S301" s="114"/>
      <c r="T301" s="45"/>
      <c r="U301" s="48"/>
      <c r="V301" s="48"/>
      <c r="W301" s="27"/>
    </row>
    <row r="302" spans="1:23" ht="60" hidden="1" customHeight="1" x14ac:dyDescent="0.25">
      <c r="A302" s="45" t="str">
        <f>CONCATENATE(Tabla2[[#This Row],[id_solicitud]],Tabla2[[#This Row],[tipo]])</f>
        <v>170Oficio_Solicitud</v>
      </c>
      <c r="B302" s="45">
        <f>COUNTIF($A$2:A302,A302)</f>
        <v>1</v>
      </c>
      <c r="C302" s="45" t="str">
        <f>Tabla2[[#This Row],[(id_solicitud-tipo_documento)]]&amp;B302</f>
        <v>170Oficio_Solicitud1</v>
      </c>
      <c r="D302" s="45">
        <v>301</v>
      </c>
      <c r="E302" s="45">
        <v>170</v>
      </c>
      <c r="F302" s="45" t="s">
        <v>53</v>
      </c>
      <c r="G302" s="45" t="s">
        <v>1258</v>
      </c>
      <c r="H302" s="50" t="s">
        <v>541</v>
      </c>
      <c r="I302" s="51">
        <v>297</v>
      </c>
      <c r="J302" s="80"/>
      <c r="K3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297 DOP_FETCovid19</v>
      </c>
      <c r="L302" s="48">
        <v>44671</v>
      </c>
      <c r="M302" s="48">
        <v>44672</v>
      </c>
      <c r="N302" s="49" t="s">
        <v>211</v>
      </c>
      <c r="O302" s="45">
        <v>2</v>
      </c>
      <c r="P302" s="80" t="s">
        <v>494</v>
      </c>
      <c r="Q302" s="48"/>
      <c r="R302" s="45"/>
      <c r="S302" s="114"/>
      <c r="T302" s="52"/>
      <c r="U302" s="48"/>
      <c r="V302" s="48"/>
      <c r="W302" s="27"/>
    </row>
    <row r="303" spans="1:23" ht="60" hidden="1" customHeight="1" x14ac:dyDescent="0.25">
      <c r="A303" s="45" t="str">
        <f>CONCATENATE(Tabla2[[#This Row],[id_solicitud]],Tabla2[[#This Row],[tipo]])</f>
        <v>175Proposicion</v>
      </c>
      <c r="B303" s="45">
        <f>COUNTIF($A$2:A303,A303)</f>
        <v>1</v>
      </c>
      <c r="C303" s="45" t="str">
        <f>Tabla2[[#This Row],[(id_solicitud-tipo_documento)]]&amp;B303</f>
        <v>175Proposicion1</v>
      </c>
      <c r="D303" s="45">
        <v>302</v>
      </c>
      <c r="E303" s="45">
        <v>175</v>
      </c>
      <c r="F303" s="45" t="s">
        <v>46</v>
      </c>
      <c r="G303" s="45" t="s">
        <v>60</v>
      </c>
      <c r="H303" s="50" t="s">
        <v>20</v>
      </c>
      <c r="I303" s="51">
        <v>297</v>
      </c>
      <c r="J303" s="80"/>
      <c r="K3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297 DOH</v>
      </c>
      <c r="L303" s="48">
        <v>44683</v>
      </c>
      <c r="M303" s="48">
        <v>44684</v>
      </c>
      <c r="N303" s="49" t="s">
        <v>214</v>
      </c>
      <c r="O303" s="45">
        <v>1</v>
      </c>
      <c r="P303" s="80" t="s">
        <v>494</v>
      </c>
      <c r="Q303" s="24"/>
      <c r="R303" s="24" t="s">
        <v>24</v>
      </c>
      <c r="S303" s="114"/>
      <c r="T303" s="45"/>
      <c r="U303" s="48"/>
      <c r="V303" s="48"/>
      <c r="W303" s="27"/>
    </row>
    <row r="304" spans="1:23" ht="60" hidden="1" customHeight="1" x14ac:dyDescent="0.25">
      <c r="A304" s="45" t="str">
        <f>CONCATENATE(Tabla2[[#This Row],[id_solicitud]],Tabla2[[#This Row],[tipo]])</f>
        <v>187Proposicion</v>
      </c>
      <c r="B304" s="45">
        <f>COUNTIF($A$2:A304,A304)</f>
        <v>1</v>
      </c>
      <c r="C304" s="45" t="str">
        <f>Tabla2[[#This Row],[(id_solicitud-tipo_documento)]]&amp;B304</f>
        <v>187Proposicion1</v>
      </c>
      <c r="D304" s="45">
        <v>303</v>
      </c>
      <c r="E304" s="45">
        <v>187</v>
      </c>
      <c r="F304" s="45" t="s">
        <v>46</v>
      </c>
      <c r="G304" s="45" t="s">
        <v>44</v>
      </c>
      <c r="H304" s="50" t="s">
        <v>22</v>
      </c>
      <c r="I304" s="51">
        <v>297</v>
      </c>
      <c r="J304" s="80"/>
      <c r="K3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297 DOP</v>
      </c>
      <c r="L304" s="48">
        <v>44685</v>
      </c>
      <c r="M304" s="48">
        <v>44685</v>
      </c>
      <c r="N304" s="49" t="s">
        <v>222</v>
      </c>
      <c r="O304" s="45"/>
      <c r="P304" s="80" t="s">
        <v>497</v>
      </c>
      <c r="Q304" s="24"/>
      <c r="R304" s="23" t="s">
        <v>12</v>
      </c>
      <c r="S304" s="114"/>
      <c r="T304" s="45"/>
      <c r="U304" s="48"/>
      <c r="V304" s="48"/>
      <c r="W304" s="27"/>
    </row>
    <row r="305" spans="1:23" ht="60" hidden="1" customHeight="1" x14ac:dyDescent="0.25">
      <c r="A305" s="45" t="str">
        <f>CONCATENATE(Tabla2[[#This Row],[id_solicitud]],Tabla2[[#This Row],[tipo]])</f>
        <v>303Oficio_Solicitud</v>
      </c>
      <c r="B305" s="45">
        <f>COUNTIF($A$2:A305,A305)</f>
        <v>1</v>
      </c>
      <c r="C305" s="45" t="str">
        <f>Tabla2[[#This Row],[(id_solicitud-tipo_documento)]]&amp;B305</f>
        <v>303Oficio_Solicitud1</v>
      </c>
      <c r="D305" s="45">
        <v>304</v>
      </c>
      <c r="E305" s="45">
        <v>303</v>
      </c>
      <c r="F305" s="45" t="s">
        <v>53</v>
      </c>
      <c r="G305" s="45" t="s">
        <v>44</v>
      </c>
      <c r="H305" s="50" t="s">
        <v>565</v>
      </c>
      <c r="I305" s="51">
        <v>297</v>
      </c>
      <c r="J305" s="80"/>
      <c r="K3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297 DGA_FETCovid19</v>
      </c>
      <c r="L305" s="48">
        <v>44761</v>
      </c>
      <c r="M305" s="48">
        <v>44762</v>
      </c>
      <c r="N305" s="49" t="s">
        <v>316</v>
      </c>
      <c r="O305" s="45"/>
      <c r="P305" s="80" t="s">
        <v>498</v>
      </c>
      <c r="Q305" s="48"/>
      <c r="R305" s="45"/>
      <c r="S305" s="114"/>
      <c r="T305" s="52"/>
      <c r="U305" s="48"/>
      <c r="V305" s="48"/>
      <c r="W305" s="27"/>
    </row>
    <row r="306" spans="1:23" ht="60" hidden="1" customHeight="1" x14ac:dyDescent="0.25">
      <c r="A306" s="45" t="str">
        <f>CONCATENATE(Tabla2[[#This Row],[id_solicitud]],Tabla2[[#This Row],[tipo]])</f>
        <v>189Proposicion</v>
      </c>
      <c r="B306" s="45">
        <f>COUNTIF($A$2:A306,A306)</f>
        <v>1</v>
      </c>
      <c r="C306" s="45" t="str">
        <f>Tabla2[[#This Row],[(id_solicitud-tipo_documento)]]&amp;B306</f>
        <v>189Proposicion1</v>
      </c>
      <c r="D306" s="45">
        <v>305</v>
      </c>
      <c r="E306" s="45">
        <v>189</v>
      </c>
      <c r="F306" s="45" t="s">
        <v>46</v>
      </c>
      <c r="G306" s="45" t="s">
        <v>40</v>
      </c>
      <c r="H306" s="50" t="s">
        <v>26</v>
      </c>
      <c r="I306" s="51">
        <v>300</v>
      </c>
      <c r="J306" s="80"/>
      <c r="K3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300 DV</v>
      </c>
      <c r="L306" s="48">
        <v>44686</v>
      </c>
      <c r="M306" s="48">
        <v>44686</v>
      </c>
      <c r="N306" s="49" t="s">
        <v>657</v>
      </c>
      <c r="O306" s="45"/>
      <c r="P306" s="80" t="s">
        <v>500</v>
      </c>
      <c r="Q306" s="24"/>
      <c r="R306" s="23" t="s">
        <v>12</v>
      </c>
      <c r="S306" s="114"/>
      <c r="T306" s="45"/>
      <c r="U306" s="48"/>
      <c r="V306" s="48"/>
      <c r="W306" s="27"/>
    </row>
    <row r="307" spans="1:23" ht="60" hidden="1" customHeight="1" x14ac:dyDescent="0.25">
      <c r="A307" s="45" t="str">
        <f>CONCATENATE(Tabla2[[#This Row],[id_solicitud]],Tabla2[[#This Row],[tipo]])</f>
        <v>77Decreto</v>
      </c>
      <c r="B307" s="45">
        <f>COUNTIF($A$2:A307,A307)</f>
        <v>1</v>
      </c>
      <c r="C307" s="45" t="str">
        <f>Tabla2[[#This Row],[(id_solicitud-tipo_documento)]]&amp;B307</f>
        <v>77Decreto1</v>
      </c>
      <c r="D307" s="45">
        <v>306</v>
      </c>
      <c r="E307" s="45">
        <v>77</v>
      </c>
      <c r="F307" s="45" t="s">
        <v>47</v>
      </c>
      <c r="G307" s="45" t="s">
        <v>62</v>
      </c>
      <c r="H307" s="50" t="s">
        <v>578</v>
      </c>
      <c r="I307" s="51">
        <v>301</v>
      </c>
      <c r="J307" s="80"/>
      <c r="K3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301 DV-SISS</v>
      </c>
      <c r="L307" s="48">
        <v>44624</v>
      </c>
      <c r="M307" s="48">
        <v>44846</v>
      </c>
      <c r="N307" s="49" t="s">
        <v>816</v>
      </c>
      <c r="O307" s="45"/>
      <c r="P307" s="80"/>
      <c r="Q307" s="48"/>
      <c r="R307" s="45"/>
      <c r="S307" s="115">
        <v>115</v>
      </c>
      <c r="T307" s="20">
        <v>44606</v>
      </c>
      <c r="U307" s="20">
        <v>44641</v>
      </c>
      <c r="V307" s="20">
        <v>44641</v>
      </c>
      <c r="W307" s="27"/>
    </row>
    <row r="308" spans="1:23" ht="60" hidden="1" customHeight="1" x14ac:dyDescent="0.25">
      <c r="A308" s="45" t="str">
        <f>CONCATENATE(Tabla2[[#This Row],[id_solicitud]],Tabla2[[#This Row],[tipo]])</f>
        <v>181Proposicion</v>
      </c>
      <c r="B308" s="45">
        <f>COUNTIF($A$2:A308,A308)</f>
        <v>1</v>
      </c>
      <c r="C308" s="45" t="str">
        <f>Tabla2[[#This Row],[(id_solicitud-tipo_documento)]]&amp;B308</f>
        <v>181Proposicion1</v>
      </c>
      <c r="D308" s="45">
        <v>307</v>
      </c>
      <c r="E308" s="45">
        <v>181</v>
      </c>
      <c r="F308" s="45" t="s">
        <v>46</v>
      </c>
      <c r="G308" s="45" t="s">
        <v>61</v>
      </c>
      <c r="H308" s="50" t="s">
        <v>20</v>
      </c>
      <c r="I308" s="51">
        <v>301</v>
      </c>
      <c r="J308" s="80"/>
      <c r="K3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301 DOH</v>
      </c>
      <c r="L308" s="48">
        <v>44684</v>
      </c>
      <c r="M308" s="48">
        <v>44685</v>
      </c>
      <c r="N308" s="49" t="s">
        <v>217</v>
      </c>
      <c r="O308" s="45">
        <v>9</v>
      </c>
      <c r="P308" s="80" t="s">
        <v>494</v>
      </c>
      <c r="Q308" s="24"/>
      <c r="R308" s="24" t="s">
        <v>24</v>
      </c>
      <c r="S308" s="114"/>
      <c r="T308" s="45"/>
      <c r="U308" s="48"/>
      <c r="V308" s="48"/>
      <c r="W308" s="27"/>
    </row>
    <row r="309" spans="1:23" ht="60" hidden="1" customHeight="1" x14ac:dyDescent="0.25">
      <c r="A309" s="45" t="str">
        <f>CONCATENATE(Tabla2[[#This Row],[id_solicitud]],Tabla2[[#This Row],[tipo]])</f>
        <v>61Decreto</v>
      </c>
      <c r="B309" s="45">
        <f>COUNTIF($A$2:A309,A309)</f>
        <v>1</v>
      </c>
      <c r="C309" s="45" t="str">
        <f>Tabla2[[#This Row],[(id_solicitud-tipo_documento)]]&amp;B309</f>
        <v>61Decreto1</v>
      </c>
      <c r="D309" s="45">
        <v>308</v>
      </c>
      <c r="E309" s="45">
        <v>61</v>
      </c>
      <c r="F309" s="45" t="s">
        <v>47</v>
      </c>
      <c r="G309" s="45" t="s">
        <v>61</v>
      </c>
      <c r="H309" s="50" t="s">
        <v>33</v>
      </c>
      <c r="I309" s="51">
        <v>303</v>
      </c>
      <c r="J309" s="80"/>
      <c r="K3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303 SISS</v>
      </c>
      <c r="L309" s="48">
        <v>44624</v>
      </c>
      <c r="M309" s="48">
        <v>44875</v>
      </c>
      <c r="N309" s="49" t="s">
        <v>630</v>
      </c>
      <c r="O309" s="45"/>
      <c r="P309" s="80"/>
      <c r="Q309" s="48"/>
      <c r="R309" s="45"/>
      <c r="S309" s="115">
        <v>116</v>
      </c>
      <c r="T309" s="20">
        <v>44606</v>
      </c>
      <c r="U309" s="20">
        <v>44641</v>
      </c>
      <c r="V309" s="20">
        <v>44641</v>
      </c>
      <c r="W309" s="27"/>
    </row>
    <row r="310" spans="1:23" ht="60" hidden="1" customHeight="1" x14ac:dyDescent="0.25">
      <c r="A310" s="45" t="str">
        <f>CONCATENATE(Tabla2[[#This Row],[id_solicitud]],Tabla2[[#This Row],[tipo]])</f>
        <v>77Decreto</v>
      </c>
      <c r="B310" s="45">
        <f>COUNTIF($A$2:A310,A310)</f>
        <v>2</v>
      </c>
      <c r="C310" s="45" t="str">
        <f>Tabla2[[#This Row],[(id_solicitud-tipo_documento)]]&amp;B310</f>
        <v>77Decreto2</v>
      </c>
      <c r="D310" s="45">
        <v>309</v>
      </c>
      <c r="E310" s="45">
        <v>77</v>
      </c>
      <c r="F310" s="45" t="s">
        <v>47</v>
      </c>
      <c r="G310" s="45" t="s">
        <v>62</v>
      </c>
      <c r="H310" s="50" t="s">
        <v>578</v>
      </c>
      <c r="I310" s="51">
        <v>303</v>
      </c>
      <c r="J310" s="80"/>
      <c r="K3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303 DV-SISS</v>
      </c>
      <c r="L310" s="48">
        <v>44624</v>
      </c>
      <c r="M310" s="48">
        <v>44875</v>
      </c>
      <c r="N310" s="49" t="s">
        <v>630</v>
      </c>
      <c r="O310" s="45"/>
      <c r="P310" s="80"/>
      <c r="Q310" s="48"/>
      <c r="R310" s="45"/>
      <c r="S310" s="115">
        <v>116</v>
      </c>
      <c r="T310" s="20">
        <v>44606</v>
      </c>
      <c r="U310" s="20">
        <v>44641</v>
      </c>
      <c r="V310" s="20">
        <v>44641</v>
      </c>
      <c r="W310" s="27"/>
    </row>
    <row r="311" spans="1:23" ht="60" hidden="1" customHeight="1" x14ac:dyDescent="0.25">
      <c r="A311" s="45" t="str">
        <f>CONCATENATE(Tabla2[[#This Row],[id_solicitud]],Tabla2[[#This Row],[tipo]])</f>
        <v>59Decreto</v>
      </c>
      <c r="B311" s="45">
        <f>COUNTIF($A$2:A311,A311)</f>
        <v>1</v>
      </c>
      <c r="C311" s="45" t="str">
        <f>Tabla2[[#This Row],[(id_solicitud-tipo_documento)]]&amp;B311</f>
        <v>59Decreto1</v>
      </c>
      <c r="D311" s="45">
        <v>310</v>
      </c>
      <c r="E311" s="45">
        <v>59</v>
      </c>
      <c r="F311" s="45" t="s">
        <v>47</v>
      </c>
      <c r="G311" s="45" t="s">
        <v>60</v>
      </c>
      <c r="H311" s="50" t="s">
        <v>26</v>
      </c>
      <c r="I311" s="51">
        <v>304</v>
      </c>
      <c r="J311" s="80"/>
      <c r="K3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304 DV</v>
      </c>
      <c r="L311" s="48">
        <v>44624</v>
      </c>
      <c r="M311" s="48">
        <v>44875</v>
      </c>
      <c r="N311" s="49" t="s">
        <v>789</v>
      </c>
      <c r="O311" s="45"/>
      <c r="P311" s="80"/>
      <c r="Q311" s="48"/>
      <c r="R311" s="45"/>
      <c r="S311" s="115">
        <v>125</v>
      </c>
      <c r="T311" s="20">
        <v>44608</v>
      </c>
      <c r="U311" s="20">
        <v>44641</v>
      </c>
      <c r="V311" s="20">
        <v>44641</v>
      </c>
      <c r="W311" s="27"/>
    </row>
    <row r="312" spans="1:23" ht="60" hidden="1" customHeight="1" x14ac:dyDescent="0.25">
      <c r="A312" s="45" t="str">
        <f>CONCATENATE(Tabla2[[#This Row],[id_solicitud]],Tabla2[[#This Row],[tipo]])</f>
        <v>441Oficio_Solicitud</v>
      </c>
      <c r="B312" s="45">
        <f>COUNTIF($A$2:A312,A312)</f>
        <v>1</v>
      </c>
      <c r="C312" s="45" t="str">
        <f>Tabla2[[#This Row],[(id_solicitud-tipo_documento)]]&amp;B312</f>
        <v>441Oficio_Solicitud1</v>
      </c>
      <c r="D312" s="45">
        <v>311</v>
      </c>
      <c r="E312" s="45">
        <v>441</v>
      </c>
      <c r="F312" s="45" t="s">
        <v>53</v>
      </c>
      <c r="G312" s="45" t="s">
        <v>67</v>
      </c>
      <c r="H312" s="50" t="s">
        <v>35</v>
      </c>
      <c r="I312" s="51">
        <v>305</v>
      </c>
      <c r="J312" s="80"/>
      <c r="K3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305 SOP</v>
      </c>
      <c r="L312" s="48">
        <v>44832</v>
      </c>
      <c r="M312" s="48">
        <v>44833</v>
      </c>
      <c r="N312" s="49" t="s">
        <v>420</v>
      </c>
      <c r="O312" s="45"/>
      <c r="P312" s="80" t="s">
        <v>498</v>
      </c>
      <c r="Q312" s="48">
        <v>44837</v>
      </c>
      <c r="R312" s="45"/>
      <c r="S312" s="114"/>
      <c r="T312" s="52"/>
      <c r="U312" s="48"/>
      <c r="V312" s="48"/>
      <c r="W312" s="27"/>
    </row>
    <row r="313" spans="1:23" ht="60" hidden="1" customHeight="1" x14ac:dyDescent="0.25">
      <c r="A313" s="45" t="str">
        <f>CONCATENATE(Tabla2[[#This Row],[id_solicitud]],Tabla2[[#This Row],[tipo]])</f>
        <v>136Oficio_Solicitud</v>
      </c>
      <c r="B313" s="45">
        <f>COUNTIF($A$2:A313,A313)</f>
        <v>1</v>
      </c>
      <c r="C313" s="45" t="str">
        <f>Tabla2[[#This Row],[(id_solicitud-tipo_documento)]]&amp;B313</f>
        <v>136Oficio_Solicitud1</v>
      </c>
      <c r="D313" s="45">
        <v>312</v>
      </c>
      <c r="E313" s="45">
        <v>136</v>
      </c>
      <c r="F313" s="45" t="s">
        <v>53</v>
      </c>
      <c r="G313" s="45" t="s">
        <v>43</v>
      </c>
      <c r="H313" s="50" t="s">
        <v>16</v>
      </c>
      <c r="I313" s="51">
        <v>307</v>
      </c>
      <c r="J313" s="80"/>
      <c r="K3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307 DGC</v>
      </c>
      <c r="L313" s="48">
        <v>44638</v>
      </c>
      <c r="M313" s="48">
        <v>44641</v>
      </c>
      <c r="N313" s="49" t="s">
        <v>181</v>
      </c>
      <c r="O313" s="45"/>
      <c r="P313" s="80" t="s">
        <v>508</v>
      </c>
      <c r="Q313" s="48"/>
      <c r="R313" s="45"/>
      <c r="S313" s="114"/>
      <c r="T313" s="52"/>
      <c r="U313" s="48"/>
      <c r="V313" s="48"/>
      <c r="W313" s="27"/>
    </row>
    <row r="314" spans="1:23" ht="60" hidden="1" customHeight="1" x14ac:dyDescent="0.25">
      <c r="A314" s="45" t="str">
        <f>CONCATENATE(Tabla2[[#This Row],[id_solicitud]],Tabla2[[#This Row],[tipo]])</f>
        <v>179Proposicion</v>
      </c>
      <c r="B314" s="45">
        <f>COUNTIF($A$2:A314,A314)</f>
        <v>1</v>
      </c>
      <c r="C314" s="45" t="str">
        <f>Tabla2[[#This Row],[(id_solicitud-tipo_documento)]]&amp;B314</f>
        <v>179Proposicion1</v>
      </c>
      <c r="D314" s="45">
        <v>313</v>
      </c>
      <c r="E314" s="45">
        <v>179</v>
      </c>
      <c r="F314" s="45" t="s">
        <v>46</v>
      </c>
      <c r="G314" s="45" t="s">
        <v>60</v>
      </c>
      <c r="H314" s="50" t="s">
        <v>22</v>
      </c>
      <c r="I314" s="51">
        <v>307</v>
      </c>
      <c r="J314" s="80"/>
      <c r="K3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307 DOP</v>
      </c>
      <c r="L314" s="48">
        <v>44687</v>
      </c>
      <c r="M314" s="48">
        <v>44690</v>
      </c>
      <c r="N314" s="49" t="s">
        <v>216</v>
      </c>
      <c r="O314" s="45">
        <v>6</v>
      </c>
      <c r="P314" s="80" t="s">
        <v>494</v>
      </c>
      <c r="Q314" s="24"/>
      <c r="R314" s="24" t="s">
        <v>24</v>
      </c>
      <c r="S314" s="114"/>
      <c r="T314" s="45"/>
      <c r="U314" s="48"/>
      <c r="V314" s="48"/>
      <c r="W314" s="27"/>
    </row>
    <row r="315" spans="1:23" ht="60" hidden="1" customHeight="1" x14ac:dyDescent="0.25">
      <c r="A315" s="45" t="str">
        <f>CONCATENATE(Tabla2[[#This Row],[id_solicitud]],Tabla2[[#This Row],[tipo]])</f>
        <v>164Proposicion</v>
      </c>
      <c r="B315" s="45">
        <f>COUNTIF($A$2:A315,A315)</f>
        <v>1</v>
      </c>
      <c r="C315" s="45" t="str">
        <f>Tabla2[[#This Row],[(id_solicitud-tipo_documento)]]&amp;B315</f>
        <v>164Proposicion1</v>
      </c>
      <c r="D315" s="45">
        <v>314</v>
      </c>
      <c r="E315" s="45">
        <v>164</v>
      </c>
      <c r="F315" s="45" t="s">
        <v>46</v>
      </c>
      <c r="G315" s="45" t="s">
        <v>1258</v>
      </c>
      <c r="H315" s="50" t="s">
        <v>26</v>
      </c>
      <c r="I315" s="51">
        <v>308</v>
      </c>
      <c r="J315" s="80"/>
      <c r="K3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308 DV</v>
      </c>
      <c r="L315" s="48">
        <v>44687</v>
      </c>
      <c r="M315" s="48">
        <v>44687</v>
      </c>
      <c r="N315" s="49" t="s">
        <v>205</v>
      </c>
      <c r="O315" s="45">
        <v>75</v>
      </c>
      <c r="P315" s="80" t="s">
        <v>494</v>
      </c>
      <c r="Q315" s="24"/>
      <c r="R315" s="24" t="s">
        <v>24</v>
      </c>
      <c r="S315" s="114"/>
      <c r="T315" s="45"/>
      <c r="U315" s="48"/>
      <c r="V315" s="48"/>
      <c r="W315" s="27"/>
    </row>
    <row r="316" spans="1:23" ht="60" hidden="1" customHeight="1" x14ac:dyDescent="0.25">
      <c r="A316" s="45" t="str">
        <f>CONCATENATE(Tabla2[[#This Row],[id_solicitud]],Tabla2[[#This Row],[tipo]])</f>
        <v>49Decreto</v>
      </c>
      <c r="B316" s="45">
        <f>COUNTIF($A$2:A316,A316)</f>
        <v>1</v>
      </c>
      <c r="C316" s="45" t="str">
        <f>Tabla2[[#This Row],[(id_solicitud-tipo_documento)]]&amp;B316</f>
        <v>49Decreto1</v>
      </c>
      <c r="D316" s="45">
        <v>315</v>
      </c>
      <c r="E316" s="45">
        <v>49</v>
      </c>
      <c r="F316" s="45" t="s">
        <v>47</v>
      </c>
      <c r="G316" s="45" t="s">
        <v>43</v>
      </c>
      <c r="H316" s="50" t="s">
        <v>535</v>
      </c>
      <c r="I316" s="51">
        <v>309</v>
      </c>
      <c r="J316" s="80"/>
      <c r="K3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309 DOH_FETCovid19</v>
      </c>
      <c r="L316" s="48">
        <v>44624</v>
      </c>
      <c r="M316" s="48"/>
      <c r="N316" s="49" t="s">
        <v>782</v>
      </c>
      <c r="O316" s="45"/>
      <c r="P316" s="80"/>
      <c r="Q316" s="48"/>
      <c r="R316" s="45"/>
      <c r="S316" s="115">
        <v>97</v>
      </c>
      <c r="T316" s="20">
        <v>44609</v>
      </c>
      <c r="U316" s="20">
        <v>44634</v>
      </c>
      <c r="V316" s="20">
        <v>44634</v>
      </c>
      <c r="W316" s="27"/>
    </row>
    <row r="317" spans="1:23" ht="60" hidden="1" customHeight="1" x14ac:dyDescent="0.25">
      <c r="A317" s="45" t="str">
        <f>CONCATENATE(Tabla2[[#This Row],[id_solicitud]],Tabla2[[#This Row],[tipo]])</f>
        <v>193Proposicion</v>
      </c>
      <c r="B317" s="45">
        <f>COUNTIF($A$2:A317,A317)</f>
        <v>1</v>
      </c>
      <c r="C317" s="45" t="str">
        <f>Tabla2[[#This Row],[(id_solicitud-tipo_documento)]]&amp;B317</f>
        <v>193Proposicion1</v>
      </c>
      <c r="D317" s="45">
        <v>316</v>
      </c>
      <c r="E317" s="45">
        <v>193</v>
      </c>
      <c r="F317" s="45" t="s">
        <v>46</v>
      </c>
      <c r="G317" s="45" t="s">
        <v>1258</v>
      </c>
      <c r="H317" s="50" t="s">
        <v>538</v>
      </c>
      <c r="I317" s="51">
        <v>309</v>
      </c>
      <c r="J317" s="80"/>
      <c r="K3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309 DV_FETCovid19</v>
      </c>
      <c r="L317" s="48">
        <v>44687</v>
      </c>
      <c r="M317" s="48">
        <v>44687</v>
      </c>
      <c r="N317" s="49" t="s">
        <v>226</v>
      </c>
      <c r="O317" s="45">
        <v>3</v>
      </c>
      <c r="P317" s="80" t="s">
        <v>494</v>
      </c>
      <c r="Q317" s="24"/>
      <c r="R317" s="24" t="s">
        <v>24</v>
      </c>
      <c r="S317" s="114"/>
      <c r="T317" s="45"/>
      <c r="U317" s="48"/>
      <c r="V317" s="48"/>
      <c r="W317" s="27"/>
    </row>
    <row r="318" spans="1:23" ht="60" hidden="1" customHeight="1" x14ac:dyDescent="0.25">
      <c r="A318" s="45" t="str">
        <f>CONCATENATE(Tabla2[[#This Row],[id_solicitud]],Tabla2[[#This Row],[tipo]])</f>
        <v>260Oficio_Solicitud</v>
      </c>
      <c r="B318" s="45">
        <f>COUNTIF($A$2:A318,A318)</f>
        <v>1</v>
      </c>
      <c r="C318" s="45" t="str">
        <f>Tabla2[[#This Row],[(id_solicitud-tipo_documento)]]&amp;B318</f>
        <v>260Oficio_Solicitud1</v>
      </c>
      <c r="D318" s="45">
        <v>317</v>
      </c>
      <c r="E318" s="45">
        <v>260</v>
      </c>
      <c r="F318" s="45" t="s">
        <v>53</v>
      </c>
      <c r="G318" s="45" t="s">
        <v>44</v>
      </c>
      <c r="H318" s="50" t="s">
        <v>10</v>
      </c>
      <c r="I318" s="51">
        <v>309</v>
      </c>
      <c r="J318" s="80"/>
      <c r="K3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309 DAP</v>
      </c>
      <c r="L318" s="48">
        <v>44714</v>
      </c>
      <c r="M318" s="48"/>
      <c r="N318" s="49"/>
      <c r="O318" s="45"/>
      <c r="P318" s="80" t="s">
        <v>497</v>
      </c>
      <c r="Q318" s="48"/>
      <c r="R318" s="45"/>
      <c r="S318" s="114"/>
      <c r="T318" s="52"/>
      <c r="U318" s="48"/>
      <c r="V318" s="48"/>
      <c r="W318" s="27"/>
    </row>
    <row r="319" spans="1:23" ht="60" hidden="1" customHeight="1" x14ac:dyDescent="0.25">
      <c r="A319" s="45" t="str">
        <f>CONCATENATE(Tabla2[[#This Row],[id_solicitud]],Tabla2[[#This Row],[tipo]])</f>
        <v>180Proposicion</v>
      </c>
      <c r="B319" s="45">
        <f>COUNTIF($A$2:A319,A319)</f>
        <v>1</v>
      </c>
      <c r="C319" s="45" t="str">
        <f>Tabla2[[#This Row],[(id_solicitud-tipo_documento)]]&amp;B319</f>
        <v>180Proposicion1</v>
      </c>
      <c r="D319" s="45">
        <v>318</v>
      </c>
      <c r="E319" s="45">
        <v>180</v>
      </c>
      <c r="F319" s="45" t="s">
        <v>46</v>
      </c>
      <c r="G319" s="45" t="s">
        <v>60</v>
      </c>
      <c r="H319" s="50" t="s">
        <v>10</v>
      </c>
      <c r="I319" s="51">
        <v>312</v>
      </c>
      <c r="J319" s="80"/>
      <c r="K3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312 DAP</v>
      </c>
      <c r="L319" s="48">
        <v>44690</v>
      </c>
      <c r="M319" s="48">
        <v>44691</v>
      </c>
      <c r="N319" s="49" t="s">
        <v>1010</v>
      </c>
      <c r="O319" s="45">
        <f>2+7+27</f>
        <v>36</v>
      </c>
      <c r="P319" s="80" t="s">
        <v>494</v>
      </c>
      <c r="Q319" s="24"/>
      <c r="R319" s="24" t="s">
        <v>24</v>
      </c>
      <c r="S319" s="114"/>
      <c r="T319" s="45"/>
      <c r="U319" s="48"/>
      <c r="V319" s="48"/>
      <c r="W319" s="27"/>
    </row>
    <row r="320" spans="1:23" ht="60" hidden="1" customHeight="1" x14ac:dyDescent="0.25">
      <c r="A320" s="45" t="str">
        <f>CONCATENATE(Tabla2[[#This Row],[id_solicitud]],Tabla2[[#This Row],[tipo]])</f>
        <v>174Proposicion</v>
      </c>
      <c r="B320" s="45">
        <f>COUNTIF($A$2:A320,A320)</f>
        <v>1</v>
      </c>
      <c r="C320" s="45" t="str">
        <f>Tabla2[[#This Row],[(id_solicitud-tipo_documento)]]&amp;B320</f>
        <v>174Proposicion1</v>
      </c>
      <c r="D320" s="45">
        <v>319</v>
      </c>
      <c r="E320" s="45">
        <v>174</v>
      </c>
      <c r="F320" s="45" t="s">
        <v>46</v>
      </c>
      <c r="G320" s="45" t="s">
        <v>60</v>
      </c>
      <c r="H320" s="50" t="s">
        <v>535</v>
      </c>
      <c r="I320" s="51">
        <v>318</v>
      </c>
      <c r="J320" s="80"/>
      <c r="K3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318 DOH_FETCovid19</v>
      </c>
      <c r="L320" s="48">
        <v>44693</v>
      </c>
      <c r="M320" s="48">
        <v>44694</v>
      </c>
      <c r="N320" s="49" t="s">
        <v>655</v>
      </c>
      <c r="O320" s="45">
        <v>18</v>
      </c>
      <c r="P320" s="80" t="s">
        <v>494</v>
      </c>
      <c r="Q320" s="24"/>
      <c r="R320" s="24" t="s">
        <v>24</v>
      </c>
      <c r="S320" s="114"/>
      <c r="T320" s="45"/>
      <c r="U320" s="48"/>
      <c r="V320" s="48"/>
      <c r="W320" s="27"/>
    </row>
    <row r="321" spans="1:23" ht="60" hidden="1" customHeight="1" x14ac:dyDescent="0.25">
      <c r="A321" s="45" t="str">
        <f>CONCATENATE(Tabla2[[#This Row],[id_solicitud]],Tabla2[[#This Row],[tipo]])</f>
        <v>179Oficio_Solicitud</v>
      </c>
      <c r="B321" s="45">
        <f>COUNTIF($A$2:A321,A321)</f>
        <v>1</v>
      </c>
      <c r="C321" s="45" t="str">
        <f>Tabla2[[#This Row],[(id_solicitud-tipo_documento)]]&amp;B321</f>
        <v>179Oficio_Solicitud1</v>
      </c>
      <c r="D321" s="45">
        <v>320</v>
      </c>
      <c r="E321" s="45">
        <v>179</v>
      </c>
      <c r="F321" s="45" t="s">
        <v>53</v>
      </c>
      <c r="G321" s="45" t="s">
        <v>60</v>
      </c>
      <c r="H321" s="50" t="s">
        <v>22</v>
      </c>
      <c r="I321" s="51">
        <v>318</v>
      </c>
      <c r="J321" s="80"/>
      <c r="K3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318 DOP</v>
      </c>
      <c r="L321" s="48">
        <v>44679</v>
      </c>
      <c r="M321" s="48">
        <v>44679</v>
      </c>
      <c r="N321" s="49" t="s">
        <v>216</v>
      </c>
      <c r="O321" s="45">
        <v>6</v>
      </c>
      <c r="P321" s="80" t="s">
        <v>494</v>
      </c>
      <c r="Q321" s="48"/>
      <c r="R321" s="45"/>
      <c r="S321" s="114"/>
      <c r="T321" s="52"/>
      <c r="U321" s="48"/>
      <c r="V321" s="48"/>
      <c r="W321" s="27"/>
    </row>
    <row r="322" spans="1:23" ht="60" hidden="1" customHeight="1" x14ac:dyDescent="0.25">
      <c r="A322" s="45" t="str">
        <f>CONCATENATE(Tabla2[[#This Row],[id_solicitud]],Tabla2[[#This Row],[tipo]])</f>
        <v>151Oficio_Solicitud</v>
      </c>
      <c r="B322" s="45">
        <f>COUNTIF($A$2:A322,A322)</f>
        <v>1</v>
      </c>
      <c r="C322" s="45" t="str">
        <f>Tabla2[[#This Row],[(id_solicitud-tipo_documento)]]&amp;B322</f>
        <v>151Oficio_Solicitud1</v>
      </c>
      <c r="D322" s="45">
        <v>321</v>
      </c>
      <c r="E322" s="45">
        <v>151</v>
      </c>
      <c r="F322" s="45" t="s">
        <v>53</v>
      </c>
      <c r="G322" s="45" t="s">
        <v>60</v>
      </c>
      <c r="H322" s="50" t="s">
        <v>8</v>
      </c>
      <c r="I322" s="51">
        <v>321</v>
      </c>
      <c r="J322" s="80"/>
      <c r="K3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321 DA</v>
      </c>
      <c r="L322" s="48">
        <v>44651</v>
      </c>
      <c r="M322" s="48">
        <v>44652</v>
      </c>
      <c r="N322" s="49" t="s">
        <v>194</v>
      </c>
      <c r="O322" s="45">
        <v>8</v>
      </c>
      <c r="P322" s="80" t="s">
        <v>494</v>
      </c>
      <c r="Q322" s="48"/>
      <c r="R322" s="45"/>
      <c r="S322" s="114"/>
      <c r="T322" s="52"/>
      <c r="U322" s="48"/>
      <c r="V322" s="48"/>
      <c r="W322" s="27"/>
    </row>
    <row r="323" spans="1:23" ht="60" hidden="1" customHeight="1" x14ac:dyDescent="0.25">
      <c r="A323" s="45" t="str">
        <f>CONCATENATE(Tabla2[[#This Row],[id_solicitud]],Tabla2[[#This Row],[tipo]])</f>
        <v>187Oficio_Solicitud</v>
      </c>
      <c r="B323" s="45">
        <f>COUNTIF($A$2:A323,A323)</f>
        <v>1</v>
      </c>
      <c r="C323" s="45" t="str">
        <f>Tabla2[[#This Row],[(id_solicitud-tipo_documento)]]&amp;B323</f>
        <v>187Oficio_Solicitud1</v>
      </c>
      <c r="D323" s="45">
        <v>322</v>
      </c>
      <c r="E323" s="45">
        <v>187</v>
      </c>
      <c r="F323" s="45" t="s">
        <v>53</v>
      </c>
      <c r="G323" s="45" t="s">
        <v>44</v>
      </c>
      <c r="H323" s="50" t="s">
        <v>22</v>
      </c>
      <c r="I323" s="51">
        <v>321</v>
      </c>
      <c r="J323" s="80"/>
      <c r="K3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321 DOP</v>
      </c>
      <c r="L323" s="48">
        <v>44679</v>
      </c>
      <c r="M323" s="48">
        <v>44679</v>
      </c>
      <c r="N323" s="49" t="s">
        <v>222</v>
      </c>
      <c r="O323" s="45"/>
      <c r="P323" s="80" t="s">
        <v>497</v>
      </c>
      <c r="Q323" s="48"/>
      <c r="R323" s="45"/>
      <c r="S323" s="114"/>
      <c r="T323" s="52"/>
      <c r="U323" s="48"/>
      <c r="V323" s="48"/>
      <c r="W323" s="27"/>
    </row>
    <row r="324" spans="1:23" ht="60" hidden="1" customHeight="1" x14ac:dyDescent="0.25">
      <c r="A324" s="45" t="str">
        <f>CONCATENATE(Tabla2[[#This Row],[id_solicitud]],Tabla2[[#This Row],[tipo]])</f>
        <v>203Proposicion</v>
      </c>
      <c r="B324" s="45">
        <f>COUNTIF($A$2:A324,A324)</f>
        <v>1</v>
      </c>
      <c r="C324" s="45" t="str">
        <f>Tabla2[[#This Row],[(id_solicitud-tipo_documento)]]&amp;B324</f>
        <v>203Proposicion1</v>
      </c>
      <c r="D324" s="45">
        <v>323</v>
      </c>
      <c r="E324" s="45">
        <v>203</v>
      </c>
      <c r="F324" s="45" t="s">
        <v>46</v>
      </c>
      <c r="G324" s="45" t="s">
        <v>60</v>
      </c>
      <c r="H324" s="50" t="s">
        <v>541</v>
      </c>
      <c r="I324" s="51">
        <v>322</v>
      </c>
      <c r="J324" s="80"/>
      <c r="K3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322 DOP_FETCovid19</v>
      </c>
      <c r="L324" s="48">
        <v>44697</v>
      </c>
      <c r="M324" s="48">
        <v>44697</v>
      </c>
      <c r="N324" s="49" t="s">
        <v>232</v>
      </c>
      <c r="O324" s="45">
        <v>6</v>
      </c>
      <c r="P324" s="80" t="s">
        <v>494</v>
      </c>
      <c r="Q324" s="24"/>
      <c r="R324" s="24" t="s">
        <v>24</v>
      </c>
      <c r="S324" s="114"/>
      <c r="T324" s="45"/>
      <c r="U324" s="48"/>
      <c r="V324" s="48"/>
      <c r="W324" s="27"/>
    </row>
    <row r="325" spans="1:23" ht="60" hidden="1" customHeight="1" x14ac:dyDescent="0.25">
      <c r="A325" s="45" t="str">
        <f>CONCATENATE(Tabla2[[#This Row],[id_solicitud]],Tabla2[[#This Row],[tipo]])</f>
        <v>198Proposicion</v>
      </c>
      <c r="B325" s="45">
        <f>COUNTIF($A$2:A325,A325)</f>
        <v>1</v>
      </c>
      <c r="C325" s="45" t="str">
        <f>Tabla2[[#This Row],[(id_solicitud-tipo_documento)]]&amp;B325</f>
        <v>198Proposicion1</v>
      </c>
      <c r="D325" s="45">
        <v>324</v>
      </c>
      <c r="E325" s="45">
        <v>198</v>
      </c>
      <c r="F325" s="45" t="s">
        <v>46</v>
      </c>
      <c r="G325" s="45" t="s">
        <v>60</v>
      </c>
      <c r="H325" s="50" t="s">
        <v>20</v>
      </c>
      <c r="I325" s="51">
        <v>323</v>
      </c>
      <c r="J325" s="80"/>
      <c r="K3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323 DOH</v>
      </c>
      <c r="L325" s="48">
        <v>44697</v>
      </c>
      <c r="M325" s="48">
        <v>44697</v>
      </c>
      <c r="N325" s="49" t="s">
        <v>229</v>
      </c>
      <c r="O325" s="45">
        <v>1</v>
      </c>
      <c r="P325" s="80" t="s">
        <v>494</v>
      </c>
      <c r="Q325" s="24"/>
      <c r="R325" s="24" t="s">
        <v>24</v>
      </c>
      <c r="S325" s="114"/>
      <c r="T325" s="45"/>
      <c r="U325" s="48"/>
      <c r="V325" s="48"/>
      <c r="W325" s="27"/>
    </row>
    <row r="326" spans="1:23" ht="60" hidden="1" customHeight="1" x14ac:dyDescent="0.25">
      <c r="A326" s="45" t="str">
        <f>CONCATENATE(Tabla2[[#This Row],[id_solicitud]],Tabla2[[#This Row],[tipo]])</f>
        <v>267Oficio_Solicitud</v>
      </c>
      <c r="B326" s="45">
        <f>COUNTIF($A$2:A326,A326)</f>
        <v>1</v>
      </c>
      <c r="C326" s="45" t="str">
        <f>Tabla2[[#This Row],[(id_solicitud-tipo_documento)]]&amp;B326</f>
        <v>267Oficio_Solicitud1</v>
      </c>
      <c r="D326" s="45">
        <v>325</v>
      </c>
      <c r="E326" s="45">
        <v>267</v>
      </c>
      <c r="F326" s="45" t="s">
        <v>53</v>
      </c>
      <c r="G326" s="45" t="s">
        <v>1258</v>
      </c>
      <c r="H326" s="50" t="s">
        <v>10</v>
      </c>
      <c r="I326" s="51">
        <v>325</v>
      </c>
      <c r="J326" s="80"/>
      <c r="K3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325 DAP</v>
      </c>
      <c r="L326" s="48">
        <v>44725</v>
      </c>
      <c r="M326" s="48">
        <v>44726</v>
      </c>
      <c r="N326" s="49" t="s">
        <v>289</v>
      </c>
      <c r="O326" s="45">
        <v>3</v>
      </c>
      <c r="P326" s="80" t="s">
        <v>494</v>
      </c>
      <c r="Q326" s="48"/>
      <c r="R326" s="45"/>
      <c r="S326" s="114"/>
      <c r="T326" s="52"/>
      <c r="U326" s="48"/>
      <c r="V326" s="48"/>
      <c r="W326" s="27"/>
    </row>
    <row r="327" spans="1:23" ht="60" hidden="1" customHeight="1" x14ac:dyDescent="0.25">
      <c r="A327" s="45" t="str">
        <f>CONCATENATE(Tabla2[[#This Row],[id_solicitud]],Tabla2[[#This Row],[tipo]])</f>
        <v>493Oficio_Solicitud</v>
      </c>
      <c r="B327" s="45">
        <f>COUNTIF($A$2:A327,A327)</f>
        <v>1</v>
      </c>
      <c r="C327" s="45" t="str">
        <f>Tabla2[[#This Row],[(id_solicitud-tipo_documento)]]&amp;B327</f>
        <v>493Oficio_Solicitud1</v>
      </c>
      <c r="D327" s="45">
        <v>326</v>
      </c>
      <c r="E327" s="45">
        <v>493</v>
      </c>
      <c r="F327" s="45" t="s">
        <v>53</v>
      </c>
      <c r="G327" s="45" t="s">
        <v>44</v>
      </c>
      <c r="H327" s="50" t="s">
        <v>35</v>
      </c>
      <c r="I327" s="51">
        <v>325</v>
      </c>
      <c r="J327" s="80"/>
      <c r="K3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325 SOP</v>
      </c>
      <c r="L327" s="48">
        <v>44848</v>
      </c>
      <c r="M327" s="48">
        <v>44848</v>
      </c>
      <c r="N327" s="49" t="s">
        <v>461</v>
      </c>
      <c r="O327" s="45"/>
      <c r="P327" s="80" t="s">
        <v>497</v>
      </c>
      <c r="Q327" s="48"/>
      <c r="R327" s="45"/>
      <c r="S327" s="114"/>
      <c r="T327" s="52"/>
      <c r="U327" s="48"/>
      <c r="V327" s="48"/>
      <c r="W327" s="27"/>
    </row>
    <row r="328" spans="1:23" ht="60" hidden="1" customHeight="1" x14ac:dyDescent="0.25">
      <c r="A328" s="45" t="str">
        <f>CONCATENATE(Tabla2[[#This Row],[id_solicitud]],Tabla2[[#This Row],[tipo]])</f>
        <v>271Oficio_Solicitud</v>
      </c>
      <c r="B328" s="45">
        <f>COUNTIF($A$2:A328,A328)</f>
        <v>1</v>
      </c>
      <c r="C328" s="45" t="str">
        <f>Tabla2[[#This Row],[(id_solicitud-tipo_documento)]]&amp;B328</f>
        <v>271Oficio_Solicitud1</v>
      </c>
      <c r="D328" s="45">
        <v>327</v>
      </c>
      <c r="E328" s="45">
        <v>271</v>
      </c>
      <c r="F328" s="45" t="s">
        <v>53</v>
      </c>
      <c r="G328" s="45" t="s">
        <v>1258</v>
      </c>
      <c r="H328" s="50" t="s">
        <v>544</v>
      </c>
      <c r="I328" s="51">
        <v>326</v>
      </c>
      <c r="J328" s="80"/>
      <c r="K3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326 DAP_FETCovid19</v>
      </c>
      <c r="L328" s="48">
        <v>44726</v>
      </c>
      <c r="M328" s="48">
        <v>44727</v>
      </c>
      <c r="N328" s="49" t="s">
        <v>293</v>
      </c>
      <c r="O328" s="45">
        <v>3</v>
      </c>
      <c r="P328" s="80" t="s">
        <v>494</v>
      </c>
      <c r="Q328" s="48"/>
      <c r="R328" s="45"/>
      <c r="S328" s="114"/>
      <c r="T328" s="52"/>
      <c r="U328" s="48"/>
      <c r="V328" s="48"/>
      <c r="W328" s="27"/>
    </row>
    <row r="329" spans="1:23" ht="60" hidden="1" customHeight="1" x14ac:dyDescent="0.25">
      <c r="A329" s="45" t="str">
        <f>CONCATENATE(Tabla2[[#This Row],[id_solicitud]],Tabla2[[#This Row],[tipo]])</f>
        <v>48Decreto</v>
      </c>
      <c r="B329" s="45">
        <f>COUNTIF($A$2:A329,A329)</f>
        <v>1</v>
      </c>
      <c r="C329" s="45" t="str">
        <f>Tabla2[[#This Row],[(id_solicitud-tipo_documento)]]&amp;B329</f>
        <v>48Decreto1</v>
      </c>
      <c r="D329" s="45">
        <v>328</v>
      </c>
      <c r="E329" s="45">
        <v>48</v>
      </c>
      <c r="F329" s="45" t="s">
        <v>47</v>
      </c>
      <c r="G329" s="45" t="s">
        <v>43</v>
      </c>
      <c r="H329" s="50" t="s">
        <v>20</v>
      </c>
      <c r="I329" s="51">
        <v>327</v>
      </c>
      <c r="J329" s="80"/>
      <c r="K3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327 DOH</v>
      </c>
      <c r="L329" s="48">
        <v>44624</v>
      </c>
      <c r="M329" s="48"/>
      <c r="N329" s="49" t="s">
        <v>781</v>
      </c>
      <c r="O329" s="45"/>
      <c r="P329" s="80"/>
      <c r="Q329" s="48"/>
      <c r="R329" s="45"/>
      <c r="S329" s="115">
        <v>95</v>
      </c>
      <c r="T329" s="20">
        <v>44609</v>
      </c>
      <c r="U329" s="20">
        <v>44643</v>
      </c>
      <c r="V329" s="20">
        <v>44643</v>
      </c>
      <c r="W329" s="27"/>
    </row>
    <row r="330" spans="1:23" ht="60" hidden="1" customHeight="1" x14ac:dyDescent="0.25">
      <c r="A330" s="45" t="str">
        <f>CONCATENATE(Tabla2[[#This Row],[id_solicitud]],Tabla2[[#This Row],[tipo]])</f>
        <v>204Proposicion</v>
      </c>
      <c r="B330" s="45">
        <f>COUNTIF($A$2:A330,A330)</f>
        <v>1</v>
      </c>
      <c r="C330" s="45" t="str">
        <f>Tabla2[[#This Row],[(id_solicitud-tipo_documento)]]&amp;B330</f>
        <v>204Proposicion1</v>
      </c>
      <c r="D330" s="45">
        <v>329</v>
      </c>
      <c r="E330" s="45">
        <v>204</v>
      </c>
      <c r="F330" s="45" t="s">
        <v>46</v>
      </c>
      <c r="G330" s="45" t="s">
        <v>1258</v>
      </c>
      <c r="H330" s="50" t="s">
        <v>544</v>
      </c>
      <c r="I330" s="51">
        <v>327</v>
      </c>
      <c r="J330" s="80"/>
      <c r="K3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327 DAP_FETCovid19</v>
      </c>
      <c r="L330" s="48">
        <v>44698</v>
      </c>
      <c r="M330" s="48">
        <v>44698</v>
      </c>
      <c r="N330" s="49" t="s">
        <v>233</v>
      </c>
      <c r="O330" s="45">
        <v>1</v>
      </c>
      <c r="P330" s="80" t="s">
        <v>494</v>
      </c>
      <c r="Q330" s="24"/>
      <c r="R330" s="24" t="s">
        <v>24</v>
      </c>
      <c r="S330" s="114"/>
      <c r="T330" s="45"/>
      <c r="U330" s="48"/>
      <c r="V330" s="48"/>
      <c r="W330" s="27"/>
    </row>
    <row r="331" spans="1:23" ht="60" hidden="1" customHeight="1" x14ac:dyDescent="0.25">
      <c r="A331" s="45" t="str">
        <f>CONCATENATE(Tabla2[[#This Row],[id_solicitud]],Tabla2[[#This Row],[tipo]])</f>
        <v>190Proposicion</v>
      </c>
      <c r="B331" s="45">
        <f>COUNTIF($A$2:A331,A331)</f>
        <v>1</v>
      </c>
      <c r="C331" s="45" t="str">
        <f>Tabla2[[#This Row],[(id_solicitud-tipo_documento)]]&amp;B331</f>
        <v>190Proposicion1</v>
      </c>
      <c r="D331" s="45">
        <v>331</v>
      </c>
      <c r="E331" s="45">
        <v>190</v>
      </c>
      <c r="F331" s="45" t="s">
        <v>46</v>
      </c>
      <c r="G331" s="45" t="s">
        <v>40</v>
      </c>
      <c r="H331" s="50" t="s">
        <v>35</v>
      </c>
      <c r="I331" s="51">
        <v>328</v>
      </c>
      <c r="J331" s="80"/>
      <c r="K3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328 SOP</v>
      </c>
      <c r="L331" s="48">
        <v>44698</v>
      </c>
      <c r="M331" s="48">
        <v>44698</v>
      </c>
      <c r="N331" s="49" t="s">
        <v>658</v>
      </c>
      <c r="O331" s="45"/>
      <c r="P331" s="80" t="s">
        <v>505</v>
      </c>
      <c r="Q331" s="24"/>
      <c r="R331" s="24" t="s">
        <v>24</v>
      </c>
      <c r="S331" s="114"/>
      <c r="T331" s="45"/>
      <c r="U331" s="48"/>
      <c r="V331" s="48"/>
      <c r="W331" s="27"/>
    </row>
    <row r="332" spans="1:23" ht="60" customHeight="1" x14ac:dyDescent="0.25">
      <c r="A332" s="45" t="str">
        <f>CONCATENATE(Tabla2[[#This Row],[id_solicitud]],Tabla2[[#This Row],[tipo]])</f>
        <v>40Oficio_Solicitud</v>
      </c>
      <c r="B332" s="45">
        <f>COUNTIF($A$2:A332,A332)</f>
        <v>1</v>
      </c>
      <c r="C332" s="45" t="str">
        <f>Tabla2[[#This Row],[(id_solicitud-tipo_documento)]]&amp;B332</f>
        <v>40Oficio_Solicitud1</v>
      </c>
      <c r="D332" s="45">
        <v>1512</v>
      </c>
      <c r="E332" s="45">
        <v>40</v>
      </c>
      <c r="F332" s="45" t="s">
        <v>53</v>
      </c>
      <c r="G332" s="45" t="s">
        <v>57</v>
      </c>
      <c r="H332" s="50" t="s">
        <v>562</v>
      </c>
      <c r="I332" s="51">
        <v>4480</v>
      </c>
      <c r="J332" s="80"/>
      <c r="K3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4480 DGC_FETCovid19</v>
      </c>
      <c r="L332" s="48">
        <v>44687</v>
      </c>
      <c r="M332" s="48">
        <v>44687</v>
      </c>
      <c r="N332" s="49" t="s">
        <v>102</v>
      </c>
      <c r="O332" s="45">
        <v>18</v>
      </c>
      <c r="P332" s="80" t="s">
        <v>494</v>
      </c>
      <c r="Q332" s="48">
        <v>44630</v>
      </c>
      <c r="R332" s="45"/>
      <c r="S332" s="114"/>
      <c r="T332" s="52"/>
      <c r="U332" s="48"/>
      <c r="V332" s="48"/>
      <c r="W332" s="27"/>
    </row>
    <row r="333" spans="1:23" ht="60" hidden="1" customHeight="1" x14ac:dyDescent="0.25">
      <c r="A333" s="45" t="str">
        <f>CONCATENATE(Tabla2[[#This Row],[id_solicitud]],Tabla2[[#This Row],[tipo]])</f>
        <v>42Decreto</v>
      </c>
      <c r="B333" s="45">
        <f>COUNTIF($A$2:A333,A333)</f>
        <v>1</v>
      </c>
      <c r="C333" s="45" t="str">
        <f>Tabla2[[#This Row],[(id_solicitud-tipo_documento)]]&amp;B333</f>
        <v>42Decreto1</v>
      </c>
      <c r="D333" s="45">
        <v>333</v>
      </c>
      <c r="E333" s="45">
        <v>42</v>
      </c>
      <c r="F333" s="45" t="s">
        <v>47</v>
      </c>
      <c r="G333" s="45" t="s">
        <v>43</v>
      </c>
      <c r="H333" s="50" t="s">
        <v>559</v>
      </c>
      <c r="I333" s="51">
        <v>331</v>
      </c>
      <c r="J333" s="80"/>
      <c r="K3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331 APR_FETCovid19</v>
      </c>
      <c r="L333" s="48">
        <v>44624</v>
      </c>
      <c r="M333" s="48"/>
      <c r="N333" s="49" t="s">
        <v>778</v>
      </c>
      <c r="O333" s="45"/>
      <c r="P333" s="80"/>
      <c r="Q333" s="48"/>
      <c r="R333" s="45"/>
      <c r="S333" s="115">
        <v>101</v>
      </c>
      <c r="T333" s="20">
        <v>44613</v>
      </c>
      <c r="U333" s="20">
        <v>44635</v>
      </c>
      <c r="V333" s="20">
        <v>44635</v>
      </c>
      <c r="W333" s="27"/>
    </row>
    <row r="334" spans="1:23" ht="60" hidden="1" customHeight="1" x14ac:dyDescent="0.25">
      <c r="A334" s="45" t="str">
        <f>CONCATENATE(Tabla2[[#This Row],[id_solicitud]],Tabla2[[#This Row],[tipo]])</f>
        <v>183Proposicion</v>
      </c>
      <c r="B334" s="45">
        <f>COUNTIF($A$2:A334,A334)</f>
        <v>1</v>
      </c>
      <c r="C334" s="45" t="str">
        <f>Tabla2[[#This Row],[(id_solicitud-tipo_documento)]]&amp;B334</f>
        <v>183Proposicion1</v>
      </c>
      <c r="D334" s="45">
        <v>334</v>
      </c>
      <c r="E334" s="45">
        <v>183</v>
      </c>
      <c r="F334" s="45" t="s">
        <v>46</v>
      </c>
      <c r="G334" s="45" t="s">
        <v>60</v>
      </c>
      <c r="H334" s="50" t="s">
        <v>6</v>
      </c>
      <c r="I334" s="51">
        <v>331</v>
      </c>
      <c r="J334" s="80"/>
      <c r="K3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331 APR</v>
      </c>
      <c r="L334" s="48">
        <v>44699</v>
      </c>
      <c r="M334" s="48">
        <v>44699</v>
      </c>
      <c r="N334" s="49" t="s">
        <v>218</v>
      </c>
      <c r="O334" s="45">
        <v>28</v>
      </c>
      <c r="P334" s="80" t="s">
        <v>494</v>
      </c>
      <c r="Q334" s="24"/>
      <c r="R334" s="24" t="s">
        <v>24</v>
      </c>
      <c r="S334" s="114"/>
      <c r="T334" s="45"/>
      <c r="U334" s="48"/>
      <c r="V334" s="48"/>
      <c r="W334" s="27"/>
    </row>
    <row r="335" spans="1:23" ht="60" hidden="1" customHeight="1" x14ac:dyDescent="0.25">
      <c r="A335" s="45" t="str">
        <f>CONCATENATE(Tabla2[[#This Row],[id_solicitud]],Tabla2[[#This Row],[tipo]])</f>
        <v>360Oficio_Solicitud</v>
      </c>
      <c r="B335" s="45">
        <f>COUNTIF($A$2:A335,A335)</f>
        <v>1</v>
      </c>
      <c r="C335" s="45" t="str">
        <f>Tabla2[[#This Row],[(id_solicitud-tipo_documento)]]&amp;B335</f>
        <v>360Oficio_Solicitud1</v>
      </c>
      <c r="D335" s="45">
        <v>335</v>
      </c>
      <c r="E335" s="45">
        <v>360</v>
      </c>
      <c r="F335" s="45" t="s">
        <v>53</v>
      </c>
      <c r="G335" s="45" t="s">
        <v>1267</v>
      </c>
      <c r="H335" s="50" t="s">
        <v>596</v>
      </c>
      <c r="I335" s="51">
        <v>333</v>
      </c>
      <c r="J335" s="80"/>
      <c r="K3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333 DOH-DGA</v>
      </c>
      <c r="L335" s="48">
        <v>44785</v>
      </c>
      <c r="M335" s="48">
        <v>44790</v>
      </c>
      <c r="N335" s="49" t="s">
        <v>364</v>
      </c>
      <c r="O335" s="45">
        <v>1</v>
      </c>
      <c r="P335" s="80" t="s">
        <v>496</v>
      </c>
      <c r="Q335" s="48"/>
      <c r="R335" s="45"/>
      <c r="S335" s="114"/>
      <c r="T335" s="52"/>
      <c r="U335" s="48"/>
      <c r="V335" s="48"/>
      <c r="W335" s="27"/>
    </row>
    <row r="336" spans="1:23" ht="60" hidden="1" customHeight="1" x14ac:dyDescent="0.25">
      <c r="A336" s="45" t="str">
        <f>CONCATENATE(Tabla2[[#This Row],[id_solicitud]],Tabla2[[#This Row],[tipo]])</f>
        <v>371Oficio_Solicitud</v>
      </c>
      <c r="B336" s="45">
        <f>COUNTIF($A$2:A336,A336)</f>
        <v>1</v>
      </c>
      <c r="C336" s="45" t="str">
        <f>Tabla2[[#This Row],[(id_solicitud-tipo_documento)]]&amp;B336</f>
        <v>371Oficio_Solicitud1</v>
      </c>
      <c r="D336" s="45">
        <v>336</v>
      </c>
      <c r="E336" s="45">
        <v>371</v>
      </c>
      <c r="F336" s="45" t="s">
        <v>53</v>
      </c>
      <c r="G336" s="45" t="s">
        <v>44</v>
      </c>
      <c r="H336" s="50" t="s">
        <v>14</v>
      </c>
      <c r="I336" s="51">
        <v>333</v>
      </c>
      <c r="J336" s="80"/>
      <c r="K3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333 DGA</v>
      </c>
      <c r="L336" s="48">
        <v>44785</v>
      </c>
      <c r="M336" s="48">
        <v>44790</v>
      </c>
      <c r="N336" s="49" t="s">
        <v>370</v>
      </c>
      <c r="O336" s="45"/>
      <c r="P336" s="80" t="s">
        <v>498</v>
      </c>
      <c r="Q336" s="48"/>
      <c r="R336" s="45"/>
      <c r="S336" s="114"/>
      <c r="T336" s="52"/>
      <c r="U336" s="48"/>
      <c r="V336" s="48"/>
      <c r="W336" s="27"/>
    </row>
    <row r="337" spans="1:23" ht="60" hidden="1" customHeight="1" x14ac:dyDescent="0.25">
      <c r="A337" s="45" t="str">
        <f>CONCATENATE(Tabla2[[#This Row],[id_solicitud]],Tabla2[[#This Row],[tipo]])</f>
        <v>220Proposicion</v>
      </c>
      <c r="B337" s="45">
        <f>COUNTIF($A$2:A337,A337)</f>
        <v>1</v>
      </c>
      <c r="C337" s="45" t="str">
        <f>Tabla2[[#This Row],[(id_solicitud-tipo_documento)]]&amp;B337</f>
        <v>220Proposicion1</v>
      </c>
      <c r="D337" s="45">
        <v>337</v>
      </c>
      <c r="E337" s="45">
        <v>220</v>
      </c>
      <c r="F337" s="45" t="s">
        <v>46</v>
      </c>
      <c r="G337" s="45" t="s">
        <v>1258</v>
      </c>
      <c r="H337" s="50" t="s">
        <v>544</v>
      </c>
      <c r="I337" s="51">
        <v>335</v>
      </c>
      <c r="J337" s="80"/>
      <c r="K3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335 DAP_FETCovid19</v>
      </c>
      <c r="L337" s="48">
        <v>44704</v>
      </c>
      <c r="M337" s="48">
        <v>44704</v>
      </c>
      <c r="N337" s="49" t="s">
        <v>248</v>
      </c>
      <c r="O337" s="45">
        <v>1</v>
      </c>
      <c r="P337" s="80" t="s">
        <v>494</v>
      </c>
      <c r="Q337" s="24"/>
      <c r="R337" s="24" t="s">
        <v>24</v>
      </c>
      <c r="S337" s="114"/>
      <c r="T337" s="45"/>
      <c r="U337" s="48"/>
      <c r="V337" s="48"/>
      <c r="W337" s="27"/>
    </row>
    <row r="338" spans="1:23" ht="60" hidden="1" customHeight="1" x14ac:dyDescent="0.25">
      <c r="A338" s="45" t="str">
        <f>CONCATENATE(Tabla2[[#This Row],[id_solicitud]],Tabla2[[#This Row],[tipo]])</f>
        <v>361Oficio_Solicitud</v>
      </c>
      <c r="B338" s="45">
        <f>COUNTIF($A$2:A338,A338)</f>
        <v>1</v>
      </c>
      <c r="C338" s="45" t="str">
        <f>Tabla2[[#This Row],[(id_solicitud-tipo_documento)]]&amp;B338</f>
        <v>361Oficio_Solicitud1</v>
      </c>
      <c r="D338" s="45">
        <v>338</v>
      </c>
      <c r="E338" s="45">
        <v>361</v>
      </c>
      <c r="F338" s="45" t="s">
        <v>53</v>
      </c>
      <c r="G338" s="45" t="s">
        <v>44</v>
      </c>
      <c r="H338" s="50" t="s">
        <v>565</v>
      </c>
      <c r="I338" s="51">
        <v>335</v>
      </c>
      <c r="J338" s="80"/>
      <c r="K3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335 DGA_FETCovid19</v>
      </c>
      <c r="L338" s="48">
        <v>44785</v>
      </c>
      <c r="M338" s="48">
        <v>44790</v>
      </c>
      <c r="N338" s="49" t="s">
        <v>365</v>
      </c>
      <c r="O338" s="45">
        <v>0</v>
      </c>
      <c r="P338" s="80" t="s">
        <v>498</v>
      </c>
      <c r="Q338" s="48"/>
      <c r="R338" s="45"/>
      <c r="S338" s="114"/>
      <c r="T338" s="52"/>
      <c r="U338" s="48"/>
      <c r="V338" s="48"/>
      <c r="W338" s="27"/>
    </row>
    <row r="339" spans="1:23" ht="60" hidden="1" customHeight="1" x14ac:dyDescent="0.25">
      <c r="A339" s="45" t="str">
        <f>CONCATENATE(Tabla2[[#This Row],[id_solicitud]],Tabla2[[#This Row],[tipo]])</f>
        <v>205Proposicion</v>
      </c>
      <c r="B339" s="45">
        <f>COUNTIF($A$2:A339,A339)</f>
        <v>1</v>
      </c>
      <c r="C339" s="45" t="str">
        <f>Tabla2[[#This Row],[(id_solicitud-tipo_documento)]]&amp;B339</f>
        <v>205Proposicion1</v>
      </c>
      <c r="D339" s="45">
        <v>339</v>
      </c>
      <c r="E339" s="45">
        <v>205</v>
      </c>
      <c r="F339" s="45" t="s">
        <v>46</v>
      </c>
      <c r="G339" s="45" t="s">
        <v>61</v>
      </c>
      <c r="H339" s="50" t="s">
        <v>10</v>
      </c>
      <c r="I339" s="51">
        <v>336</v>
      </c>
      <c r="J339" s="80"/>
      <c r="K3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336 DAP</v>
      </c>
      <c r="L339" s="48">
        <v>44704</v>
      </c>
      <c r="M339" s="48">
        <v>44704</v>
      </c>
      <c r="N339" s="49" t="s">
        <v>234</v>
      </c>
      <c r="O339" s="45">
        <v>2</v>
      </c>
      <c r="P339" s="80" t="s">
        <v>496</v>
      </c>
      <c r="Q339" s="24"/>
      <c r="R339" s="24" t="s">
        <v>24</v>
      </c>
      <c r="S339" s="114"/>
      <c r="T339" s="45"/>
      <c r="U339" s="48"/>
      <c r="V339" s="48"/>
      <c r="W339" s="27"/>
    </row>
    <row r="340" spans="1:23" ht="60" hidden="1" customHeight="1" x14ac:dyDescent="0.25">
      <c r="A340" s="45" t="str">
        <f>CONCATENATE(Tabla2[[#This Row],[id_solicitud]],Tabla2[[#This Row],[tipo]])</f>
        <v>209Proposicion</v>
      </c>
      <c r="B340" s="45">
        <f>COUNTIF($A$2:A340,A340)</f>
        <v>1</v>
      </c>
      <c r="C340" s="45" t="str">
        <f>Tabla2[[#This Row],[(id_solicitud-tipo_documento)]]&amp;B340</f>
        <v>209Proposicion1</v>
      </c>
      <c r="D340" s="45">
        <v>340</v>
      </c>
      <c r="E340" s="45">
        <v>209</v>
      </c>
      <c r="F340" s="45" t="s">
        <v>46</v>
      </c>
      <c r="G340" s="45" t="s">
        <v>44</v>
      </c>
      <c r="H340" s="50" t="s">
        <v>10</v>
      </c>
      <c r="I340" s="51">
        <v>337</v>
      </c>
      <c r="J340" s="80"/>
      <c r="K3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337 DAP</v>
      </c>
      <c r="L340" s="48">
        <v>44704</v>
      </c>
      <c r="M340" s="48">
        <v>44704</v>
      </c>
      <c r="N340" s="49" t="s">
        <v>237</v>
      </c>
      <c r="O340" s="45">
        <v>0</v>
      </c>
      <c r="P340" s="80" t="s">
        <v>498</v>
      </c>
      <c r="Q340" s="24"/>
      <c r="R340" s="24" t="s">
        <v>24</v>
      </c>
      <c r="S340" s="114"/>
      <c r="T340" s="45"/>
      <c r="U340" s="48"/>
      <c r="V340" s="48"/>
      <c r="W340" s="27"/>
    </row>
    <row r="341" spans="1:23" ht="60" hidden="1" customHeight="1" x14ac:dyDescent="0.25">
      <c r="A341" s="45" t="str">
        <f>CONCATENATE(Tabla2[[#This Row],[id_solicitud]],Tabla2[[#This Row],[tipo]])</f>
        <v>60Resolucion</v>
      </c>
      <c r="B341" s="45">
        <f>COUNTIF($A$2:A341,A341)</f>
        <v>1</v>
      </c>
      <c r="C341" s="45" t="str">
        <f>Tabla2[[#This Row],[(id_solicitud-tipo_documento)]]&amp;B341</f>
        <v>60Resolucion1</v>
      </c>
      <c r="D341" s="45">
        <v>341</v>
      </c>
      <c r="E341" s="45">
        <v>60</v>
      </c>
      <c r="F341" s="45" t="s">
        <v>48</v>
      </c>
      <c r="G341" s="45"/>
      <c r="H341" s="50" t="s">
        <v>541</v>
      </c>
      <c r="I341" s="51">
        <v>339</v>
      </c>
      <c r="J341" s="80"/>
      <c r="K3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341" s="48">
        <v>44652</v>
      </c>
      <c r="M341" s="48"/>
      <c r="N341" s="49"/>
      <c r="O341" s="45"/>
      <c r="P341" s="80"/>
      <c r="Q341" s="48"/>
      <c r="R341" s="45"/>
      <c r="S341" s="114"/>
      <c r="T341" s="45"/>
      <c r="U341" s="48"/>
      <c r="V341" s="48"/>
      <c r="W341" s="27"/>
    </row>
    <row r="342" spans="1:23" ht="60" hidden="1" customHeight="1" x14ac:dyDescent="0.25">
      <c r="A342" s="45" t="str">
        <f>CONCATENATE(Tabla2[[#This Row],[id_solicitud]],Tabla2[[#This Row],[tipo]])</f>
        <v>258Proposicion</v>
      </c>
      <c r="B342" s="45">
        <f>COUNTIF($A$2:A342,A342)</f>
        <v>1</v>
      </c>
      <c r="C342" s="45" t="str">
        <f>Tabla2[[#This Row],[(id_solicitud-tipo_documento)]]&amp;B342</f>
        <v>258Proposicion1</v>
      </c>
      <c r="D342" s="45">
        <v>342</v>
      </c>
      <c r="E342" s="45">
        <v>258</v>
      </c>
      <c r="F342" s="45" t="s">
        <v>46</v>
      </c>
      <c r="G342" s="45" t="s">
        <v>44</v>
      </c>
      <c r="H342" s="50" t="s">
        <v>26</v>
      </c>
      <c r="I342" s="51">
        <v>340</v>
      </c>
      <c r="J342" s="80"/>
      <c r="K3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340 DV</v>
      </c>
      <c r="L342" s="48">
        <v>44705</v>
      </c>
      <c r="M342" s="48">
        <v>44706</v>
      </c>
      <c r="N342" s="49"/>
      <c r="O342" s="45"/>
      <c r="P342" s="80" t="s">
        <v>497</v>
      </c>
      <c r="Q342" s="24"/>
      <c r="R342" s="23" t="s">
        <v>12</v>
      </c>
      <c r="S342" s="114"/>
      <c r="T342" s="45"/>
      <c r="U342" s="48"/>
      <c r="V342" s="48"/>
      <c r="W342" s="27"/>
    </row>
    <row r="343" spans="1:23" ht="60" hidden="1" customHeight="1" x14ac:dyDescent="0.25">
      <c r="A343" s="45" t="str">
        <f>CONCATENATE(Tabla2[[#This Row],[id_solicitud]],Tabla2[[#This Row],[tipo]])</f>
        <v>41Decreto</v>
      </c>
      <c r="B343" s="45">
        <f>COUNTIF($A$2:A343,A343)</f>
        <v>1</v>
      </c>
      <c r="C343" s="45" t="str">
        <f>Tabla2[[#This Row],[(id_solicitud-tipo_documento)]]&amp;B343</f>
        <v>41Decreto1</v>
      </c>
      <c r="D343" s="45">
        <v>343</v>
      </c>
      <c r="E343" s="45">
        <v>41</v>
      </c>
      <c r="F343" s="45" t="s">
        <v>47</v>
      </c>
      <c r="G343" s="45" t="s">
        <v>43</v>
      </c>
      <c r="H343" s="50" t="s">
        <v>6</v>
      </c>
      <c r="I343" s="51">
        <v>341</v>
      </c>
      <c r="J343" s="80"/>
      <c r="K3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341 APR</v>
      </c>
      <c r="L343" s="48">
        <v>44624</v>
      </c>
      <c r="M343" s="48"/>
      <c r="N343" s="49" t="s">
        <v>777</v>
      </c>
      <c r="O343" s="45"/>
      <c r="P343" s="80"/>
      <c r="Q343" s="48"/>
      <c r="R343" s="45"/>
      <c r="S343" s="115">
        <v>99</v>
      </c>
      <c r="T343" s="20">
        <v>44613</v>
      </c>
      <c r="U343" s="20">
        <v>44642</v>
      </c>
      <c r="V343" s="20">
        <v>44642</v>
      </c>
      <c r="W343" s="27"/>
    </row>
    <row r="344" spans="1:23" ht="60" hidden="1" customHeight="1" x14ac:dyDescent="0.25">
      <c r="A344" s="45" t="str">
        <f>CONCATENATE(Tabla2[[#This Row],[id_solicitud]],Tabla2[[#This Row],[tipo]])</f>
        <v>153Oficio_Solicitud</v>
      </c>
      <c r="B344" s="45">
        <f>COUNTIF($A$2:A344,A344)</f>
        <v>1</v>
      </c>
      <c r="C344" s="45" t="str">
        <f>Tabla2[[#This Row],[(id_solicitud-tipo_documento)]]&amp;B344</f>
        <v>153Oficio_Solicitud1</v>
      </c>
      <c r="D344" s="45">
        <v>344</v>
      </c>
      <c r="E344" s="45">
        <v>153</v>
      </c>
      <c r="F344" s="45" t="s">
        <v>53</v>
      </c>
      <c r="G344" s="45" t="s">
        <v>60</v>
      </c>
      <c r="H344" s="50" t="s">
        <v>8</v>
      </c>
      <c r="I344" s="51">
        <v>342</v>
      </c>
      <c r="J344" s="80"/>
      <c r="K3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342 DA</v>
      </c>
      <c r="L344" s="48">
        <v>44657</v>
      </c>
      <c r="M344" s="48">
        <v>44658</v>
      </c>
      <c r="N344" s="49" t="s">
        <v>196</v>
      </c>
      <c r="O344" s="45">
        <v>1</v>
      </c>
      <c r="P344" s="80" t="s">
        <v>494</v>
      </c>
      <c r="Q344" s="48"/>
      <c r="R344" s="45"/>
      <c r="S344" s="114"/>
      <c r="T344" s="52"/>
      <c r="U344" s="48"/>
      <c r="V344" s="48"/>
      <c r="W344" s="27"/>
    </row>
    <row r="345" spans="1:23" ht="60" hidden="1" customHeight="1" x14ac:dyDescent="0.25">
      <c r="A345" s="45" t="str">
        <f>CONCATENATE(Tabla2[[#This Row],[id_solicitud]],Tabla2[[#This Row],[tipo]])</f>
        <v>66Decreto</v>
      </c>
      <c r="B345" s="45">
        <f>COUNTIF($A$2:A345,A345)</f>
        <v>1</v>
      </c>
      <c r="C345" s="45" t="str">
        <f>Tabla2[[#This Row],[(id_solicitud-tipo_documento)]]&amp;B345</f>
        <v>66Decreto1</v>
      </c>
      <c r="D345" s="45">
        <v>345</v>
      </c>
      <c r="E345" s="45">
        <v>66</v>
      </c>
      <c r="F345" s="45" t="s">
        <v>47</v>
      </c>
      <c r="G345" s="45" t="s">
        <v>60</v>
      </c>
      <c r="H345" s="50" t="s">
        <v>541</v>
      </c>
      <c r="I345" s="51">
        <v>343</v>
      </c>
      <c r="J345" s="80"/>
      <c r="K3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343 DOP_FETCovid19</v>
      </c>
      <c r="L345" s="48">
        <v>44624</v>
      </c>
      <c r="M345" s="48"/>
      <c r="N345" s="49" t="s">
        <v>795</v>
      </c>
      <c r="O345" s="45"/>
      <c r="P345" s="80"/>
      <c r="Q345" s="48"/>
      <c r="R345" s="45"/>
      <c r="S345" s="115">
        <v>129</v>
      </c>
      <c r="T345" s="20">
        <v>44614</v>
      </c>
      <c r="U345" s="20">
        <v>44635</v>
      </c>
      <c r="V345" s="20">
        <v>44635</v>
      </c>
      <c r="W345" s="27"/>
    </row>
    <row r="346" spans="1:23" ht="60" hidden="1" customHeight="1" x14ac:dyDescent="0.25">
      <c r="A346" s="45" t="str">
        <f>CONCATENATE(Tabla2[[#This Row],[id_solicitud]],Tabla2[[#This Row],[tipo]])</f>
        <v>203Oficio_Solicitud</v>
      </c>
      <c r="B346" s="45">
        <f>COUNTIF($A$2:A346,A346)</f>
        <v>1</v>
      </c>
      <c r="C346" s="45" t="str">
        <f>Tabla2[[#This Row],[(id_solicitud-tipo_documento)]]&amp;B346</f>
        <v>203Oficio_Solicitud1</v>
      </c>
      <c r="D346" s="45">
        <v>346</v>
      </c>
      <c r="E346" s="45">
        <v>203</v>
      </c>
      <c r="F346" s="45" t="s">
        <v>53</v>
      </c>
      <c r="G346" s="45" t="s">
        <v>60</v>
      </c>
      <c r="H346" s="50" t="s">
        <v>541</v>
      </c>
      <c r="I346" s="51">
        <v>346</v>
      </c>
      <c r="J346" s="80"/>
      <c r="K3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346 DOP_FETCovid19</v>
      </c>
      <c r="L346" s="48">
        <v>44691</v>
      </c>
      <c r="M346" s="48">
        <v>44692</v>
      </c>
      <c r="N346" s="49" t="s">
        <v>232</v>
      </c>
      <c r="O346" s="45">
        <v>6</v>
      </c>
      <c r="P346" s="80" t="s">
        <v>494</v>
      </c>
      <c r="Q346" s="48"/>
      <c r="R346" s="45"/>
      <c r="S346" s="114"/>
      <c r="T346" s="52"/>
      <c r="U346" s="48"/>
      <c r="V346" s="48"/>
      <c r="W346" s="27"/>
    </row>
    <row r="347" spans="1:23" ht="60" customHeight="1" x14ac:dyDescent="0.25">
      <c r="A347" s="45" t="str">
        <f>CONCATENATE(Tabla2[[#This Row],[id_solicitud]],Tabla2[[#This Row],[tipo]])</f>
        <v>40Oficio_Solicitud</v>
      </c>
      <c r="B347" s="45">
        <f>COUNTIF($A$2:A347,A347)</f>
        <v>2</v>
      </c>
      <c r="C347" s="45" t="str">
        <f>Tabla2[[#This Row],[(id_solicitud-tipo_documento)]]&amp;B347</f>
        <v>40Oficio_Solicitud2</v>
      </c>
      <c r="D347" s="45">
        <v>1679</v>
      </c>
      <c r="E347" s="45">
        <v>40</v>
      </c>
      <c r="F347" s="45" t="s">
        <v>53</v>
      </c>
      <c r="G347" s="45" t="s">
        <v>57</v>
      </c>
      <c r="H347" s="50" t="s">
        <v>562</v>
      </c>
      <c r="I347" s="51">
        <v>1353</v>
      </c>
      <c r="J347" s="80"/>
      <c r="K3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1353 DGC_FETCovid19</v>
      </c>
      <c r="L347" s="48">
        <v>44687</v>
      </c>
      <c r="M347" s="48">
        <v>44687</v>
      </c>
      <c r="N347" s="49" t="s">
        <v>102</v>
      </c>
      <c r="O347" s="45">
        <v>18</v>
      </c>
      <c r="P347" s="80" t="s">
        <v>494</v>
      </c>
      <c r="Q347" s="48">
        <v>44630</v>
      </c>
      <c r="R347" s="45"/>
      <c r="S347" s="114"/>
      <c r="T347" s="52"/>
      <c r="U347" s="48"/>
      <c r="V347" s="48"/>
      <c r="W347" s="27"/>
    </row>
    <row r="348" spans="1:23" ht="60" hidden="1" customHeight="1" x14ac:dyDescent="0.25">
      <c r="A348" s="45" t="str">
        <f>CONCATENATE(Tabla2[[#This Row],[id_solicitud]],Tabla2[[#This Row],[tipo]])</f>
        <v>207Proposicion</v>
      </c>
      <c r="B348" s="45">
        <f>COUNTIF($A$2:A348,A348)</f>
        <v>1</v>
      </c>
      <c r="C348" s="45" t="str">
        <f>Tabla2[[#This Row],[(id_solicitud-tipo_documento)]]&amp;B348</f>
        <v>207Proposicion1</v>
      </c>
      <c r="D348" s="45">
        <v>348</v>
      </c>
      <c r="E348" s="45">
        <v>207</v>
      </c>
      <c r="F348" s="45" t="s">
        <v>46</v>
      </c>
      <c r="G348" s="45" t="s">
        <v>60</v>
      </c>
      <c r="H348" s="50" t="s">
        <v>22</v>
      </c>
      <c r="I348" s="51">
        <v>347</v>
      </c>
      <c r="J348" s="80"/>
      <c r="K3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347 DOP</v>
      </c>
      <c r="L348" s="48">
        <v>44707</v>
      </c>
      <c r="M348" s="48">
        <v>44708</v>
      </c>
      <c r="N348" s="49" t="s">
        <v>660</v>
      </c>
      <c r="O348" s="45">
        <v>32</v>
      </c>
      <c r="P348" s="80" t="s">
        <v>494</v>
      </c>
      <c r="Q348" s="24"/>
      <c r="R348" s="24" t="s">
        <v>24</v>
      </c>
      <c r="S348" s="114"/>
      <c r="T348" s="45"/>
      <c r="U348" s="48"/>
      <c r="V348" s="48"/>
      <c r="W348" s="27"/>
    </row>
    <row r="349" spans="1:23" ht="60" hidden="1" customHeight="1" x14ac:dyDescent="0.25">
      <c r="A349" s="45" t="str">
        <f>CONCATENATE(Tabla2[[#This Row],[id_solicitud]],Tabla2[[#This Row],[tipo]])</f>
        <v>202Proposicion</v>
      </c>
      <c r="B349" s="45">
        <f>COUNTIF($A$2:A349,A349)</f>
        <v>1</v>
      </c>
      <c r="C349" s="45" t="str">
        <f>Tabla2[[#This Row],[(id_solicitud-tipo_documento)]]&amp;B349</f>
        <v>202Proposicion1</v>
      </c>
      <c r="D349" s="45">
        <v>349</v>
      </c>
      <c r="E349" s="45">
        <v>202</v>
      </c>
      <c r="F349" s="45" t="s">
        <v>46</v>
      </c>
      <c r="G349" s="45" t="s">
        <v>40</v>
      </c>
      <c r="H349" s="50" t="s">
        <v>532</v>
      </c>
      <c r="I349" s="51">
        <v>348</v>
      </c>
      <c r="J349" s="80"/>
      <c r="K3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348 DA_FETCovid19</v>
      </c>
      <c r="L349" s="48">
        <v>44707</v>
      </c>
      <c r="M349" s="48">
        <v>44707</v>
      </c>
      <c r="N349" s="49" t="s">
        <v>231</v>
      </c>
      <c r="O349" s="45"/>
      <c r="P349" s="80" t="s">
        <v>509</v>
      </c>
      <c r="Q349" s="24"/>
      <c r="R349" s="24" t="s">
        <v>24</v>
      </c>
      <c r="S349" s="114"/>
      <c r="T349" s="45"/>
      <c r="U349" s="48"/>
      <c r="V349" s="48"/>
      <c r="W349" s="27"/>
    </row>
    <row r="350" spans="1:23" ht="60" hidden="1" customHeight="1" x14ac:dyDescent="0.25">
      <c r="A350" s="45" t="str">
        <f>CONCATENATE(Tabla2[[#This Row],[id_solicitud]],Tabla2[[#This Row],[tipo]])</f>
        <v>65Decreto</v>
      </c>
      <c r="B350" s="45">
        <f>COUNTIF($A$2:A350,A350)</f>
        <v>1</v>
      </c>
      <c r="C350" s="45" t="str">
        <f>Tabla2[[#This Row],[(id_solicitud-tipo_documento)]]&amp;B350</f>
        <v>65Decreto1</v>
      </c>
      <c r="D350" s="45">
        <v>350</v>
      </c>
      <c r="E350" s="45">
        <v>65</v>
      </c>
      <c r="F350" s="45" t="s">
        <v>47</v>
      </c>
      <c r="G350" s="45" t="s">
        <v>60</v>
      </c>
      <c r="H350" s="50" t="s">
        <v>22</v>
      </c>
      <c r="I350" s="51">
        <v>349</v>
      </c>
      <c r="J350" s="80"/>
      <c r="K3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349 DOP</v>
      </c>
      <c r="L350" s="48">
        <v>44624</v>
      </c>
      <c r="M350" s="48"/>
      <c r="N350" s="49" t="s">
        <v>794</v>
      </c>
      <c r="O350" s="45"/>
      <c r="P350" s="80"/>
      <c r="Q350" s="48"/>
      <c r="R350" s="45"/>
      <c r="S350" s="115">
        <v>131</v>
      </c>
      <c r="T350" s="20">
        <v>44614</v>
      </c>
      <c r="U350" s="20">
        <v>44642</v>
      </c>
      <c r="V350" s="20">
        <v>44642</v>
      </c>
      <c r="W350" s="27"/>
    </row>
    <row r="351" spans="1:23" ht="60" hidden="1" customHeight="1" x14ac:dyDescent="0.25">
      <c r="A351" s="45" t="str">
        <f>CONCATENATE(Tabla2[[#This Row],[id_solicitud]],Tabla2[[#This Row],[tipo]])</f>
        <v>234Oficio_Solicitud</v>
      </c>
      <c r="B351" s="45">
        <f>COUNTIF($A$2:A351,A351)</f>
        <v>1</v>
      </c>
      <c r="C351" s="45" t="str">
        <f>Tabla2[[#This Row],[(id_solicitud-tipo_documento)]]&amp;B351</f>
        <v>234Oficio_Solicitud1</v>
      </c>
      <c r="D351" s="45">
        <v>351</v>
      </c>
      <c r="E351" s="45">
        <v>234</v>
      </c>
      <c r="F351" s="45" t="s">
        <v>53</v>
      </c>
      <c r="G351" s="45" t="s">
        <v>40</v>
      </c>
      <c r="H351" s="50" t="s">
        <v>24</v>
      </c>
      <c r="I351" s="51">
        <v>349</v>
      </c>
      <c r="J351" s="80"/>
      <c r="K3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349 DP</v>
      </c>
      <c r="L351" s="48">
        <v>44707</v>
      </c>
      <c r="M351" s="48">
        <v>44708</v>
      </c>
      <c r="N351" s="49" t="s">
        <v>262</v>
      </c>
      <c r="O351" s="45"/>
      <c r="P351" s="80" t="s">
        <v>512</v>
      </c>
      <c r="Q351" s="48"/>
      <c r="R351" s="45"/>
      <c r="S351" s="114"/>
      <c r="T351" s="52"/>
      <c r="U351" s="48"/>
      <c r="V351" s="48"/>
      <c r="W351" s="27"/>
    </row>
    <row r="352" spans="1:23" ht="60" hidden="1" customHeight="1" x14ac:dyDescent="0.25">
      <c r="A352" s="45" t="str">
        <f>CONCATENATE(Tabla2[[#This Row],[id_solicitud]],Tabla2[[#This Row],[tipo]])</f>
        <v>278Oficio_Solicitud</v>
      </c>
      <c r="B352" s="45">
        <f>COUNTIF($A$2:A352,A352)</f>
        <v>1</v>
      </c>
      <c r="C352" s="45" t="str">
        <f>Tabla2[[#This Row],[(id_solicitud-tipo_documento)]]&amp;B352</f>
        <v>278Oficio_Solicitud1</v>
      </c>
      <c r="D352" s="45">
        <v>352</v>
      </c>
      <c r="E352" s="45">
        <v>278</v>
      </c>
      <c r="F352" s="45" t="s">
        <v>53</v>
      </c>
      <c r="G352" s="45" t="s">
        <v>60</v>
      </c>
      <c r="H352" s="50" t="s">
        <v>544</v>
      </c>
      <c r="I352" s="51">
        <v>349</v>
      </c>
      <c r="J352" s="80"/>
      <c r="K3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349 DAP_FETCovid19</v>
      </c>
      <c r="L352" s="48">
        <v>44735</v>
      </c>
      <c r="M352" s="48">
        <v>44735</v>
      </c>
      <c r="N352" s="49" t="s">
        <v>298</v>
      </c>
      <c r="O352" s="45">
        <v>10</v>
      </c>
      <c r="P352" s="80" t="s">
        <v>494</v>
      </c>
      <c r="Q352" s="48"/>
      <c r="R352" s="45"/>
      <c r="S352" s="114"/>
      <c r="T352" s="52"/>
      <c r="U352" s="48"/>
      <c r="V352" s="48"/>
      <c r="W352" s="27"/>
    </row>
    <row r="353" spans="1:23" ht="60" hidden="1" customHeight="1" x14ac:dyDescent="0.25">
      <c r="A353" s="45" t="str">
        <f>CONCATENATE(Tabla2[[#This Row],[id_solicitud]],Tabla2[[#This Row],[tipo]])</f>
        <v>221Proposicion</v>
      </c>
      <c r="B353" s="45">
        <f>COUNTIF($A$2:A353,A353)</f>
        <v>1</v>
      </c>
      <c r="C353" s="45" t="str">
        <f>Tabla2[[#This Row],[(id_solicitud-tipo_documento)]]&amp;B353</f>
        <v>221Proposicion1</v>
      </c>
      <c r="D353" s="45">
        <v>353</v>
      </c>
      <c r="E353" s="45">
        <v>221</v>
      </c>
      <c r="F353" s="45" t="s">
        <v>46</v>
      </c>
      <c r="G353" s="45" t="s">
        <v>60</v>
      </c>
      <c r="H353" s="50" t="s">
        <v>20</v>
      </c>
      <c r="I353" s="51">
        <v>350</v>
      </c>
      <c r="J353" s="80"/>
      <c r="K3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350 DOH</v>
      </c>
      <c r="L353" s="48">
        <v>44707</v>
      </c>
      <c r="M353" s="48">
        <v>44708</v>
      </c>
      <c r="N353" s="49" t="s">
        <v>249</v>
      </c>
      <c r="O353" s="45">
        <v>1</v>
      </c>
      <c r="P353" s="80" t="s">
        <v>494</v>
      </c>
      <c r="Q353" s="24"/>
      <c r="R353" s="24" t="s">
        <v>24</v>
      </c>
      <c r="S353" s="114"/>
      <c r="T353" s="45"/>
      <c r="U353" s="48"/>
      <c r="V353" s="48"/>
      <c r="W353" s="27"/>
    </row>
    <row r="354" spans="1:23" ht="60" customHeight="1" x14ac:dyDescent="0.25">
      <c r="A354" s="45" t="str">
        <f>CONCATENATE(Tabla2[[#This Row],[id_solicitud]],Tabla2[[#This Row],[tipo]])</f>
        <v>140Proposicion</v>
      </c>
      <c r="B354" s="45">
        <f>COUNTIF($A$2:A354,A354)</f>
        <v>1</v>
      </c>
      <c r="C354" s="45" t="str">
        <f>Tabla2[[#This Row],[(id_solicitud-tipo_documento)]]&amp;B354</f>
        <v>140Proposicion1</v>
      </c>
      <c r="D354" s="45">
        <v>218</v>
      </c>
      <c r="E354" s="45">
        <v>140</v>
      </c>
      <c r="F354" s="45" t="s">
        <v>46</v>
      </c>
      <c r="G354" s="45" t="s">
        <v>60</v>
      </c>
      <c r="H354" s="50" t="s">
        <v>26</v>
      </c>
      <c r="I354" s="51">
        <v>217</v>
      </c>
      <c r="J354" s="80"/>
      <c r="K3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217 DV</v>
      </c>
      <c r="L354" s="48">
        <v>44670</v>
      </c>
      <c r="M354" s="48">
        <v>44839</v>
      </c>
      <c r="N354" s="49" t="s">
        <v>185</v>
      </c>
      <c r="O354" s="45">
        <v>3</v>
      </c>
      <c r="P354" s="80" t="s">
        <v>494</v>
      </c>
      <c r="Q354" s="24"/>
      <c r="R354" s="24" t="s">
        <v>24</v>
      </c>
      <c r="S354" s="114"/>
      <c r="T354" s="45"/>
      <c r="U354" s="48"/>
      <c r="V354" s="48"/>
      <c r="W354" s="27"/>
    </row>
    <row r="355" spans="1:23" ht="60" hidden="1" customHeight="1" x14ac:dyDescent="0.25">
      <c r="A355" s="45" t="str">
        <f>CONCATENATE(Tabla2[[#This Row],[id_solicitud]],Tabla2[[#This Row],[tipo]])</f>
        <v>231Proposicion</v>
      </c>
      <c r="B355" s="45">
        <f>COUNTIF($A$2:A355,A355)</f>
        <v>1</v>
      </c>
      <c r="C355" s="45" t="str">
        <f>Tabla2[[#This Row],[(id_solicitud-tipo_documento)]]&amp;B355</f>
        <v>231Proposicion1</v>
      </c>
      <c r="D355" s="45">
        <v>355</v>
      </c>
      <c r="E355" s="45">
        <v>231</v>
      </c>
      <c r="F355" s="45" t="s">
        <v>46</v>
      </c>
      <c r="G355" s="45" t="s">
        <v>61</v>
      </c>
      <c r="H355" s="50" t="s">
        <v>583</v>
      </c>
      <c r="I355" s="51">
        <v>351</v>
      </c>
      <c r="J355" s="80"/>
      <c r="K3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351 DV-DGC</v>
      </c>
      <c r="L355" s="48">
        <v>44707</v>
      </c>
      <c r="M355" s="48">
        <v>44707</v>
      </c>
      <c r="N355" s="49" t="s">
        <v>259</v>
      </c>
      <c r="O355" s="45">
        <f>28+101</f>
        <v>129</v>
      </c>
      <c r="P355" s="80" t="s">
        <v>494</v>
      </c>
      <c r="Q355" s="24"/>
      <c r="R355" s="24" t="s">
        <v>24</v>
      </c>
      <c r="S355" s="114"/>
      <c r="T355" s="45"/>
      <c r="U355" s="48"/>
      <c r="V355" s="48"/>
      <c r="W355" s="27"/>
    </row>
    <row r="356" spans="1:23" ht="60" hidden="1" customHeight="1" x14ac:dyDescent="0.25">
      <c r="A356" s="45" t="str">
        <f>CONCATENATE(Tabla2[[#This Row],[id_solicitud]],Tabla2[[#This Row],[tipo]])</f>
        <v>104Resolucion</v>
      </c>
      <c r="B356" s="45">
        <f>COUNTIF($A$2:A356,A356)</f>
        <v>1</v>
      </c>
      <c r="C356" s="45" t="str">
        <f>Tabla2[[#This Row],[(id_solicitud-tipo_documento)]]&amp;B356</f>
        <v>104Resolucion1</v>
      </c>
      <c r="D356" s="45">
        <v>356</v>
      </c>
      <c r="E356" s="45">
        <v>104</v>
      </c>
      <c r="F356" s="45" t="s">
        <v>48</v>
      </c>
      <c r="G356" s="45"/>
      <c r="H356" s="50" t="s">
        <v>544</v>
      </c>
      <c r="I356" s="51">
        <v>352</v>
      </c>
      <c r="J356" s="80"/>
      <c r="K3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356" s="48">
        <v>44635</v>
      </c>
      <c r="M356" s="48"/>
      <c r="N356" s="49"/>
      <c r="O356" s="45"/>
      <c r="P356" s="80"/>
      <c r="Q356" s="48"/>
      <c r="R356" s="45"/>
      <c r="S356" s="114"/>
      <c r="T356" s="45"/>
      <c r="U356" s="48"/>
      <c r="V356" s="48"/>
      <c r="W356" s="27"/>
    </row>
    <row r="357" spans="1:23" ht="60" hidden="1" customHeight="1" x14ac:dyDescent="0.25">
      <c r="A357" s="45" t="str">
        <f>CONCATENATE(Tabla2[[#This Row],[id_solicitud]],Tabla2[[#This Row],[tipo]])</f>
        <v>230Proposicion</v>
      </c>
      <c r="B357" s="45">
        <f>COUNTIF($A$2:A357,A357)</f>
        <v>1</v>
      </c>
      <c r="C357" s="45" t="str">
        <f>Tabla2[[#This Row],[(id_solicitud-tipo_documento)]]&amp;B357</f>
        <v>230Proposicion1</v>
      </c>
      <c r="D357" s="45">
        <v>357</v>
      </c>
      <c r="E357" s="45">
        <v>230</v>
      </c>
      <c r="F357" s="45" t="s">
        <v>46</v>
      </c>
      <c r="G357" s="45" t="s">
        <v>60</v>
      </c>
      <c r="H357" s="50" t="s">
        <v>538</v>
      </c>
      <c r="I357" s="51">
        <v>352</v>
      </c>
      <c r="J357" s="80"/>
      <c r="K3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352 DV_FETCovid19</v>
      </c>
      <c r="L357" s="48">
        <v>44707</v>
      </c>
      <c r="M357" s="48">
        <v>44707</v>
      </c>
      <c r="N357" s="49" t="s">
        <v>258</v>
      </c>
      <c r="O357" s="45">
        <f>77+45</f>
        <v>122</v>
      </c>
      <c r="P357" s="80" t="s">
        <v>494</v>
      </c>
      <c r="Q357" s="24"/>
      <c r="R357" s="24" t="s">
        <v>24</v>
      </c>
      <c r="S357" s="114"/>
      <c r="T357" s="45"/>
      <c r="U357" s="48"/>
      <c r="V357" s="48"/>
      <c r="W357" s="27"/>
    </row>
    <row r="358" spans="1:23" ht="60" hidden="1" customHeight="1" x14ac:dyDescent="0.25">
      <c r="A358" s="45" t="str">
        <f>CONCATENATE(Tabla2[[#This Row],[id_solicitud]],Tabla2[[#This Row],[tipo]])</f>
        <v>212Proposicion</v>
      </c>
      <c r="B358" s="45">
        <f>COUNTIF($A$2:A358,A358)</f>
        <v>1</v>
      </c>
      <c r="C358" s="45" t="str">
        <f>Tabla2[[#This Row],[(id_solicitud-tipo_documento)]]&amp;B358</f>
        <v>212Proposicion1</v>
      </c>
      <c r="D358" s="45">
        <v>358</v>
      </c>
      <c r="E358" s="45">
        <v>212</v>
      </c>
      <c r="F358" s="45" t="s">
        <v>46</v>
      </c>
      <c r="G358" s="45" t="s">
        <v>44</v>
      </c>
      <c r="H358" s="50" t="s">
        <v>35</v>
      </c>
      <c r="I358" s="51">
        <v>353</v>
      </c>
      <c r="J358" s="80"/>
      <c r="K3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353 SOP</v>
      </c>
      <c r="L358" s="48">
        <v>44707</v>
      </c>
      <c r="M358" s="48">
        <v>44707</v>
      </c>
      <c r="N358" s="49" t="s">
        <v>240</v>
      </c>
      <c r="O358" s="45"/>
      <c r="P358" s="80" t="s">
        <v>498</v>
      </c>
      <c r="Q358" s="24"/>
      <c r="R358" s="24" t="s">
        <v>24</v>
      </c>
      <c r="S358" s="114"/>
      <c r="T358" s="45"/>
      <c r="U358" s="48"/>
      <c r="V358" s="48"/>
      <c r="W358" s="27"/>
    </row>
    <row r="359" spans="1:23" ht="60" hidden="1" customHeight="1" x14ac:dyDescent="0.25">
      <c r="A359" s="45" t="str">
        <f>CONCATENATE(Tabla2[[#This Row],[id_solicitud]],Tabla2[[#This Row],[tipo]])</f>
        <v>208Proposicion</v>
      </c>
      <c r="B359" s="45">
        <f>COUNTIF($A$2:A359,A359)</f>
        <v>1</v>
      </c>
      <c r="C359" s="45" t="str">
        <f>Tabla2[[#This Row],[(id_solicitud-tipo_documento)]]&amp;B359</f>
        <v>208Proposicion1</v>
      </c>
      <c r="D359" s="45">
        <v>359</v>
      </c>
      <c r="E359" s="45">
        <v>208</v>
      </c>
      <c r="F359" s="45" t="s">
        <v>46</v>
      </c>
      <c r="G359" s="45" t="s">
        <v>40</v>
      </c>
      <c r="H359" s="50" t="s">
        <v>578</v>
      </c>
      <c r="I359" s="51">
        <v>354</v>
      </c>
      <c r="J359" s="80"/>
      <c r="K3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354 DV-SISS</v>
      </c>
      <c r="L359" s="48">
        <v>44707</v>
      </c>
      <c r="M359" s="48">
        <v>44707</v>
      </c>
      <c r="N359" s="49" t="s">
        <v>236</v>
      </c>
      <c r="O359" s="45">
        <v>0</v>
      </c>
      <c r="P359" s="80" t="s">
        <v>501</v>
      </c>
      <c r="Q359" s="24"/>
      <c r="R359" s="24" t="s">
        <v>24</v>
      </c>
      <c r="S359" s="114"/>
      <c r="T359" s="45"/>
      <c r="U359" s="48"/>
      <c r="V359" s="48"/>
      <c r="W359" s="27"/>
    </row>
    <row r="360" spans="1:23" ht="60" hidden="1" customHeight="1" x14ac:dyDescent="0.25">
      <c r="A360" s="45" t="str">
        <f>CONCATENATE(Tabla2[[#This Row],[id_solicitud]],Tabla2[[#This Row],[tipo]])</f>
        <v>259Proposicion</v>
      </c>
      <c r="B360" s="45">
        <f>COUNTIF($A$2:A360,A360)</f>
        <v>1</v>
      </c>
      <c r="C360" s="45" t="str">
        <f>Tabla2[[#This Row],[(id_solicitud-tipo_documento)]]&amp;B360</f>
        <v>259Proposicion1</v>
      </c>
      <c r="D360" s="45">
        <v>360</v>
      </c>
      <c r="E360" s="45">
        <v>259</v>
      </c>
      <c r="F360" s="45" t="s">
        <v>46</v>
      </c>
      <c r="G360" s="45" t="s">
        <v>44</v>
      </c>
      <c r="H360" s="50" t="s">
        <v>32</v>
      </c>
      <c r="I360" s="51">
        <v>357</v>
      </c>
      <c r="J360" s="80"/>
      <c r="K3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357 MOP</v>
      </c>
      <c r="L360" s="48">
        <v>44715</v>
      </c>
      <c r="M360" s="48">
        <v>44716</v>
      </c>
      <c r="N360" s="49" t="s">
        <v>670</v>
      </c>
      <c r="O360" s="45"/>
      <c r="P360" s="80" t="s">
        <v>497</v>
      </c>
      <c r="Q360" s="24"/>
      <c r="R360" s="23" t="s">
        <v>12</v>
      </c>
      <c r="S360" s="114"/>
      <c r="T360" s="45"/>
      <c r="U360" s="48"/>
      <c r="V360" s="48"/>
      <c r="W360" s="27"/>
    </row>
    <row r="361" spans="1:23" ht="60" hidden="1" customHeight="1" x14ac:dyDescent="0.25">
      <c r="A361" s="45" t="str">
        <f>CONCATENATE(Tabla2[[#This Row],[id_solicitud]],Tabla2[[#This Row],[tipo]])</f>
        <v>295Proposicion</v>
      </c>
      <c r="B361" s="45">
        <f>COUNTIF($A$2:A361,A361)</f>
        <v>1</v>
      </c>
      <c r="C361" s="45" t="str">
        <f>Tabla2[[#This Row],[(id_solicitud-tipo_documento)]]&amp;B361</f>
        <v>295Proposicion1</v>
      </c>
      <c r="D361" s="45">
        <v>361</v>
      </c>
      <c r="E361" s="45">
        <v>295</v>
      </c>
      <c r="F361" s="45" t="s">
        <v>46</v>
      </c>
      <c r="G361" s="45" t="s">
        <v>44</v>
      </c>
      <c r="H361" s="50" t="s">
        <v>32</v>
      </c>
      <c r="I361" s="51">
        <v>357</v>
      </c>
      <c r="J361" s="80"/>
      <c r="K3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357 MOP</v>
      </c>
      <c r="L361" s="48">
        <v>44715</v>
      </c>
      <c r="M361" s="48">
        <v>44716</v>
      </c>
      <c r="N361" s="49" t="s">
        <v>681</v>
      </c>
      <c r="O361" s="45"/>
      <c r="P361" s="80" t="s">
        <v>497</v>
      </c>
      <c r="Q361" s="24"/>
      <c r="R361" s="23" t="s">
        <v>12</v>
      </c>
      <c r="S361" s="114"/>
      <c r="T361" s="45"/>
      <c r="U361" s="48"/>
      <c r="V361" s="48"/>
      <c r="W361" s="27"/>
    </row>
    <row r="362" spans="1:23" ht="60" hidden="1" customHeight="1" x14ac:dyDescent="0.25">
      <c r="A362" s="45" t="str">
        <f>CONCATENATE(Tabla2[[#This Row],[id_solicitud]],Tabla2[[#This Row],[tipo]])</f>
        <v>232Proposicion</v>
      </c>
      <c r="B362" s="45">
        <f>COUNTIF($A$2:A362,A362)</f>
        <v>1</v>
      </c>
      <c r="C362" s="45" t="str">
        <f>Tabla2[[#This Row],[(id_solicitud-tipo_documento)]]&amp;B362</f>
        <v>232Proposicion1</v>
      </c>
      <c r="D362" s="45">
        <v>362</v>
      </c>
      <c r="E362" s="45">
        <v>232</v>
      </c>
      <c r="F362" s="45" t="s">
        <v>46</v>
      </c>
      <c r="G362" s="45" t="s">
        <v>61</v>
      </c>
      <c r="H362" s="50" t="s">
        <v>584</v>
      </c>
      <c r="I362" s="51">
        <v>362</v>
      </c>
      <c r="J362" s="80"/>
      <c r="K3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362 DP-DV</v>
      </c>
      <c r="L362" s="48">
        <v>44711</v>
      </c>
      <c r="M362" s="48">
        <v>44711</v>
      </c>
      <c r="N362" s="49" t="s">
        <v>260</v>
      </c>
      <c r="O362" s="45">
        <v>2</v>
      </c>
      <c r="P362" s="80" t="s">
        <v>494</v>
      </c>
      <c r="Q362" s="24"/>
      <c r="R362" s="24" t="s">
        <v>24</v>
      </c>
      <c r="S362" s="114"/>
      <c r="T362" s="45"/>
      <c r="U362" s="48"/>
      <c r="V362" s="48"/>
      <c r="W362" s="27"/>
    </row>
    <row r="363" spans="1:23" ht="60" hidden="1" customHeight="1" x14ac:dyDescent="0.25">
      <c r="A363" s="45" t="str">
        <f>CONCATENATE(Tabla2[[#This Row],[id_solicitud]],Tabla2[[#This Row],[tipo]])</f>
        <v>301Oficio_Solicitud</v>
      </c>
      <c r="B363" s="45">
        <f>COUNTIF($A$2:A363,A363)</f>
        <v>1</v>
      </c>
      <c r="C363" s="45" t="str">
        <f>Tabla2[[#This Row],[(id_solicitud-tipo_documento)]]&amp;B363</f>
        <v>301Oficio_Solicitud1</v>
      </c>
      <c r="D363" s="45">
        <v>363</v>
      </c>
      <c r="E363" s="45">
        <v>301</v>
      </c>
      <c r="F363" s="45" t="s">
        <v>53</v>
      </c>
      <c r="G363" s="45" t="s">
        <v>60</v>
      </c>
      <c r="H363" s="50" t="s">
        <v>10</v>
      </c>
      <c r="I363" s="51">
        <v>362</v>
      </c>
      <c r="J363" s="80"/>
      <c r="K3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362 DAP</v>
      </c>
      <c r="L363" s="48">
        <v>44741</v>
      </c>
      <c r="M363" s="48">
        <v>44742</v>
      </c>
      <c r="N363" s="49" t="s">
        <v>314</v>
      </c>
      <c r="O363" s="45">
        <v>12</v>
      </c>
      <c r="P363" s="80" t="s">
        <v>494</v>
      </c>
      <c r="Q363" s="48"/>
      <c r="R363" s="45"/>
      <c r="S363" s="114"/>
      <c r="T363" s="52"/>
      <c r="U363" s="48"/>
      <c r="V363" s="48"/>
      <c r="W363" s="27"/>
    </row>
    <row r="364" spans="1:23" ht="60" hidden="1" customHeight="1" x14ac:dyDescent="0.25">
      <c r="A364" s="45" t="str">
        <f>CONCATENATE(Tabla2[[#This Row],[id_solicitud]],Tabla2[[#This Row],[tipo]])</f>
        <v>207Oficio_Solicitud</v>
      </c>
      <c r="B364" s="45">
        <f>COUNTIF($A$2:A364,A364)</f>
        <v>1</v>
      </c>
      <c r="C364" s="45" t="str">
        <f>Tabla2[[#This Row],[(id_solicitud-tipo_documento)]]&amp;B364</f>
        <v>207Oficio_Solicitud1</v>
      </c>
      <c r="D364" s="45">
        <v>364</v>
      </c>
      <c r="E364" s="45">
        <v>207</v>
      </c>
      <c r="F364" s="45" t="s">
        <v>53</v>
      </c>
      <c r="G364" s="45" t="s">
        <v>60</v>
      </c>
      <c r="H364" s="50" t="s">
        <v>22</v>
      </c>
      <c r="I364" s="51">
        <v>363</v>
      </c>
      <c r="J364" s="80"/>
      <c r="K3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363 DOP</v>
      </c>
      <c r="L364" s="48">
        <v>44698</v>
      </c>
      <c r="M364" s="48">
        <v>44699</v>
      </c>
      <c r="N364" s="49" t="s">
        <v>235</v>
      </c>
      <c r="O364" s="45">
        <v>32</v>
      </c>
      <c r="P364" s="80" t="s">
        <v>494</v>
      </c>
      <c r="Q364" s="48"/>
      <c r="R364" s="45"/>
      <c r="S364" s="114"/>
      <c r="T364" s="52"/>
      <c r="U364" s="48"/>
      <c r="V364" s="48"/>
      <c r="W364" s="27"/>
    </row>
    <row r="365" spans="1:23" ht="60" hidden="1" customHeight="1" x14ac:dyDescent="0.25">
      <c r="A365" s="45" t="str">
        <f>CONCATENATE(Tabla2[[#This Row],[id_solicitud]],Tabla2[[#This Row],[tipo]])</f>
        <v>149Resolucion</v>
      </c>
      <c r="B365" s="45">
        <f>COUNTIF($A$2:A365,A365)</f>
        <v>1</v>
      </c>
      <c r="C365" s="45" t="str">
        <f>Tabla2[[#This Row],[(id_solicitud-tipo_documento)]]&amp;B365</f>
        <v>149Resolucion1</v>
      </c>
      <c r="D365" s="45">
        <v>365</v>
      </c>
      <c r="E365" s="45">
        <v>149</v>
      </c>
      <c r="F365" s="45" t="s">
        <v>48</v>
      </c>
      <c r="G365" s="45"/>
      <c r="H365" s="50" t="s">
        <v>22</v>
      </c>
      <c r="I365" s="51">
        <v>364</v>
      </c>
      <c r="J365" s="80"/>
      <c r="K3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365" s="48">
        <v>44659</v>
      </c>
      <c r="M365" s="48"/>
      <c r="N365" s="49"/>
      <c r="O365" s="45"/>
      <c r="P365" s="80"/>
      <c r="Q365" s="48"/>
      <c r="R365" s="45"/>
      <c r="S365" s="114"/>
      <c r="T365" s="45"/>
      <c r="U365" s="48"/>
      <c r="V365" s="48"/>
      <c r="W365" s="27"/>
    </row>
    <row r="366" spans="1:23" ht="60" hidden="1" customHeight="1" x14ac:dyDescent="0.25">
      <c r="A366" s="45" t="str">
        <f>CONCATENATE(Tabla2[[#This Row],[id_solicitud]],Tabla2[[#This Row],[tipo]])</f>
        <v>211Proposicion</v>
      </c>
      <c r="B366" s="45">
        <f>COUNTIF($A$2:A366,A366)</f>
        <v>1</v>
      </c>
      <c r="C366" s="45" t="str">
        <f>Tabla2[[#This Row],[(id_solicitud-tipo_documento)]]&amp;B366</f>
        <v>211Proposicion1</v>
      </c>
      <c r="D366" s="45">
        <v>366</v>
      </c>
      <c r="E366" s="45">
        <v>211</v>
      </c>
      <c r="F366" s="45" t="s">
        <v>46</v>
      </c>
      <c r="G366" s="45" t="s">
        <v>60</v>
      </c>
      <c r="H366" s="50" t="s">
        <v>565</v>
      </c>
      <c r="I366" s="51">
        <v>366</v>
      </c>
      <c r="J366" s="80"/>
      <c r="K3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DGA_FETCovid19</v>
      </c>
      <c r="L366" s="48">
        <v>44712</v>
      </c>
      <c r="M366" s="48">
        <v>44713</v>
      </c>
      <c r="N366" s="49" t="s">
        <v>239</v>
      </c>
      <c r="O366" s="45">
        <v>5</v>
      </c>
      <c r="P366" s="80" t="s">
        <v>494</v>
      </c>
      <c r="Q366" s="24"/>
      <c r="R366" s="24" t="s">
        <v>24</v>
      </c>
      <c r="S366" s="114"/>
      <c r="T366" s="45"/>
      <c r="U366" s="48"/>
      <c r="V366" s="48"/>
      <c r="W366" s="27"/>
    </row>
    <row r="367" spans="1:23" ht="60" hidden="1" customHeight="1" x14ac:dyDescent="0.25">
      <c r="A367" s="45" t="str">
        <f>CONCATENATE(Tabla2[[#This Row],[id_solicitud]],Tabla2[[#This Row],[tipo]])</f>
        <v>213Proposicion</v>
      </c>
      <c r="B367" s="45">
        <f>COUNTIF($A$2:A367,A367)</f>
        <v>1</v>
      </c>
      <c r="C367" s="45" t="str">
        <f>Tabla2[[#This Row],[(id_solicitud-tipo_documento)]]&amp;B367</f>
        <v>213Proposicion1</v>
      </c>
      <c r="D367" s="45">
        <v>367</v>
      </c>
      <c r="E367" s="45">
        <v>213</v>
      </c>
      <c r="F367" s="45" t="s">
        <v>46</v>
      </c>
      <c r="G367" s="45" t="s">
        <v>40</v>
      </c>
      <c r="H367" s="50" t="s">
        <v>14</v>
      </c>
      <c r="I367" s="51">
        <v>366</v>
      </c>
      <c r="J367" s="80"/>
      <c r="K3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DGA</v>
      </c>
      <c r="L367" s="48">
        <v>44712</v>
      </c>
      <c r="M367" s="48">
        <v>44713</v>
      </c>
      <c r="N367" s="49" t="s">
        <v>241</v>
      </c>
      <c r="O367" s="45"/>
      <c r="P367" s="80" t="s">
        <v>510</v>
      </c>
      <c r="Q367" s="24"/>
      <c r="R367" s="24" t="s">
        <v>24</v>
      </c>
      <c r="S367" s="114"/>
      <c r="T367" s="45"/>
      <c r="U367" s="48"/>
      <c r="V367" s="48"/>
      <c r="W367" s="27"/>
    </row>
    <row r="368" spans="1:23" ht="60" hidden="1" customHeight="1" x14ac:dyDescent="0.25">
      <c r="A368" s="45" t="str">
        <f>CONCATENATE(Tabla2[[#This Row],[id_solicitud]],Tabla2[[#This Row],[tipo]])</f>
        <v>216Proposicion</v>
      </c>
      <c r="B368" s="45">
        <f>COUNTIF($A$2:A368,A368)</f>
        <v>1</v>
      </c>
      <c r="C368" s="45" t="str">
        <f>Tabla2[[#This Row],[(id_solicitud-tipo_documento)]]&amp;B368</f>
        <v>216Proposicion1</v>
      </c>
      <c r="D368" s="45">
        <v>368</v>
      </c>
      <c r="E368" s="45">
        <v>216</v>
      </c>
      <c r="F368" s="45" t="s">
        <v>46</v>
      </c>
      <c r="G368" s="45" t="s">
        <v>60</v>
      </c>
      <c r="H368" s="50" t="s">
        <v>544</v>
      </c>
      <c r="I368" s="51">
        <v>366</v>
      </c>
      <c r="J368" s="80"/>
      <c r="K3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DAP_FETCovid19</v>
      </c>
      <c r="L368" s="48">
        <v>44712</v>
      </c>
      <c r="M368" s="48">
        <v>44712</v>
      </c>
      <c r="N368" s="49" t="s">
        <v>661</v>
      </c>
      <c r="O368" s="45">
        <v>3</v>
      </c>
      <c r="P368" s="80" t="s">
        <v>494</v>
      </c>
      <c r="Q368" s="24"/>
      <c r="R368" s="24" t="s">
        <v>24</v>
      </c>
      <c r="S368" s="114"/>
      <c r="T368" s="45"/>
      <c r="U368" s="48"/>
      <c r="V368" s="48"/>
      <c r="W368" s="27"/>
    </row>
    <row r="369" spans="1:23" ht="60" hidden="1" customHeight="1" x14ac:dyDescent="0.25">
      <c r="A369" s="45" t="str">
        <f>CONCATENATE(Tabla2[[#This Row],[id_solicitud]],Tabla2[[#This Row],[tipo]])</f>
        <v>217Proposicion</v>
      </c>
      <c r="B369" s="45">
        <f>COUNTIF($A$2:A369,A369)</f>
        <v>1</v>
      </c>
      <c r="C369" s="45" t="str">
        <f>Tabla2[[#This Row],[(id_solicitud-tipo_documento)]]&amp;B369</f>
        <v>217Proposicion1</v>
      </c>
      <c r="D369" s="45">
        <v>369</v>
      </c>
      <c r="E369" s="45">
        <v>217</v>
      </c>
      <c r="F369" s="45" t="s">
        <v>46</v>
      </c>
      <c r="G369" s="45" t="s">
        <v>40</v>
      </c>
      <c r="H369" s="50" t="s">
        <v>547</v>
      </c>
      <c r="I369" s="51">
        <v>366</v>
      </c>
      <c r="J369" s="80"/>
      <c r="K3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DGOP_FETCovid19</v>
      </c>
      <c r="L369" s="48">
        <v>44712</v>
      </c>
      <c r="M369" s="48">
        <v>44713</v>
      </c>
      <c r="N369" s="49" t="s">
        <v>245</v>
      </c>
      <c r="O369" s="45"/>
      <c r="P369" s="80" t="s">
        <v>498</v>
      </c>
      <c r="Q369" s="24"/>
      <c r="R369" s="24" t="s">
        <v>24</v>
      </c>
      <c r="S369" s="114"/>
      <c r="T369" s="45"/>
      <c r="U369" s="48"/>
      <c r="V369" s="48"/>
      <c r="W369" s="27"/>
    </row>
    <row r="370" spans="1:23" ht="60" hidden="1" customHeight="1" x14ac:dyDescent="0.25">
      <c r="A370" s="45" t="str">
        <f>CONCATENATE(Tabla2[[#This Row],[id_solicitud]],Tabla2[[#This Row],[tipo]])</f>
        <v>218Proposicion</v>
      </c>
      <c r="B370" s="45">
        <f>COUNTIF($A$2:A370,A370)</f>
        <v>1</v>
      </c>
      <c r="C370" s="45" t="str">
        <f>Tabla2[[#This Row],[(id_solicitud-tipo_documento)]]&amp;B370</f>
        <v>218Proposicion1</v>
      </c>
      <c r="D370" s="45">
        <v>370</v>
      </c>
      <c r="E370" s="45">
        <v>218</v>
      </c>
      <c r="F370" s="45" t="s">
        <v>46</v>
      </c>
      <c r="G370" s="45" t="s">
        <v>40</v>
      </c>
      <c r="H370" s="50" t="s">
        <v>22</v>
      </c>
      <c r="I370" s="51">
        <v>366</v>
      </c>
      <c r="J370" s="80"/>
      <c r="K3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DOP</v>
      </c>
      <c r="L370" s="48">
        <v>44712</v>
      </c>
      <c r="M370" s="48">
        <v>44713</v>
      </c>
      <c r="N370" s="49" t="s">
        <v>662</v>
      </c>
      <c r="O370" s="45"/>
      <c r="P370" s="80" t="s">
        <v>498</v>
      </c>
      <c r="Q370" s="24"/>
      <c r="R370" s="24" t="s">
        <v>24</v>
      </c>
      <c r="S370" s="114"/>
      <c r="T370" s="45"/>
      <c r="U370" s="48"/>
      <c r="V370" s="48"/>
      <c r="W370" s="27"/>
    </row>
    <row r="371" spans="1:23" ht="60" hidden="1" customHeight="1" x14ac:dyDescent="0.25">
      <c r="A371" s="45" t="str">
        <f>CONCATENATE(Tabla2[[#This Row],[id_solicitud]],Tabla2[[#This Row],[tipo]])</f>
        <v>225Proposicion</v>
      </c>
      <c r="B371" s="45">
        <f>COUNTIF($A$2:A371,A371)</f>
        <v>1</v>
      </c>
      <c r="C371" s="45" t="str">
        <f>Tabla2[[#This Row],[(id_solicitud-tipo_documento)]]&amp;B371</f>
        <v>225Proposicion1</v>
      </c>
      <c r="D371" s="45">
        <v>371</v>
      </c>
      <c r="E371" s="45">
        <v>225</v>
      </c>
      <c r="F371" s="45" t="s">
        <v>46</v>
      </c>
      <c r="G371" s="45" t="s">
        <v>40</v>
      </c>
      <c r="H371" s="50" t="s">
        <v>529</v>
      </c>
      <c r="I371" s="51">
        <v>366</v>
      </c>
      <c r="J371" s="80"/>
      <c r="K3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SOP_FETCovid19</v>
      </c>
      <c r="L371" s="48">
        <v>44712</v>
      </c>
      <c r="M371" s="48">
        <v>44713</v>
      </c>
      <c r="N371" s="49" t="s">
        <v>253</v>
      </c>
      <c r="O371" s="45"/>
      <c r="P371" s="80" t="s">
        <v>498</v>
      </c>
      <c r="Q371" s="24"/>
      <c r="R371" s="24" t="s">
        <v>24</v>
      </c>
      <c r="S371" s="114"/>
      <c r="T371" s="45"/>
      <c r="U371" s="48"/>
      <c r="V371" s="48"/>
      <c r="W371" s="27"/>
    </row>
    <row r="372" spans="1:23" ht="60" hidden="1" customHeight="1" x14ac:dyDescent="0.25">
      <c r="A372" s="45" t="str">
        <f>CONCATENATE(Tabla2[[#This Row],[id_solicitud]],Tabla2[[#This Row],[tipo]])</f>
        <v>227Proposicion</v>
      </c>
      <c r="B372" s="45">
        <f>COUNTIF($A$2:A372,A372)</f>
        <v>1</v>
      </c>
      <c r="C372" s="45" t="str">
        <f>Tabla2[[#This Row],[(id_solicitud-tipo_documento)]]&amp;B372</f>
        <v>227Proposicion1</v>
      </c>
      <c r="D372" s="45">
        <v>372</v>
      </c>
      <c r="E372" s="45">
        <v>227</v>
      </c>
      <c r="F372" s="45" t="s">
        <v>46</v>
      </c>
      <c r="G372" s="45" t="s">
        <v>40</v>
      </c>
      <c r="H372" s="50" t="s">
        <v>529</v>
      </c>
      <c r="I372" s="51">
        <v>366</v>
      </c>
      <c r="J372" s="80"/>
      <c r="K3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SOP_FETCovid19</v>
      </c>
      <c r="L372" s="48">
        <v>44712</v>
      </c>
      <c r="M372" s="48">
        <v>44713</v>
      </c>
      <c r="N372" s="49" t="s">
        <v>255</v>
      </c>
      <c r="O372" s="45"/>
      <c r="P372" s="80" t="s">
        <v>498</v>
      </c>
      <c r="Q372" s="24"/>
      <c r="R372" s="24" t="s">
        <v>24</v>
      </c>
      <c r="S372" s="114"/>
      <c r="T372" s="45"/>
      <c r="U372" s="48"/>
      <c r="V372" s="48"/>
      <c r="W372" s="27"/>
    </row>
    <row r="373" spans="1:23" ht="60" hidden="1" customHeight="1" x14ac:dyDescent="0.25">
      <c r="A373" s="45" t="str">
        <f>CONCATENATE(Tabla2[[#This Row],[id_solicitud]],Tabla2[[#This Row],[tipo]])</f>
        <v>228Proposicion</v>
      </c>
      <c r="B373" s="45">
        <f>COUNTIF($A$2:A373,A373)</f>
        <v>1</v>
      </c>
      <c r="C373" s="45" t="str">
        <f>Tabla2[[#This Row],[(id_solicitud-tipo_documento)]]&amp;B373</f>
        <v>228Proposicion1</v>
      </c>
      <c r="D373" s="45">
        <v>373</v>
      </c>
      <c r="E373" s="45">
        <v>228</v>
      </c>
      <c r="F373" s="45" t="s">
        <v>46</v>
      </c>
      <c r="G373" s="45" t="s">
        <v>40</v>
      </c>
      <c r="H373" s="50" t="s">
        <v>529</v>
      </c>
      <c r="I373" s="51">
        <v>366</v>
      </c>
      <c r="J373" s="80"/>
      <c r="K3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SOP_FETCovid19</v>
      </c>
      <c r="L373" s="48">
        <v>44712</v>
      </c>
      <c r="M373" s="48">
        <v>44713</v>
      </c>
      <c r="N373" s="49" t="s">
        <v>256</v>
      </c>
      <c r="O373" s="45"/>
      <c r="P373" s="80" t="s">
        <v>498</v>
      </c>
      <c r="Q373" s="24"/>
      <c r="R373" s="24" t="s">
        <v>24</v>
      </c>
      <c r="S373" s="114"/>
      <c r="T373" s="45"/>
      <c r="U373" s="48"/>
      <c r="V373" s="48"/>
      <c r="W373" s="27"/>
    </row>
    <row r="374" spans="1:23" ht="60" hidden="1" customHeight="1" x14ac:dyDescent="0.25">
      <c r="A374" s="45" t="str">
        <f>CONCATENATE(Tabla2[[#This Row],[id_solicitud]],Tabla2[[#This Row],[tipo]])</f>
        <v>229Proposicion</v>
      </c>
      <c r="B374" s="45">
        <f>COUNTIF($A$2:A374,A374)</f>
        <v>1</v>
      </c>
      <c r="C374" s="45" t="str">
        <f>Tabla2[[#This Row],[(id_solicitud-tipo_documento)]]&amp;B374</f>
        <v>229Proposicion1</v>
      </c>
      <c r="D374" s="45">
        <v>374</v>
      </c>
      <c r="E374" s="45">
        <v>229</v>
      </c>
      <c r="F374" s="45" t="s">
        <v>46</v>
      </c>
      <c r="G374" s="45" t="s">
        <v>40</v>
      </c>
      <c r="H374" s="50" t="s">
        <v>559</v>
      </c>
      <c r="I374" s="51">
        <v>366</v>
      </c>
      <c r="J374" s="80"/>
      <c r="K3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APR_FETCovid19</v>
      </c>
      <c r="L374" s="48">
        <v>44712</v>
      </c>
      <c r="M374" s="48">
        <v>44713</v>
      </c>
      <c r="N374" s="49" t="s">
        <v>257</v>
      </c>
      <c r="O374" s="45"/>
      <c r="P374" s="80" t="s">
        <v>498</v>
      </c>
      <c r="Q374" s="24"/>
      <c r="R374" s="24" t="s">
        <v>24</v>
      </c>
      <c r="S374" s="114"/>
      <c r="T374" s="45"/>
      <c r="U374" s="48"/>
      <c r="V374" s="48"/>
      <c r="W374" s="27"/>
    </row>
    <row r="375" spans="1:23" ht="60" hidden="1" customHeight="1" x14ac:dyDescent="0.25">
      <c r="A375" s="45" t="str">
        <f>CONCATENATE(Tabla2[[#This Row],[id_solicitud]],Tabla2[[#This Row],[tipo]])</f>
        <v>236Proposicion</v>
      </c>
      <c r="B375" s="45">
        <f>COUNTIF($A$2:A375,A375)</f>
        <v>1</v>
      </c>
      <c r="C375" s="45" t="str">
        <f>Tabla2[[#This Row],[(id_solicitud-tipo_documento)]]&amp;B375</f>
        <v>236Proposicion1</v>
      </c>
      <c r="D375" s="45">
        <v>375</v>
      </c>
      <c r="E375" s="45">
        <v>236</v>
      </c>
      <c r="F375" s="45" t="s">
        <v>46</v>
      </c>
      <c r="G375" s="45" t="s">
        <v>40</v>
      </c>
      <c r="H375" s="50" t="s">
        <v>8</v>
      </c>
      <c r="I375" s="51">
        <v>366</v>
      </c>
      <c r="J375" s="80"/>
      <c r="K3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DA</v>
      </c>
      <c r="L375" s="48">
        <v>44712</v>
      </c>
      <c r="M375" s="48">
        <v>44712</v>
      </c>
      <c r="N375" s="49" t="s">
        <v>264</v>
      </c>
      <c r="O375" s="45"/>
      <c r="P375" s="80" t="s">
        <v>514</v>
      </c>
      <c r="Q375" s="24"/>
      <c r="R375" s="24" t="s">
        <v>24</v>
      </c>
      <c r="S375" s="114"/>
      <c r="T375" s="45"/>
      <c r="U375" s="48"/>
      <c r="V375" s="48"/>
      <c r="W375" s="27"/>
    </row>
    <row r="376" spans="1:23" ht="60" hidden="1" customHeight="1" x14ac:dyDescent="0.25">
      <c r="A376" s="45" t="str">
        <f>CONCATENATE(Tabla2[[#This Row],[id_solicitud]],Tabla2[[#This Row],[tipo]])</f>
        <v>238Proposicion</v>
      </c>
      <c r="B376" s="45">
        <f>COUNTIF($A$2:A376,A376)</f>
        <v>1</v>
      </c>
      <c r="C376" s="45" t="str">
        <f>Tabla2[[#This Row],[(id_solicitud-tipo_documento)]]&amp;B376</f>
        <v>238Proposicion1</v>
      </c>
      <c r="D376" s="45">
        <v>376</v>
      </c>
      <c r="E376" s="45">
        <v>238</v>
      </c>
      <c r="F376" s="45" t="s">
        <v>46</v>
      </c>
      <c r="G376" s="45" t="s">
        <v>40</v>
      </c>
      <c r="H376" s="50" t="s">
        <v>547</v>
      </c>
      <c r="I376" s="51">
        <v>366</v>
      </c>
      <c r="J376" s="80"/>
      <c r="K3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DGOP_FETCovid19</v>
      </c>
      <c r="L376" s="48">
        <v>44712</v>
      </c>
      <c r="M376" s="48">
        <v>44713</v>
      </c>
      <c r="N376" s="49" t="s">
        <v>266</v>
      </c>
      <c r="O376" s="45"/>
      <c r="P376" s="80" t="s">
        <v>515</v>
      </c>
      <c r="Q376" s="24"/>
      <c r="R376" s="24" t="s">
        <v>24</v>
      </c>
      <c r="S376" s="114"/>
      <c r="T376" s="45"/>
      <c r="U376" s="48"/>
      <c r="V376" s="48"/>
      <c r="W376" s="27"/>
    </row>
    <row r="377" spans="1:23" ht="60" hidden="1" customHeight="1" x14ac:dyDescent="0.25">
      <c r="A377" s="45" t="str">
        <f>CONCATENATE(Tabla2[[#This Row],[id_solicitud]],Tabla2[[#This Row],[tipo]])</f>
        <v>239Proposicion</v>
      </c>
      <c r="B377" s="45">
        <f>COUNTIF($A$2:A377,A377)</f>
        <v>1</v>
      </c>
      <c r="C377" s="45" t="str">
        <f>Tabla2[[#This Row],[(id_solicitud-tipo_documento)]]&amp;B377</f>
        <v>239Proposicion1</v>
      </c>
      <c r="D377" s="45">
        <v>377</v>
      </c>
      <c r="E377" s="45">
        <v>239</v>
      </c>
      <c r="F377" s="45" t="s">
        <v>46</v>
      </c>
      <c r="G377" s="45" t="s">
        <v>40</v>
      </c>
      <c r="H377" s="50" t="s">
        <v>541</v>
      </c>
      <c r="I377" s="51">
        <v>366</v>
      </c>
      <c r="J377" s="80"/>
      <c r="K3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DOP_FETCovid19</v>
      </c>
      <c r="L377" s="48">
        <v>44712</v>
      </c>
      <c r="M377" s="48">
        <v>44713</v>
      </c>
      <c r="N377" s="49" t="s">
        <v>267</v>
      </c>
      <c r="O377" s="45"/>
      <c r="P377" s="80" t="s">
        <v>516</v>
      </c>
      <c r="Q377" s="24"/>
      <c r="R377" s="24" t="s">
        <v>24</v>
      </c>
      <c r="S377" s="114"/>
      <c r="T377" s="45"/>
      <c r="U377" s="48"/>
      <c r="V377" s="48"/>
      <c r="W377" s="27"/>
    </row>
    <row r="378" spans="1:23" ht="60" hidden="1" customHeight="1" x14ac:dyDescent="0.25">
      <c r="A378" s="45" t="str">
        <f>CONCATENATE(Tabla2[[#This Row],[id_solicitud]],Tabla2[[#This Row],[tipo]])</f>
        <v>246Proposicion</v>
      </c>
      <c r="B378" s="45">
        <f>COUNTIF($A$2:A378,A378)</f>
        <v>1</v>
      </c>
      <c r="C378" s="45" t="str">
        <f>Tabla2[[#This Row],[(id_solicitud-tipo_documento)]]&amp;B378</f>
        <v>246Proposicion1</v>
      </c>
      <c r="D378" s="45">
        <v>378</v>
      </c>
      <c r="E378" s="45">
        <v>246</v>
      </c>
      <c r="F378" s="45" t="s">
        <v>46</v>
      </c>
      <c r="G378" s="45" t="s">
        <v>61</v>
      </c>
      <c r="H378" s="50" t="s">
        <v>577</v>
      </c>
      <c r="I378" s="51">
        <v>366</v>
      </c>
      <c r="J378" s="80"/>
      <c r="K3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MOP-MOP_FETCovid19</v>
      </c>
      <c r="L378" s="48">
        <v>44712</v>
      </c>
      <c r="M378" s="48">
        <v>44713</v>
      </c>
      <c r="N378" s="49" t="s">
        <v>273</v>
      </c>
      <c r="O378" s="45">
        <v>9</v>
      </c>
      <c r="P378" s="80" t="s">
        <v>518</v>
      </c>
      <c r="Q378" s="24"/>
      <c r="R378" s="24" t="s">
        <v>24</v>
      </c>
      <c r="S378" s="114"/>
      <c r="T378" s="45"/>
      <c r="U378" s="48"/>
      <c r="V378" s="48"/>
      <c r="W378" s="27"/>
    </row>
    <row r="379" spans="1:23" ht="60" hidden="1" customHeight="1" x14ac:dyDescent="0.25">
      <c r="A379" s="45" t="str">
        <f>CONCATENATE(Tabla2[[#This Row],[id_solicitud]],Tabla2[[#This Row],[tipo]])</f>
        <v>248Proposicion</v>
      </c>
      <c r="B379" s="45">
        <f>COUNTIF($A$2:A379,A379)</f>
        <v>1</v>
      </c>
      <c r="C379" s="45" t="str">
        <f>Tabla2[[#This Row],[(id_solicitud-tipo_documento)]]&amp;B379</f>
        <v>248Proposicion1</v>
      </c>
      <c r="D379" s="45">
        <v>379</v>
      </c>
      <c r="E379" s="45">
        <v>248</v>
      </c>
      <c r="F379" s="45" t="s">
        <v>46</v>
      </c>
      <c r="G379" s="45" t="s">
        <v>40</v>
      </c>
      <c r="H379" s="50" t="s">
        <v>565</v>
      </c>
      <c r="I379" s="51">
        <v>366</v>
      </c>
      <c r="J379" s="80"/>
      <c r="K3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DGA_FETCovid19</v>
      </c>
      <c r="L379" s="48">
        <v>44712</v>
      </c>
      <c r="M379" s="48">
        <v>44713</v>
      </c>
      <c r="N379" s="49" t="s">
        <v>275</v>
      </c>
      <c r="O379" s="45">
        <v>2</v>
      </c>
      <c r="P379" s="80" t="s">
        <v>499</v>
      </c>
      <c r="Q379" s="24"/>
      <c r="R379" s="24" t="s">
        <v>24</v>
      </c>
      <c r="S379" s="114"/>
      <c r="T379" s="45"/>
      <c r="U379" s="48"/>
      <c r="V379" s="48"/>
      <c r="W379" s="27"/>
    </row>
    <row r="380" spans="1:23" ht="60" hidden="1" customHeight="1" x14ac:dyDescent="0.25">
      <c r="A380" s="45" t="str">
        <f>CONCATENATE(Tabla2[[#This Row],[id_solicitud]],Tabla2[[#This Row],[tipo]])</f>
        <v>249Proposicion</v>
      </c>
      <c r="B380" s="45">
        <f>COUNTIF($A$2:A380,A380)</f>
        <v>1</v>
      </c>
      <c r="C380" s="45" t="str">
        <f>Tabla2[[#This Row],[(id_solicitud-tipo_documento)]]&amp;B380</f>
        <v>249Proposicion1</v>
      </c>
      <c r="D380" s="45">
        <v>380</v>
      </c>
      <c r="E380" s="45">
        <v>249</v>
      </c>
      <c r="F380" s="45" t="s">
        <v>46</v>
      </c>
      <c r="G380" s="45" t="s">
        <v>40</v>
      </c>
      <c r="H380" s="50" t="s">
        <v>24</v>
      </c>
      <c r="I380" s="51">
        <v>366</v>
      </c>
      <c r="J380" s="80"/>
      <c r="K3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DP</v>
      </c>
      <c r="L380" s="48">
        <v>44712</v>
      </c>
      <c r="M380" s="48">
        <v>44713</v>
      </c>
      <c r="N380" s="49" t="s">
        <v>276</v>
      </c>
      <c r="O380" s="45"/>
      <c r="P380" s="80" t="s">
        <v>517</v>
      </c>
      <c r="Q380" s="24"/>
      <c r="R380" s="24" t="s">
        <v>24</v>
      </c>
      <c r="S380" s="114"/>
      <c r="T380" s="45"/>
      <c r="U380" s="48"/>
      <c r="V380" s="48"/>
      <c r="W380" s="27"/>
    </row>
    <row r="381" spans="1:23" ht="60" hidden="1" customHeight="1" x14ac:dyDescent="0.25">
      <c r="A381" s="45" t="str">
        <f>CONCATENATE(Tabla2[[#This Row],[id_solicitud]],Tabla2[[#This Row],[tipo]])</f>
        <v>270Proposicion</v>
      </c>
      <c r="B381" s="45">
        <f>COUNTIF($A$2:A381,A381)</f>
        <v>1</v>
      </c>
      <c r="C381" s="45" t="str">
        <f>Tabla2[[#This Row],[(id_solicitud-tipo_documento)]]&amp;B381</f>
        <v>270Proposicion1</v>
      </c>
      <c r="D381" s="45">
        <v>381</v>
      </c>
      <c r="E381" s="45">
        <v>270</v>
      </c>
      <c r="F381" s="45" t="s">
        <v>46</v>
      </c>
      <c r="G381" s="45" t="s">
        <v>40</v>
      </c>
      <c r="H381" s="50" t="s">
        <v>586</v>
      </c>
      <c r="I381" s="51">
        <v>366</v>
      </c>
      <c r="J381" s="80"/>
      <c r="K3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DOH_FETCovid19-DGA_FETCovid19</v>
      </c>
      <c r="L381" s="48">
        <v>44712</v>
      </c>
      <c r="M381" s="48">
        <v>44713</v>
      </c>
      <c r="N381" s="49" t="s">
        <v>292</v>
      </c>
      <c r="O381" s="45"/>
      <c r="P381" s="80" t="s">
        <v>499</v>
      </c>
      <c r="Q381" s="24"/>
      <c r="R381" s="24" t="s">
        <v>24</v>
      </c>
      <c r="S381" s="114"/>
      <c r="T381" s="45"/>
      <c r="U381" s="48"/>
      <c r="V381" s="48"/>
      <c r="W381" s="27"/>
    </row>
    <row r="382" spans="1:23" ht="60" hidden="1" customHeight="1" x14ac:dyDescent="0.25">
      <c r="A382" s="45" t="str">
        <f>CONCATENATE(Tabla2[[#This Row],[id_solicitud]],Tabla2[[#This Row],[tipo]])</f>
        <v>283Proposicion</v>
      </c>
      <c r="B382" s="45">
        <f>COUNTIF($A$2:A382,A382)</f>
        <v>1</v>
      </c>
      <c r="C382" s="45" t="str">
        <f>Tabla2[[#This Row],[(id_solicitud-tipo_documento)]]&amp;B382</f>
        <v>283Proposicion1</v>
      </c>
      <c r="D382" s="45">
        <v>382</v>
      </c>
      <c r="E382" s="45">
        <v>283</v>
      </c>
      <c r="F382" s="45" t="s">
        <v>46</v>
      </c>
      <c r="G382" s="45" t="s">
        <v>61</v>
      </c>
      <c r="H382" s="50" t="s">
        <v>588</v>
      </c>
      <c r="I382" s="51">
        <v>366</v>
      </c>
      <c r="J382" s="80"/>
      <c r="K3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366 DA-DA_FETCovid19-DOH_FETCovid19-DGC</v>
      </c>
      <c r="L382" s="48">
        <v>44712</v>
      </c>
      <c r="M382" s="48">
        <v>44713</v>
      </c>
      <c r="N382" s="49" t="s">
        <v>231</v>
      </c>
      <c r="O382" s="45"/>
      <c r="P382" s="80" t="s">
        <v>509</v>
      </c>
      <c r="Q382" s="24"/>
      <c r="R382" s="24" t="s">
        <v>24</v>
      </c>
      <c r="S382" s="114"/>
      <c r="T382" s="45"/>
      <c r="U382" s="48"/>
      <c r="V382" s="48"/>
      <c r="W382" s="27"/>
    </row>
    <row r="383" spans="1:23" ht="60" hidden="1" customHeight="1" x14ac:dyDescent="0.25">
      <c r="A383" s="45" t="str">
        <f>CONCATENATE(Tabla2[[#This Row],[id_solicitud]],Tabla2[[#This Row],[tipo]])</f>
        <v>43Decreto</v>
      </c>
      <c r="B383" s="45">
        <f>COUNTIF($A$2:A383,A383)</f>
        <v>1</v>
      </c>
      <c r="C383" s="45" t="str">
        <f>Tabla2[[#This Row],[(id_solicitud-tipo_documento)]]&amp;B383</f>
        <v>43Decreto1</v>
      </c>
      <c r="D383" s="45">
        <v>383</v>
      </c>
      <c r="E383" s="45">
        <v>43</v>
      </c>
      <c r="F383" s="45" t="s">
        <v>47</v>
      </c>
      <c r="G383" s="45" t="s">
        <v>40</v>
      </c>
      <c r="H383" s="50" t="s">
        <v>532</v>
      </c>
      <c r="I383" s="51">
        <v>367</v>
      </c>
      <c r="J383" s="80"/>
      <c r="K3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367 DA_FETCovid19</v>
      </c>
      <c r="L383" s="48">
        <v>44627</v>
      </c>
      <c r="M383" s="48"/>
      <c r="N383" s="49">
        <f>E383</f>
        <v>43</v>
      </c>
      <c r="O383" s="45"/>
      <c r="P383" s="80"/>
      <c r="Q383" s="48"/>
      <c r="R383" s="45"/>
      <c r="S383" s="115">
        <v>118</v>
      </c>
      <c r="T383" s="20">
        <v>44617</v>
      </c>
      <c r="U383" s="20">
        <v>44636</v>
      </c>
      <c r="V383" s="20">
        <v>44636</v>
      </c>
      <c r="W383" s="27"/>
    </row>
    <row r="384" spans="1:23" ht="60" hidden="1" customHeight="1" x14ac:dyDescent="0.25">
      <c r="A384" s="45" t="str">
        <f>CONCATENATE(Tabla2[[#This Row],[id_solicitud]],Tabla2[[#This Row],[tipo]])</f>
        <v>257Resolucion</v>
      </c>
      <c r="B384" s="45">
        <f>COUNTIF($A$2:A384,A384)</f>
        <v>1</v>
      </c>
      <c r="C384" s="45" t="str">
        <f>Tabla2[[#This Row],[(id_solicitud-tipo_documento)]]&amp;B384</f>
        <v>257Resolucion1</v>
      </c>
      <c r="D384" s="45">
        <v>384</v>
      </c>
      <c r="E384" s="45">
        <v>257</v>
      </c>
      <c r="F384" s="45" t="s">
        <v>48</v>
      </c>
      <c r="G384" s="45"/>
      <c r="H384" s="50" t="s">
        <v>574</v>
      </c>
      <c r="I384" s="51">
        <v>367</v>
      </c>
      <c r="J384" s="80"/>
      <c r="K3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384" s="48">
        <v>44721</v>
      </c>
      <c r="M384" s="48"/>
      <c r="N384" s="49"/>
      <c r="O384" s="45"/>
      <c r="P384" s="80"/>
      <c r="Q384" s="48"/>
      <c r="R384" s="45"/>
      <c r="S384" s="114"/>
      <c r="T384" s="45"/>
      <c r="U384" s="48"/>
      <c r="V384" s="48"/>
      <c r="W384" s="27"/>
    </row>
    <row r="385" spans="1:23" ht="60" hidden="1" customHeight="1" x14ac:dyDescent="0.25">
      <c r="A385" s="45" t="str">
        <f>CONCATENATE(Tabla2[[#This Row],[id_solicitud]],Tabla2[[#This Row],[tipo]])</f>
        <v>97Resolucion</v>
      </c>
      <c r="B385" s="45">
        <f>COUNTIF($A$2:A385,A385)</f>
        <v>1</v>
      </c>
      <c r="C385" s="45" t="str">
        <f>Tabla2[[#This Row],[(id_solicitud-tipo_documento)]]&amp;B385</f>
        <v>97Resolucion1</v>
      </c>
      <c r="D385" s="45">
        <v>385</v>
      </c>
      <c r="E385" s="45">
        <v>97</v>
      </c>
      <c r="F385" s="45" t="s">
        <v>48</v>
      </c>
      <c r="G385" s="45"/>
      <c r="H385" s="50" t="s">
        <v>8</v>
      </c>
      <c r="I385" s="51">
        <v>368</v>
      </c>
      <c r="J385" s="80"/>
      <c r="K3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385" s="48">
        <v>44677</v>
      </c>
      <c r="M385" s="48"/>
      <c r="N385" s="49"/>
      <c r="O385" s="45"/>
      <c r="P385" s="80"/>
      <c r="Q385" s="48"/>
      <c r="R385" s="45"/>
      <c r="S385" s="114"/>
      <c r="T385" s="45"/>
      <c r="U385" s="48"/>
      <c r="V385" s="48"/>
      <c r="W385" s="27"/>
    </row>
    <row r="386" spans="1:23" ht="60" hidden="1" customHeight="1" x14ac:dyDescent="0.25">
      <c r="A386" s="45" t="str">
        <f>CONCATENATE(Tabla2[[#This Row],[id_solicitud]],Tabla2[[#This Row],[tipo]])</f>
        <v>214Proposicion</v>
      </c>
      <c r="B386" s="45">
        <f>COUNTIF($A$2:A386,A386)</f>
        <v>1</v>
      </c>
      <c r="C386" s="45" t="str">
        <f>Tabla2[[#This Row],[(id_solicitud-tipo_documento)]]&amp;B386</f>
        <v>214Proposicion1</v>
      </c>
      <c r="D386" s="45">
        <v>386</v>
      </c>
      <c r="E386" s="45">
        <v>214</v>
      </c>
      <c r="F386" s="45" t="s">
        <v>46</v>
      </c>
      <c r="G386" s="45" t="s">
        <v>1258</v>
      </c>
      <c r="H386" s="50" t="s">
        <v>559</v>
      </c>
      <c r="I386" s="51">
        <v>371</v>
      </c>
      <c r="J386" s="80"/>
      <c r="K3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371 APR_FETCovid19</v>
      </c>
      <c r="L386" s="48">
        <v>44714</v>
      </c>
      <c r="M386" s="48">
        <v>44715</v>
      </c>
      <c r="N386" s="49" t="s">
        <v>242</v>
      </c>
      <c r="O386" s="45">
        <v>5</v>
      </c>
      <c r="P386" s="80" t="s">
        <v>494</v>
      </c>
      <c r="Q386" s="24"/>
      <c r="R386" s="24" t="s">
        <v>24</v>
      </c>
      <c r="S386" s="114"/>
      <c r="T386" s="45"/>
      <c r="U386" s="48"/>
      <c r="V386" s="48"/>
      <c r="W386" s="27"/>
    </row>
    <row r="387" spans="1:23" ht="60" hidden="1" customHeight="1" x14ac:dyDescent="0.25">
      <c r="A387" s="45" t="str">
        <f>CONCATENATE(Tabla2[[#This Row],[id_solicitud]],Tabla2[[#This Row],[tipo]])</f>
        <v>250Proposicion</v>
      </c>
      <c r="B387" s="45">
        <f>COUNTIF($A$2:A387,A387)</f>
        <v>1</v>
      </c>
      <c r="C387" s="45" t="str">
        <f>Tabla2[[#This Row],[(id_solicitud-tipo_documento)]]&amp;B387</f>
        <v>250Proposicion1</v>
      </c>
      <c r="D387" s="45">
        <v>387</v>
      </c>
      <c r="E387" s="45">
        <v>250</v>
      </c>
      <c r="F387" s="45" t="s">
        <v>46</v>
      </c>
      <c r="G387" s="45" t="s">
        <v>44</v>
      </c>
      <c r="H387" s="50" t="s">
        <v>547</v>
      </c>
      <c r="I387" s="51">
        <v>372</v>
      </c>
      <c r="J387" s="80"/>
      <c r="K3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372 DGOP_FETCovid19</v>
      </c>
      <c r="L387" s="48">
        <v>44714</v>
      </c>
      <c r="M387" s="48">
        <v>44715</v>
      </c>
      <c r="N387" s="49" t="s">
        <v>277</v>
      </c>
      <c r="O387" s="45"/>
      <c r="P387" s="80" t="s">
        <v>498</v>
      </c>
      <c r="Q387" s="24"/>
      <c r="R387" s="24" t="s">
        <v>24</v>
      </c>
      <c r="S387" s="114"/>
      <c r="T387" s="45"/>
      <c r="U387" s="48"/>
      <c r="V387" s="48"/>
      <c r="W387" s="27"/>
    </row>
    <row r="388" spans="1:23" ht="60" customHeight="1" x14ac:dyDescent="0.25">
      <c r="A388" s="45" t="str">
        <f>CONCATENATE(Tabla2[[#This Row],[id_solicitud]],Tabla2[[#This Row],[tipo]])</f>
        <v>140Decreto</v>
      </c>
      <c r="B388" s="45">
        <f>COUNTIF($A$2:A388,A388)</f>
        <v>1</v>
      </c>
      <c r="C388" s="45" t="str">
        <f>Tabla2[[#This Row],[(id_solicitud-tipo_documento)]]&amp;B388</f>
        <v>140Decreto1</v>
      </c>
      <c r="D388" s="45">
        <v>714</v>
      </c>
      <c r="E388" s="45">
        <v>140</v>
      </c>
      <c r="F388" s="45" t="s">
        <v>47</v>
      </c>
      <c r="G388" s="45" t="s">
        <v>60</v>
      </c>
      <c r="H388" s="50" t="s">
        <v>26</v>
      </c>
      <c r="I388" s="51">
        <v>685</v>
      </c>
      <c r="J388" s="80"/>
      <c r="K3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685 DV</v>
      </c>
      <c r="L388" s="48">
        <v>44692</v>
      </c>
      <c r="M388" s="48"/>
      <c r="N388" s="49" t="s">
        <v>829</v>
      </c>
      <c r="O388" s="45"/>
      <c r="P388" s="80"/>
      <c r="Q388" s="48"/>
      <c r="R388" s="45"/>
      <c r="S388" s="115">
        <v>290</v>
      </c>
      <c r="T388" s="20">
        <v>44683</v>
      </c>
      <c r="U388" s="20">
        <v>44711</v>
      </c>
      <c r="V388" s="20">
        <v>44711</v>
      </c>
      <c r="W388" s="27"/>
    </row>
    <row r="389" spans="1:23" ht="60" hidden="1" customHeight="1" x14ac:dyDescent="0.25">
      <c r="A389" s="45" t="str">
        <f>CONCATENATE(Tabla2[[#This Row],[id_solicitud]],Tabla2[[#This Row],[tipo]])</f>
        <v>177Proposicion</v>
      </c>
      <c r="B389" s="45">
        <f>COUNTIF($A$2:A389,A389)</f>
        <v>1</v>
      </c>
      <c r="C389" s="45" t="str">
        <f>Tabla2[[#This Row],[(id_solicitud-tipo_documento)]]&amp;B389</f>
        <v>177Proposicion1</v>
      </c>
      <c r="D389" s="45">
        <v>389</v>
      </c>
      <c r="E389" s="45">
        <v>177</v>
      </c>
      <c r="F389" s="45" t="s">
        <v>46</v>
      </c>
      <c r="G389" s="45" t="s">
        <v>40</v>
      </c>
      <c r="H389" s="50" t="s">
        <v>26</v>
      </c>
      <c r="I389" s="51">
        <v>374</v>
      </c>
      <c r="J389" s="80"/>
      <c r="K3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374 DV</v>
      </c>
      <c r="L389" s="48">
        <v>44714</v>
      </c>
      <c r="M389" s="48">
        <v>44715</v>
      </c>
      <c r="N389" s="49" t="s">
        <v>215</v>
      </c>
      <c r="O389" s="45"/>
      <c r="P389" s="80" t="s">
        <v>501</v>
      </c>
      <c r="Q389" s="24"/>
      <c r="R389" s="24" t="s">
        <v>24</v>
      </c>
      <c r="S389" s="114"/>
      <c r="T389" s="45"/>
      <c r="U389" s="48"/>
      <c r="V389" s="48"/>
      <c r="W389" s="27"/>
    </row>
    <row r="390" spans="1:23" ht="60" hidden="1" customHeight="1" x14ac:dyDescent="0.25">
      <c r="A390" s="45" t="str">
        <f>CONCATENATE(Tabla2[[#This Row],[id_solicitud]],Tabla2[[#This Row],[tipo]])</f>
        <v>218Oficio_Solicitud</v>
      </c>
      <c r="B390" s="45">
        <f>COUNTIF($A$2:A390,A390)</f>
        <v>1</v>
      </c>
      <c r="C390" s="45" t="str">
        <f>Tabla2[[#This Row],[(id_solicitud-tipo_documento)]]&amp;B390</f>
        <v>218Oficio_Solicitud1</v>
      </c>
      <c r="D390" s="45">
        <v>390</v>
      </c>
      <c r="E390" s="45">
        <v>218</v>
      </c>
      <c r="F390" s="45" t="s">
        <v>53</v>
      </c>
      <c r="G390" s="45" t="s">
        <v>40</v>
      </c>
      <c r="H390" s="50" t="s">
        <v>22</v>
      </c>
      <c r="I390" s="51">
        <v>377</v>
      </c>
      <c r="J390" s="80"/>
      <c r="K3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377 DOP</v>
      </c>
      <c r="L390" s="48">
        <v>44701</v>
      </c>
      <c r="M390" s="48">
        <v>44701</v>
      </c>
      <c r="N390" s="49" t="s">
        <v>246</v>
      </c>
      <c r="O390" s="45"/>
      <c r="P390" s="80" t="s">
        <v>498</v>
      </c>
      <c r="Q390" s="48"/>
      <c r="R390" s="45"/>
      <c r="S390" s="114"/>
      <c r="T390" s="52"/>
      <c r="U390" s="48"/>
      <c r="V390" s="48"/>
      <c r="W390" s="27"/>
    </row>
    <row r="391" spans="1:23" ht="60" hidden="1" customHeight="1" x14ac:dyDescent="0.25">
      <c r="A391" s="45" t="str">
        <f>CONCATENATE(Tabla2[[#This Row],[id_solicitud]],Tabla2[[#This Row],[tipo]])</f>
        <v>242Proposicion</v>
      </c>
      <c r="B391" s="45">
        <f>COUNTIF($A$2:A391,A391)</f>
        <v>1</v>
      </c>
      <c r="C391" s="45" t="str">
        <f>Tabla2[[#This Row],[(id_solicitud-tipo_documento)]]&amp;B391</f>
        <v>242Proposicion1</v>
      </c>
      <c r="D391" s="45">
        <v>391</v>
      </c>
      <c r="E391" s="45">
        <v>242</v>
      </c>
      <c r="F391" s="45" t="s">
        <v>46</v>
      </c>
      <c r="G391" s="45" t="s">
        <v>1258</v>
      </c>
      <c r="H391" s="50" t="s">
        <v>541</v>
      </c>
      <c r="I391" s="51">
        <v>377</v>
      </c>
      <c r="J391" s="80"/>
      <c r="K3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377 DOP_FETCovid19</v>
      </c>
      <c r="L391" s="48">
        <v>44715</v>
      </c>
      <c r="M391" s="48"/>
      <c r="N391" s="49" t="s">
        <v>664</v>
      </c>
      <c r="O391" s="45">
        <v>1</v>
      </c>
      <c r="P391" s="80" t="s">
        <v>494</v>
      </c>
      <c r="Q391" s="24"/>
      <c r="R391" s="24" t="s">
        <v>24</v>
      </c>
      <c r="S391" s="114"/>
      <c r="T391" s="45"/>
      <c r="U391" s="48"/>
      <c r="V391" s="48"/>
      <c r="W391" s="27"/>
    </row>
    <row r="392" spans="1:23" ht="60" hidden="1" customHeight="1" x14ac:dyDescent="0.25">
      <c r="A392" s="45" t="str">
        <f>CONCATENATE(Tabla2[[#This Row],[id_solicitud]],Tabla2[[#This Row],[tipo]])</f>
        <v>210Proposicion</v>
      </c>
      <c r="B392" s="45">
        <f>COUNTIF($A$2:A392,A392)</f>
        <v>1</v>
      </c>
      <c r="C392" s="45" t="str">
        <f>Tabla2[[#This Row],[(id_solicitud-tipo_documento)]]&amp;B392</f>
        <v>210Proposicion1</v>
      </c>
      <c r="D392" s="45">
        <v>392</v>
      </c>
      <c r="E392" s="45">
        <v>210</v>
      </c>
      <c r="F392" s="45" t="s">
        <v>46</v>
      </c>
      <c r="G392" s="45" t="s">
        <v>61</v>
      </c>
      <c r="H392" s="50" t="s">
        <v>544</v>
      </c>
      <c r="I392" s="51">
        <v>378</v>
      </c>
      <c r="J392" s="80"/>
      <c r="K3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378 DAP_FETCovid19</v>
      </c>
      <c r="L392" s="48">
        <v>44715</v>
      </c>
      <c r="M392" s="48">
        <v>44715</v>
      </c>
      <c r="N392" s="49" t="s">
        <v>238</v>
      </c>
      <c r="O392" s="45">
        <f>4+16</f>
        <v>20</v>
      </c>
      <c r="P392" s="80" t="s">
        <v>494</v>
      </c>
      <c r="Q392" s="24"/>
      <c r="R392" s="24" t="s">
        <v>24</v>
      </c>
      <c r="S392" s="114"/>
      <c r="T392" s="45"/>
      <c r="U392" s="48"/>
      <c r="V392" s="48"/>
      <c r="W392" s="27"/>
    </row>
    <row r="393" spans="1:23" ht="60" hidden="1" customHeight="1" x14ac:dyDescent="0.25">
      <c r="A393" s="45" t="str">
        <f>CONCATENATE(Tabla2[[#This Row],[id_solicitud]],Tabla2[[#This Row],[tipo]])</f>
        <v>261Proposicion</v>
      </c>
      <c r="B393" s="45">
        <f>COUNTIF($A$2:A393,A393)</f>
        <v>1</v>
      </c>
      <c r="C393" s="45" t="str">
        <f>Tabla2[[#This Row],[(id_solicitud-tipo_documento)]]&amp;B393</f>
        <v>261Proposicion1</v>
      </c>
      <c r="D393" s="45">
        <v>393</v>
      </c>
      <c r="E393" s="45">
        <v>261</v>
      </c>
      <c r="F393" s="45" t="s">
        <v>46</v>
      </c>
      <c r="G393" s="45" t="s">
        <v>44</v>
      </c>
      <c r="H393" s="50" t="s">
        <v>8</v>
      </c>
      <c r="I393" s="51">
        <v>378</v>
      </c>
      <c r="J393" s="80"/>
      <c r="K3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378 DA</v>
      </c>
      <c r="L393" s="48">
        <v>44722</v>
      </c>
      <c r="M393" s="48">
        <v>44722</v>
      </c>
      <c r="N393" s="49" t="s">
        <v>672</v>
      </c>
      <c r="O393" s="45"/>
      <c r="P393" s="80" t="s">
        <v>497</v>
      </c>
      <c r="Q393" s="24"/>
      <c r="R393" s="23" t="s">
        <v>12</v>
      </c>
      <c r="S393" s="114"/>
      <c r="T393" s="45"/>
      <c r="U393" s="48"/>
      <c r="V393" s="48"/>
      <c r="W393" s="27"/>
    </row>
    <row r="394" spans="1:23" ht="60" hidden="1" customHeight="1" x14ac:dyDescent="0.25">
      <c r="A394" s="45" t="str">
        <f>CONCATENATE(Tabla2[[#This Row],[id_solicitud]],Tabla2[[#This Row],[tipo]])</f>
        <v>215Proposicion</v>
      </c>
      <c r="B394" s="45">
        <f>COUNTIF($A$2:A394,A394)</f>
        <v>1</v>
      </c>
      <c r="C394" s="45" t="str">
        <f>Tabla2[[#This Row],[(id_solicitud-tipo_documento)]]&amp;B394</f>
        <v>215Proposicion1</v>
      </c>
      <c r="D394" s="45">
        <v>394</v>
      </c>
      <c r="E394" s="45">
        <v>215</v>
      </c>
      <c r="F394" s="45" t="s">
        <v>46</v>
      </c>
      <c r="G394" s="45" t="s">
        <v>60</v>
      </c>
      <c r="H394" s="50" t="s">
        <v>559</v>
      </c>
      <c r="I394" s="51">
        <v>379</v>
      </c>
      <c r="J394" s="80"/>
      <c r="K3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379 APR_FETCovid19</v>
      </c>
      <c r="L394" s="48">
        <v>44715</v>
      </c>
      <c r="M394" s="48">
        <v>44715</v>
      </c>
      <c r="N394" s="49" t="s">
        <v>243</v>
      </c>
      <c r="O394" s="45">
        <v>11</v>
      </c>
      <c r="P394" s="80" t="s">
        <v>494</v>
      </c>
      <c r="Q394" s="24"/>
      <c r="R394" s="24" t="s">
        <v>24</v>
      </c>
      <c r="S394" s="114"/>
      <c r="T394" s="45"/>
      <c r="U394" s="48"/>
      <c r="V394" s="48"/>
      <c r="W394" s="27"/>
    </row>
    <row r="395" spans="1:23" ht="60" hidden="1" customHeight="1" x14ac:dyDescent="0.25">
      <c r="A395" s="45" t="str">
        <f>CONCATENATE(Tabla2[[#This Row],[id_solicitud]],Tabla2[[#This Row],[tipo]])</f>
        <v>274Proposicion</v>
      </c>
      <c r="B395" s="45">
        <f>COUNTIF($A$2:A395,A395)</f>
        <v>1</v>
      </c>
      <c r="C395" s="45" t="str">
        <f>Tabla2[[#This Row],[(id_solicitud-tipo_documento)]]&amp;B395</f>
        <v>274Proposicion1</v>
      </c>
      <c r="D395" s="45">
        <v>395</v>
      </c>
      <c r="E395" s="45">
        <v>274</v>
      </c>
      <c r="F395" s="45" t="s">
        <v>46</v>
      </c>
      <c r="G395" s="45" t="s">
        <v>60</v>
      </c>
      <c r="H395" s="50" t="s">
        <v>6</v>
      </c>
      <c r="I395" s="51">
        <v>379</v>
      </c>
      <c r="J395" s="80"/>
      <c r="K3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379 APR</v>
      </c>
      <c r="L395" s="48">
        <v>44715</v>
      </c>
      <c r="M395" s="48">
        <v>44715</v>
      </c>
      <c r="N395" s="49" t="s">
        <v>296</v>
      </c>
      <c r="O395" s="45">
        <v>11</v>
      </c>
      <c r="P395" s="80" t="s">
        <v>494</v>
      </c>
      <c r="Q395" s="24"/>
      <c r="R395" s="24" t="s">
        <v>24</v>
      </c>
      <c r="S395" s="114"/>
      <c r="T395" s="45"/>
      <c r="U395" s="48"/>
      <c r="V395" s="48"/>
      <c r="W395" s="27"/>
    </row>
    <row r="396" spans="1:23" ht="60" hidden="1" customHeight="1" x14ac:dyDescent="0.25">
      <c r="A396" s="45" t="str">
        <f>CONCATENATE(Tabla2[[#This Row],[id_solicitud]],Tabla2[[#This Row],[tipo]])</f>
        <v>200Proposicion</v>
      </c>
      <c r="B396" s="45">
        <f>COUNTIF($A$2:A396,A396)</f>
        <v>1</v>
      </c>
      <c r="C396" s="45" t="str">
        <f>Tabla2[[#This Row],[(id_solicitud-tipo_documento)]]&amp;B396</f>
        <v>200Proposicion1</v>
      </c>
      <c r="D396" s="45">
        <v>396</v>
      </c>
      <c r="E396" s="45">
        <v>200</v>
      </c>
      <c r="F396" s="45" t="s">
        <v>46</v>
      </c>
      <c r="G396" s="45" t="s">
        <v>60</v>
      </c>
      <c r="H396" s="50" t="s">
        <v>26</v>
      </c>
      <c r="I396" s="51">
        <v>380</v>
      </c>
      <c r="J396" s="80"/>
      <c r="K3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380 DV</v>
      </c>
      <c r="L396" s="48">
        <v>44715</v>
      </c>
      <c r="M396" s="48">
        <v>44718</v>
      </c>
      <c r="N396" s="49" t="s">
        <v>51</v>
      </c>
      <c r="O396" s="45">
        <v>11</v>
      </c>
      <c r="P396" s="80" t="s">
        <v>494</v>
      </c>
      <c r="Q396" s="24"/>
      <c r="R396" s="24" t="s">
        <v>24</v>
      </c>
      <c r="S396" s="114"/>
      <c r="T396" s="45"/>
      <c r="U396" s="48"/>
      <c r="V396" s="48"/>
      <c r="W396" s="27"/>
    </row>
    <row r="397" spans="1:23" ht="60" hidden="1" customHeight="1" x14ac:dyDescent="0.25">
      <c r="A397" s="45" t="str">
        <f>CONCATENATE(Tabla2[[#This Row],[id_solicitud]],Tabla2[[#This Row],[tipo]])</f>
        <v>269Proposicion</v>
      </c>
      <c r="B397" s="45">
        <f>COUNTIF($A$2:A397,A397)</f>
        <v>1</v>
      </c>
      <c r="C397" s="45" t="str">
        <f>Tabla2[[#This Row],[(id_solicitud-tipo_documento)]]&amp;B397</f>
        <v>269Proposicion1</v>
      </c>
      <c r="D397" s="45">
        <v>397</v>
      </c>
      <c r="E397" s="45">
        <v>269</v>
      </c>
      <c r="F397" s="45" t="s">
        <v>46</v>
      </c>
      <c r="G397" s="45" t="s">
        <v>44</v>
      </c>
      <c r="H397" s="50" t="s">
        <v>16</v>
      </c>
      <c r="I397" s="51">
        <v>380</v>
      </c>
      <c r="J397" s="80"/>
      <c r="K3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380 DGC</v>
      </c>
      <c r="L397" s="48">
        <v>44721</v>
      </c>
      <c r="M397" s="48">
        <v>44722</v>
      </c>
      <c r="N397" s="49" t="s">
        <v>291</v>
      </c>
      <c r="O397" s="45"/>
      <c r="P397" s="80" t="s">
        <v>504</v>
      </c>
      <c r="Q397" s="24"/>
      <c r="R397" s="23" t="s">
        <v>12</v>
      </c>
      <c r="S397" s="114"/>
      <c r="T397" s="45"/>
      <c r="U397" s="48"/>
      <c r="V397" s="48"/>
      <c r="W397" s="27"/>
    </row>
    <row r="398" spans="1:23" ht="60" hidden="1" customHeight="1" x14ac:dyDescent="0.25">
      <c r="A398" s="45" t="str">
        <f>CONCATENATE(Tabla2[[#This Row],[id_solicitud]],Tabla2[[#This Row],[tipo]])</f>
        <v>62Decreto</v>
      </c>
      <c r="B398" s="45">
        <f>COUNTIF($A$2:A398,A398)</f>
        <v>1</v>
      </c>
      <c r="C398" s="45" t="str">
        <f>Tabla2[[#This Row],[(id_solicitud-tipo_documento)]]&amp;B398</f>
        <v>62Decreto1</v>
      </c>
      <c r="D398" s="45">
        <v>398</v>
      </c>
      <c r="E398" s="45">
        <v>62</v>
      </c>
      <c r="F398" s="45" t="s">
        <v>47</v>
      </c>
      <c r="G398" s="45" t="s">
        <v>60</v>
      </c>
      <c r="H398" s="50" t="s">
        <v>6</v>
      </c>
      <c r="I398" s="51">
        <v>381</v>
      </c>
      <c r="J398" s="80"/>
      <c r="K3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381 APR</v>
      </c>
      <c r="L398" s="48">
        <v>44627</v>
      </c>
      <c r="M398" s="48"/>
      <c r="N398" s="49" t="s">
        <v>791</v>
      </c>
      <c r="O398" s="45"/>
      <c r="P398" s="80"/>
      <c r="Q398" s="48"/>
      <c r="R398" s="45"/>
      <c r="S398" s="115">
        <v>153</v>
      </c>
      <c r="T398" s="20">
        <v>44616</v>
      </c>
      <c r="U398" s="20">
        <v>44642</v>
      </c>
      <c r="V398" s="20">
        <v>44642</v>
      </c>
      <c r="W398" s="27"/>
    </row>
    <row r="399" spans="1:23" ht="60" hidden="1" customHeight="1" x14ac:dyDescent="0.25">
      <c r="A399" s="45" t="str">
        <f>CONCATENATE(Tabla2[[#This Row],[id_solicitud]],Tabla2[[#This Row],[tipo]])</f>
        <v>260Proposicion</v>
      </c>
      <c r="B399" s="45">
        <f>COUNTIF($A$2:A399,A399)</f>
        <v>1</v>
      </c>
      <c r="C399" s="45" t="str">
        <f>Tabla2[[#This Row],[(id_solicitud-tipo_documento)]]&amp;B399</f>
        <v>260Proposicion1</v>
      </c>
      <c r="D399" s="45">
        <v>399</v>
      </c>
      <c r="E399" s="45">
        <v>260</v>
      </c>
      <c r="F399" s="45" t="s">
        <v>46</v>
      </c>
      <c r="G399" s="45" t="s">
        <v>44</v>
      </c>
      <c r="H399" s="50" t="s">
        <v>10</v>
      </c>
      <c r="I399" s="51">
        <v>381</v>
      </c>
      <c r="J399" s="80"/>
      <c r="K3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381 DAP</v>
      </c>
      <c r="L399" s="48">
        <v>44722</v>
      </c>
      <c r="M399" s="48">
        <v>44722</v>
      </c>
      <c r="N399" s="49" t="s">
        <v>671</v>
      </c>
      <c r="O399" s="45"/>
      <c r="P399" s="80" t="s">
        <v>497</v>
      </c>
      <c r="Q399" s="24"/>
      <c r="R399" s="23" t="s">
        <v>12</v>
      </c>
      <c r="S399" s="114"/>
      <c r="T399" s="45"/>
      <c r="U399" s="48"/>
      <c r="V399" s="48"/>
      <c r="W399" s="27"/>
    </row>
    <row r="400" spans="1:23" ht="60" hidden="1" customHeight="1" x14ac:dyDescent="0.25">
      <c r="A400" s="45" t="str">
        <f>CONCATENATE(Tabla2[[#This Row],[id_solicitud]],Tabla2[[#This Row],[tipo]])</f>
        <v>366Oficio_Solicitud</v>
      </c>
      <c r="B400" s="45">
        <f>COUNTIF($A$2:A400,A400)</f>
        <v>1</v>
      </c>
      <c r="C400" s="45" t="str">
        <f>Tabla2[[#This Row],[(id_solicitud-tipo_documento)]]&amp;B400</f>
        <v>366Oficio_Solicitud1</v>
      </c>
      <c r="D400" s="45">
        <v>400</v>
      </c>
      <c r="E400" s="45">
        <v>366</v>
      </c>
      <c r="F400" s="45" t="s">
        <v>53</v>
      </c>
      <c r="G400" s="45" t="s">
        <v>44</v>
      </c>
      <c r="H400" s="50" t="s">
        <v>10</v>
      </c>
      <c r="I400" s="51">
        <v>381</v>
      </c>
      <c r="J400" s="80"/>
      <c r="K4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381 DAP</v>
      </c>
      <c r="L400" s="48">
        <v>44754</v>
      </c>
      <c r="M400" s="48"/>
      <c r="N400" s="49"/>
      <c r="O400" s="45"/>
      <c r="P400" s="80" t="s">
        <v>497</v>
      </c>
      <c r="Q400" s="48"/>
      <c r="R400" s="45"/>
      <c r="S400" s="114"/>
      <c r="T400" s="52"/>
      <c r="U400" s="48"/>
      <c r="V400" s="48"/>
      <c r="W400" s="27"/>
    </row>
    <row r="401" spans="1:23" ht="60" hidden="1" customHeight="1" x14ac:dyDescent="0.25">
      <c r="A401" s="45" t="str">
        <f>CONCATENATE(Tabla2[[#This Row],[id_solicitud]],Tabla2[[#This Row],[tipo]])</f>
        <v>251Proposicion</v>
      </c>
      <c r="B401" s="45">
        <f>COUNTIF($A$2:A401,A401)</f>
        <v>1</v>
      </c>
      <c r="C401" s="45" t="str">
        <f>Tabla2[[#This Row],[(id_solicitud-tipo_documento)]]&amp;B401</f>
        <v>251Proposicion1</v>
      </c>
      <c r="D401" s="45">
        <v>401</v>
      </c>
      <c r="E401" s="45">
        <v>251</v>
      </c>
      <c r="F401" s="45" t="s">
        <v>46</v>
      </c>
      <c r="G401" s="45" t="s">
        <v>40</v>
      </c>
      <c r="H401" s="50" t="s">
        <v>26</v>
      </c>
      <c r="I401" s="51">
        <v>383</v>
      </c>
      <c r="J401" s="80"/>
      <c r="K4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383 DV</v>
      </c>
      <c r="L401" s="48">
        <v>44719</v>
      </c>
      <c r="M401" s="48">
        <v>44720</v>
      </c>
      <c r="N401" s="49" t="s">
        <v>278</v>
      </c>
      <c r="O401" s="45"/>
      <c r="P401" s="80" t="s">
        <v>501</v>
      </c>
      <c r="Q401" s="24"/>
      <c r="R401" s="24" t="s">
        <v>24</v>
      </c>
      <c r="S401" s="114"/>
      <c r="T401" s="45"/>
      <c r="U401" s="48"/>
      <c r="V401" s="48"/>
      <c r="W401" s="27"/>
    </row>
    <row r="402" spans="1:23" ht="60" hidden="1" customHeight="1" x14ac:dyDescent="0.25">
      <c r="A402" s="45" t="str">
        <f>CONCATENATE(Tabla2[[#This Row],[id_solicitud]],Tabla2[[#This Row],[tipo]])</f>
        <v>256Proposicion</v>
      </c>
      <c r="B402" s="45">
        <f>COUNTIF($A$2:A402,A402)</f>
        <v>1</v>
      </c>
      <c r="C402" s="45" t="str">
        <f>Tabla2[[#This Row],[(id_solicitud-tipo_documento)]]&amp;B402</f>
        <v>256Proposicion1</v>
      </c>
      <c r="D402" s="45">
        <v>402</v>
      </c>
      <c r="E402" s="45">
        <v>256</v>
      </c>
      <c r="F402" s="45" t="s">
        <v>46</v>
      </c>
      <c r="G402" s="45" t="s">
        <v>60</v>
      </c>
      <c r="H402" s="50" t="s">
        <v>8</v>
      </c>
      <c r="I402" s="51">
        <v>384</v>
      </c>
      <c r="J402" s="80"/>
      <c r="K4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384 DA</v>
      </c>
      <c r="L402" s="48">
        <v>44720</v>
      </c>
      <c r="M402" s="48">
        <v>44721</v>
      </c>
      <c r="N402" s="49" t="s">
        <v>283</v>
      </c>
      <c r="O402" s="45">
        <v>1</v>
      </c>
      <c r="P402" s="80" t="s">
        <v>494</v>
      </c>
      <c r="Q402" s="24"/>
      <c r="R402" s="24" t="s">
        <v>24</v>
      </c>
      <c r="S402" s="114"/>
      <c r="T402" s="45"/>
      <c r="U402" s="48"/>
      <c r="V402" s="48"/>
      <c r="W402" s="27"/>
    </row>
    <row r="403" spans="1:23" ht="60" hidden="1" customHeight="1" x14ac:dyDescent="0.25">
      <c r="A403" s="45" t="str">
        <f>CONCATENATE(Tabla2[[#This Row],[id_solicitud]],Tabla2[[#This Row],[tipo]])</f>
        <v>247Proposicion</v>
      </c>
      <c r="B403" s="45">
        <f>COUNTIF($A$2:A403,A403)</f>
        <v>1</v>
      </c>
      <c r="C403" s="45" t="str">
        <f>Tabla2[[#This Row],[(id_solicitud-tipo_documento)]]&amp;B403</f>
        <v>247Proposicion1</v>
      </c>
      <c r="D403" s="45">
        <v>403</v>
      </c>
      <c r="E403" s="45">
        <v>247</v>
      </c>
      <c r="F403" s="45" t="s">
        <v>46</v>
      </c>
      <c r="G403" s="45" t="s">
        <v>60</v>
      </c>
      <c r="H403" s="50" t="s">
        <v>6</v>
      </c>
      <c r="I403" s="51">
        <v>385</v>
      </c>
      <c r="J403" s="80"/>
      <c r="K4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385 APR</v>
      </c>
      <c r="L403" s="48">
        <v>44720</v>
      </c>
      <c r="M403" s="48">
        <v>44720</v>
      </c>
      <c r="N403" s="49" t="s">
        <v>274</v>
      </c>
      <c r="O403" s="45">
        <v>1</v>
      </c>
      <c r="P403" s="80" t="s">
        <v>494</v>
      </c>
      <c r="Q403" s="24"/>
      <c r="R403" s="24" t="s">
        <v>24</v>
      </c>
      <c r="S403" s="114"/>
      <c r="T403" s="45"/>
      <c r="U403" s="48"/>
      <c r="V403" s="48"/>
      <c r="W403" s="27"/>
    </row>
    <row r="404" spans="1:23" ht="60" hidden="1" customHeight="1" x14ac:dyDescent="0.25">
      <c r="A404" s="45" t="str">
        <f>CONCATENATE(Tabla2[[#This Row],[id_solicitud]],Tabla2[[#This Row],[tipo]])</f>
        <v>239Oficio_Solicitud</v>
      </c>
      <c r="B404" s="45">
        <f>COUNTIF($A$2:A404,A404)</f>
        <v>1</v>
      </c>
      <c r="C404" s="45" t="str">
        <f>Tabla2[[#This Row],[(id_solicitud-tipo_documento)]]&amp;B404</f>
        <v>239Oficio_Solicitud1</v>
      </c>
      <c r="D404" s="45">
        <v>405</v>
      </c>
      <c r="E404" s="45">
        <v>239</v>
      </c>
      <c r="F404" s="45" t="s">
        <v>53</v>
      </c>
      <c r="G404" s="45" t="s">
        <v>40</v>
      </c>
      <c r="H404" s="50" t="s">
        <v>541</v>
      </c>
      <c r="I404" s="51">
        <v>386</v>
      </c>
      <c r="J404" s="80"/>
      <c r="K4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386 DOP_FETCovid19</v>
      </c>
      <c r="L404" s="48">
        <v>44707</v>
      </c>
      <c r="M404" s="48">
        <v>44708</v>
      </c>
      <c r="N404" s="49" t="s">
        <v>267</v>
      </c>
      <c r="O404" s="45"/>
      <c r="P404" s="80" t="s">
        <v>516</v>
      </c>
      <c r="Q404" s="48"/>
      <c r="R404" s="45"/>
      <c r="S404" s="114"/>
      <c r="T404" s="52"/>
      <c r="U404" s="48"/>
      <c r="V404" s="48"/>
      <c r="W404" s="27"/>
    </row>
    <row r="405" spans="1:23" ht="60" hidden="1" customHeight="1" x14ac:dyDescent="0.25">
      <c r="A405" s="45" t="str">
        <f>CONCATENATE(Tabla2[[#This Row],[id_solicitud]],Tabla2[[#This Row],[tipo]])</f>
        <v>299Oficio_Solicitud</v>
      </c>
      <c r="B405" s="45">
        <f>COUNTIF($A$2:A405,A405)</f>
        <v>1</v>
      </c>
      <c r="C405" s="45" t="str">
        <f>Tabla2[[#This Row],[(id_solicitud-tipo_documento)]]&amp;B405</f>
        <v>299Oficio_Solicitud1</v>
      </c>
      <c r="D405" s="45">
        <v>406</v>
      </c>
      <c r="E405" s="45">
        <v>299</v>
      </c>
      <c r="F405" s="45" t="s">
        <v>53</v>
      </c>
      <c r="G405" s="45" t="s">
        <v>1258</v>
      </c>
      <c r="H405" s="50" t="s">
        <v>10</v>
      </c>
      <c r="I405" s="51">
        <v>386</v>
      </c>
      <c r="J405" s="80"/>
      <c r="K4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386 DAP</v>
      </c>
      <c r="L405" s="48">
        <v>44755</v>
      </c>
      <c r="M405" s="48">
        <v>44756</v>
      </c>
      <c r="N405" s="49" t="s">
        <v>312</v>
      </c>
      <c r="O405" s="45">
        <v>1</v>
      </c>
      <c r="P405" s="80" t="s">
        <v>494</v>
      </c>
      <c r="Q405" s="48"/>
      <c r="R405" s="45"/>
      <c r="S405" s="114"/>
      <c r="T405" s="52"/>
      <c r="U405" s="48"/>
      <c r="V405" s="48"/>
      <c r="W405" s="27"/>
    </row>
    <row r="406" spans="1:23" ht="60" hidden="1" customHeight="1" x14ac:dyDescent="0.25">
      <c r="A406" s="45" t="str">
        <f>CONCATENATE(Tabla2[[#This Row],[id_solicitud]],Tabla2[[#This Row],[tipo]])</f>
        <v>219Proposicion</v>
      </c>
      <c r="B406" s="45">
        <f>COUNTIF($A$2:A406,A406)</f>
        <v>1</v>
      </c>
      <c r="C406" s="45" t="str">
        <f>Tabla2[[#This Row],[(id_solicitud-tipo_documento)]]&amp;B406</f>
        <v>219Proposicion1</v>
      </c>
      <c r="D406" s="45">
        <v>407</v>
      </c>
      <c r="E406" s="45">
        <v>219</v>
      </c>
      <c r="F406" s="45" t="s">
        <v>46</v>
      </c>
      <c r="G406" s="45" t="s">
        <v>40</v>
      </c>
      <c r="H406" s="50" t="s">
        <v>18</v>
      </c>
      <c r="I406" s="51">
        <v>387</v>
      </c>
      <c r="J406" s="80"/>
      <c r="K4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387 DGOP</v>
      </c>
      <c r="L406" s="48">
        <v>44721</v>
      </c>
      <c r="M406" s="48">
        <v>44722</v>
      </c>
      <c r="N406" s="49" t="s">
        <v>247</v>
      </c>
      <c r="O406" s="45"/>
      <c r="P406" s="80" t="s">
        <v>498</v>
      </c>
      <c r="Q406" s="24"/>
      <c r="R406" s="24" t="s">
        <v>24</v>
      </c>
      <c r="S406" s="114"/>
      <c r="T406" s="45"/>
      <c r="U406" s="48"/>
      <c r="V406" s="48"/>
      <c r="W406" s="27"/>
    </row>
    <row r="407" spans="1:23" ht="60" hidden="1" customHeight="1" x14ac:dyDescent="0.25">
      <c r="A407" s="45" t="str">
        <f>CONCATENATE(Tabla2[[#This Row],[id_solicitud]],Tabla2[[#This Row],[tipo]])</f>
        <v>306Oficio_Solicitud</v>
      </c>
      <c r="B407" s="45">
        <f>COUNTIF($A$2:A407,A407)</f>
        <v>1</v>
      </c>
      <c r="C407" s="45" t="str">
        <f>Tabla2[[#This Row],[(id_solicitud-tipo_documento)]]&amp;B407</f>
        <v>306Oficio_Solicitud1</v>
      </c>
      <c r="D407" s="45">
        <v>408</v>
      </c>
      <c r="E407" s="45">
        <v>306</v>
      </c>
      <c r="F407" s="45" t="s">
        <v>53</v>
      </c>
      <c r="G407" s="45" t="s">
        <v>1258</v>
      </c>
      <c r="H407" s="50" t="s">
        <v>581</v>
      </c>
      <c r="I407" s="51">
        <v>387</v>
      </c>
      <c r="J407" s="80"/>
      <c r="K4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387 DAP-DAP_FETCovid19</v>
      </c>
      <c r="L407" s="48">
        <v>44755</v>
      </c>
      <c r="M407" s="48">
        <v>44756</v>
      </c>
      <c r="N407" s="49" t="s">
        <v>318</v>
      </c>
      <c r="O407" s="45">
        <v>1</v>
      </c>
      <c r="P407" s="80" t="s">
        <v>494</v>
      </c>
      <c r="Q407" s="48"/>
      <c r="R407" s="45"/>
      <c r="S407" s="114"/>
      <c r="T407" s="52"/>
      <c r="U407" s="48"/>
      <c r="V407" s="48"/>
      <c r="W407" s="27"/>
    </row>
    <row r="408" spans="1:23" ht="60" hidden="1" customHeight="1" x14ac:dyDescent="0.25">
      <c r="A408" s="45" t="str">
        <f>CONCATENATE(Tabla2[[#This Row],[id_solicitud]],Tabla2[[#This Row],[tipo]])</f>
        <v>76Decreto</v>
      </c>
      <c r="B408" s="45">
        <f>COUNTIF($A$2:A408,A408)</f>
        <v>1</v>
      </c>
      <c r="C408" s="45" t="str">
        <f>Tabla2[[#This Row],[(id_solicitud-tipo_documento)]]&amp;B408</f>
        <v>76Decreto1</v>
      </c>
      <c r="D408" s="45">
        <v>409</v>
      </c>
      <c r="E408" s="45">
        <v>76</v>
      </c>
      <c r="F408" s="45" t="s">
        <v>47</v>
      </c>
      <c r="G408" s="45" t="s">
        <v>43</v>
      </c>
      <c r="H408" s="50" t="s">
        <v>538</v>
      </c>
      <c r="I408" s="51">
        <v>389</v>
      </c>
      <c r="J408" s="80"/>
      <c r="K4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389 DV_FETCovid19</v>
      </c>
      <c r="L408" s="48">
        <v>44630</v>
      </c>
      <c r="M408" s="48"/>
      <c r="N408" s="49" t="s">
        <v>820</v>
      </c>
      <c r="O408" s="45"/>
      <c r="P408" s="80"/>
      <c r="Q408" s="48"/>
      <c r="R408" s="45"/>
      <c r="S408" s="115">
        <v>155</v>
      </c>
      <c r="T408" s="20">
        <v>44621</v>
      </c>
      <c r="U408" s="20">
        <v>44641</v>
      </c>
      <c r="V408" s="20">
        <v>44641</v>
      </c>
      <c r="W408" s="27"/>
    </row>
    <row r="409" spans="1:23" ht="60" hidden="1" customHeight="1" x14ac:dyDescent="0.25">
      <c r="A409" s="45" t="str">
        <f>CONCATENATE(Tabla2[[#This Row],[id_solicitud]],Tabla2[[#This Row],[tipo]])</f>
        <v>252Proposicion</v>
      </c>
      <c r="B409" s="45">
        <f>COUNTIF($A$2:A409,A409)</f>
        <v>1</v>
      </c>
      <c r="C409" s="45" t="str">
        <f>Tabla2[[#This Row],[(id_solicitud-tipo_documento)]]&amp;B409</f>
        <v>252Proposicion1</v>
      </c>
      <c r="D409" s="45">
        <v>410</v>
      </c>
      <c r="E409" s="45">
        <v>252</v>
      </c>
      <c r="F409" s="45" t="s">
        <v>46</v>
      </c>
      <c r="G409" s="45" t="s">
        <v>1258</v>
      </c>
      <c r="H409" s="50" t="s">
        <v>535</v>
      </c>
      <c r="I409" s="51">
        <v>395</v>
      </c>
      <c r="J409" s="80"/>
      <c r="K4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395 DOH_FETCovid19</v>
      </c>
      <c r="L409" s="48">
        <v>44727</v>
      </c>
      <c r="M409" s="48">
        <v>44727</v>
      </c>
      <c r="N409" s="49" t="s">
        <v>667</v>
      </c>
      <c r="O409" s="45">
        <v>4</v>
      </c>
      <c r="P409" s="80" t="s">
        <v>494</v>
      </c>
      <c r="Q409" s="24"/>
      <c r="R409" s="24" t="s">
        <v>24</v>
      </c>
      <c r="S409" s="114"/>
      <c r="T409" s="45"/>
      <c r="U409" s="48"/>
      <c r="V409" s="48"/>
      <c r="W409" s="27"/>
    </row>
    <row r="410" spans="1:23" ht="60" hidden="1" customHeight="1" x14ac:dyDescent="0.25">
      <c r="A410" s="45" t="str">
        <f>CONCATENATE(Tabla2[[#This Row],[id_solicitud]],Tabla2[[#This Row],[tipo]])</f>
        <v>244Proposicion</v>
      </c>
      <c r="B410" s="45">
        <f>COUNTIF($A$2:A410,A410)</f>
        <v>1</v>
      </c>
      <c r="C410" s="45" t="str">
        <f>Tabla2[[#This Row],[(id_solicitud-tipo_documento)]]&amp;B410</f>
        <v>244Proposicion1</v>
      </c>
      <c r="D410" s="45">
        <v>411</v>
      </c>
      <c r="E410" s="45">
        <v>244</v>
      </c>
      <c r="F410" s="45" t="s">
        <v>46</v>
      </c>
      <c r="G410" s="45" t="s">
        <v>60</v>
      </c>
      <c r="H410" s="50" t="s">
        <v>26</v>
      </c>
      <c r="I410" s="51">
        <v>397</v>
      </c>
      <c r="J410" s="80"/>
      <c r="K4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397 DV</v>
      </c>
      <c r="L410" s="48">
        <v>44728</v>
      </c>
      <c r="M410" s="48">
        <v>44729</v>
      </c>
      <c r="N410" s="49" t="s">
        <v>665</v>
      </c>
      <c r="O410" s="45">
        <f>30+57</f>
        <v>87</v>
      </c>
      <c r="P410" s="80" t="s">
        <v>494</v>
      </c>
      <c r="Q410" s="24"/>
      <c r="R410" s="24" t="s">
        <v>24</v>
      </c>
      <c r="S410" s="114"/>
      <c r="T410" s="45"/>
      <c r="U410" s="48"/>
      <c r="V410" s="48"/>
      <c r="W410" s="27"/>
    </row>
    <row r="411" spans="1:23" ht="60" hidden="1" customHeight="1" x14ac:dyDescent="0.25">
      <c r="A411" s="45" t="str">
        <f>CONCATENATE(Tabla2[[#This Row],[id_solicitud]],Tabla2[[#This Row],[tipo]])</f>
        <v>268Proposicion</v>
      </c>
      <c r="B411" s="45">
        <f>COUNTIF($A$2:A411,A411)</f>
        <v>1</v>
      </c>
      <c r="C411" s="45" t="str">
        <f>Tabla2[[#This Row],[(id_solicitud-tipo_documento)]]&amp;B411</f>
        <v>268Proposicion1</v>
      </c>
      <c r="D411" s="45">
        <v>412</v>
      </c>
      <c r="E411" s="45">
        <v>268</v>
      </c>
      <c r="F411" s="45" t="s">
        <v>46</v>
      </c>
      <c r="G411" s="45" t="s">
        <v>60</v>
      </c>
      <c r="H411" s="50" t="s">
        <v>541</v>
      </c>
      <c r="I411" s="51">
        <v>399</v>
      </c>
      <c r="J411" s="80"/>
      <c r="K4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399 DOP_FETCovid19</v>
      </c>
      <c r="L411" s="48">
        <v>44729</v>
      </c>
      <c r="M411" s="48">
        <v>44732</v>
      </c>
      <c r="N411" s="49" t="s">
        <v>290</v>
      </c>
      <c r="O411" s="45">
        <v>2</v>
      </c>
      <c r="P411" s="80" t="s">
        <v>494</v>
      </c>
      <c r="Q411" s="24"/>
      <c r="R411" s="24" t="s">
        <v>24</v>
      </c>
      <c r="S411" s="114"/>
      <c r="T411" s="45"/>
      <c r="U411" s="48"/>
      <c r="V411" s="48"/>
      <c r="W411" s="27"/>
    </row>
    <row r="412" spans="1:23" ht="60" hidden="1" customHeight="1" x14ac:dyDescent="0.25">
      <c r="A412" s="45" t="str">
        <f>CONCATENATE(Tabla2[[#This Row],[id_solicitud]],Tabla2[[#This Row],[tipo]])</f>
        <v>120Resolucion</v>
      </c>
      <c r="B412" s="45">
        <f>COUNTIF($A$2:A412,A412)</f>
        <v>1</v>
      </c>
      <c r="C412" s="45" t="str">
        <f>Tabla2[[#This Row],[(id_solicitud-tipo_documento)]]&amp;B412</f>
        <v>120Resolucion1</v>
      </c>
      <c r="D412" s="45">
        <v>413</v>
      </c>
      <c r="E412" s="45">
        <v>120</v>
      </c>
      <c r="F412" s="45" t="s">
        <v>48</v>
      </c>
      <c r="G412" s="45"/>
      <c r="H412" s="50" t="s">
        <v>10</v>
      </c>
      <c r="I412" s="51">
        <v>400</v>
      </c>
      <c r="J412" s="80"/>
      <c r="K4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412" s="48">
        <v>44643</v>
      </c>
      <c r="M412" s="48"/>
      <c r="N412" s="49"/>
      <c r="O412" s="45"/>
      <c r="P412" s="80"/>
      <c r="Q412" s="48"/>
      <c r="R412" s="45"/>
      <c r="S412" s="114"/>
      <c r="T412" s="45"/>
      <c r="U412" s="48"/>
      <c r="V412" s="48"/>
      <c r="W412" s="27"/>
    </row>
    <row r="413" spans="1:23" ht="60" hidden="1" customHeight="1" x14ac:dyDescent="0.25">
      <c r="A413" s="45" t="str">
        <f>CONCATENATE(Tabla2[[#This Row],[id_solicitud]],Tabla2[[#This Row],[tipo]])</f>
        <v>237Proposicion</v>
      </c>
      <c r="B413" s="45">
        <f>COUNTIF($A$2:A413,A413)</f>
        <v>1</v>
      </c>
      <c r="C413" s="45" t="str">
        <f>Tabla2[[#This Row],[(id_solicitud-tipo_documento)]]&amp;B413</f>
        <v>237Proposicion1</v>
      </c>
      <c r="D413" s="45">
        <v>414</v>
      </c>
      <c r="E413" s="45">
        <v>237</v>
      </c>
      <c r="F413" s="45" t="s">
        <v>46</v>
      </c>
      <c r="G413" s="45" t="s">
        <v>60</v>
      </c>
      <c r="H413" s="50" t="s">
        <v>8</v>
      </c>
      <c r="I413" s="51">
        <v>400</v>
      </c>
      <c r="J413" s="80"/>
      <c r="K4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400 DA</v>
      </c>
      <c r="L413" s="48">
        <v>44729</v>
      </c>
      <c r="M413" s="48">
        <v>44729</v>
      </c>
      <c r="N413" s="49" t="s">
        <v>265</v>
      </c>
      <c r="O413" s="45">
        <v>6</v>
      </c>
      <c r="P413" s="80" t="s">
        <v>494</v>
      </c>
      <c r="Q413" s="24"/>
      <c r="R413" s="24" t="s">
        <v>24</v>
      </c>
      <c r="S413" s="114"/>
      <c r="T413" s="45"/>
      <c r="U413" s="48"/>
      <c r="V413" s="48"/>
      <c r="W413" s="27"/>
    </row>
    <row r="414" spans="1:23" ht="60" hidden="1" customHeight="1" x14ac:dyDescent="0.25">
      <c r="A414" s="45" t="str">
        <f>CONCATENATE(Tabla2[[#This Row],[id_solicitud]],Tabla2[[#This Row],[tipo]])</f>
        <v>67Proposicion</v>
      </c>
      <c r="B414" s="45">
        <f>COUNTIF($A$2:A414,A414)</f>
        <v>1</v>
      </c>
      <c r="C414" s="45" t="str">
        <f>Tabla2[[#This Row],[(id_solicitud-tipo_documento)]]&amp;B414</f>
        <v>67Proposicion1</v>
      </c>
      <c r="D414" s="45">
        <v>415</v>
      </c>
      <c r="E414" s="45">
        <v>67</v>
      </c>
      <c r="F414" s="45" t="s">
        <v>46</v>
      </c>
      <c r="G414" s="45" t="s">
        <v>42</v>
      </c>
      <c r="H414" s="50" t="s">
        <v>16</v>
      </c>
      <c r="I414" s="51">
        <v>401</v>
      </c>
      <c r="J414" s="80"/>
      <c r="K4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401 DGC</v>
      </c>
      <c r="L414" s="48">
        <v>44659</v>
      </c>
      <c r="M414" s="48">
        <v>44593</v>
      </c>
      <c r="N414" s="49" t="s">
        <v>124</v>
      </c>
      <c r="O414" s="45"/>
      <c r="P414" s="80" t="s">
        <v>497</v>
      </c>
      <c r="Q414" s="24"/>
      <c r="R414" s="23" t="s">
        <v>12</v>
      </c>
      <c r="S414" s="114"/>
      <c r="T414" s="45"/>
      <c r="U414" s="48"/>
      <c r="V414" s="48"/>
      <c r="W414" s="27"/>
    </row>
    <row r="415" spans="1:23" ht="60" hidden="1" customHeight="1" x14ac:dyDescent="0.25">
      <c r="A415" s="45" t="str">
        <f>CONCATENATE(Tabla2[[#This Row],[id_solicitud]],Tabla2[[#This Row],[tipo]])</f>
        <v>111Resolucion</v>
      </c>
      <c r="B415" s="45">
        <f>COUNTIF($A$2:A415,A415)</f>
        <v>1</v>
      </c>
      <c r="C415" s="45" t="str">
        <f>Tabla2[[#This Row],[(id_solicitud-tipo_documento)]]&amp;B415</f>
        <v>111Resolucion1</v>
      </c>
      <c r="D415" s="45">
        <v>416</v>
      </c>
      <c r="E415" s="45">
        <v>111</v>
      </c>
      <c r="F415" s="45" t="s">
        <v>48</v>
      </c>
      <c r="G415" s="45"/>
      <c r="H415" s="50" t="s">
        <v>544</v>
      </c>
      <c r="I415" s="51">
        <v>401</v>
      </c>
      <c r="J415" s="80"/>
      <c r="K4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415" s="48">
        <v>44643</v>
      </c>
      <c r="M415" s="48"/>
      <c r="N415" s="49"/>
      <c r="O415" s="45"/>
      <c r="P415" s="80"/>
      <c r="Q415" s="48"/>
      <c r="R415" s="45"/>
      <c r="S415" s="114"/>
      <c r="T415" s="45"/>
      <c r="U415" s="48"/>
      <c r="V415" s="48"/>
      <c r="W415" s="27"/>
    </row>
    <row r="416" spans="1:23" ht="60" hidden="1" customHeight="1" x14ac:dyDescent="0.25">
      <c r="A416" s="45" t="str">
        <f>CONCATENATE(Tabla2[[#This Row],[id_solicitud]],Tabla2[[#This Row],[tipo]])</f>
        <v>265Proposicion</v>
      </c>
      <c r="B416" s="45">
        <f>COUNTIF($A$2:A416,A416)</f>
        <v>1</v>
      </c>
      <c r="C416" s="45" t="str">
        <f>Tabla2[[#This Row],[(id_solicitud-tipo_documento)]]&amp;B416</f>
        <v>265Proposicion1</v>
      </c>
      <c r="D416" s="45">
        <v>417</v>
      </c>
      <c r="E416" s="45">
        <v>265</v>
      </c>
      <c r="F416" s="45" t="s">
        <v>46</v>
      </c>
      <c r="G416" s="45" t="s">
        <v>1258</v>
      </c>
      <c r="H416" s="50" t="s">
        <v>22</v>
      </c>
      <c r="I416" s="51">
        <v>401</v>
      </c>
      <c r="J416" s="80"/>
      <c r="K4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401 DOP</v>
      </c>
      <c r="L416" s="48">
        <v>44729</v>
      </c>
      <c r="M416" s="48">
        <v>44732</v>
      </c>
      <c r="N416" s="49" t="s">
        <v>287</v>
      </c>
      <c r="O416" s="45">
        <v>1</v>
      </c>
      <c r="P416" s="80" t="s">
        <v>494</v>
      </c>
      <c r="Q416" s="24"/>
      <c r="R416" s="24" t="s">
        <v>24</v>
      </c>
      <c r="S416" s="114"/>
      <c r="T416" s="45"/>
      <c r="U416" s="48"/>
      <c r="V416" s="48"/>
      <c r="W416" s="27"/>
    </row>
    <row r="417" spans="1:23" ht="60" hidden="1" customHeight="1" x14ac:dyDescent="0.25">
      <c r="A417" s="45" t="str">
        <f>CONCATENATE(Tabla2[[#This Row],[id_solicitud]],Tabla2[[#This Row],[tipo]])</f>
        <v>313Oficio_Solicitud</v>
      </c>
      <c r="B417" s="45">
        <f>COUNTIF($A$2:A417,A417)</f>
        <v>1</v>
      </c>
      <c r="C417" s="45" t="str">
        <f>Tabla2[[#This Row],[(id_solicitud-tipo_documento)]]&amp;B417</f>
        <v>313Oficio_Solicitud1</v>
      </c>
      <c r="D417" s="45">
        <v>418</v>
      </c>
      <c r="E417" s="45">
        <v>313</v>
      </c>
      <c r="F417" s="45" t="s">
        <v>53</v>
      </c>
      <c r="G417" s="45" t="s">
        <v>61</v>
      </c>
      <c r="H417" s="50" t="s">
        <v>10</v>
      </c>
      <c r="I417" s="51">
        <v>401</v>
      </c>
      <c r="J417" s="80"/>
      <c r="K4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401 DAP</v>
      </c>
      <c r="L417" s="48">
        <v>44764</v>
      </c>
      <c r="M417" s="48">
        <v>44764</v>
      </c>
      <c r="N417" s="49" t="s">
        <v>325</v>
      </c>
      <c r="O417" s="45">
        <f>9+1+29</f>
        <v>39</v>
      </c>
      <c r="P417" s="80" t="s">
        <v>494</v>
      </c>
      <c r="Q417" s="48">
        <v>44770</v>
      </c>
      <c r="R417" s="45"/>
      <c r="S417" s="114"/>
      <c r="T417" s="52"/>
      <c r="U417" s="48"/>
      <c r="V417" s="48"/>
      <c r="W417" s="27"/>
    </row>
    <row r="418" spans="1:23" ht="60" hidden="1" customHeight="1" x14ac:dyDescent="0.25">
      <c r="A418" s="45" t="str">
        <f>CONCATENATE(Tabla2[[#This Row],[id_solicitud]],Tabla2[[#This Row],[tipo]])</f>
        <v>60Decreto</v>
      </c>
      <c r="B418" s="45">
        <f>COUNTIF($A$2:A418,A418)</f>
        <v>1</v>
      </c>
      <c r="C418" s="45" t="str">
        <f>Tabla2[[#This Row],[(id_solicitud-tipo_documento)]]&amp;B418</f>
        <v>60Decreto1</v>
      </c>
      <c r="D418" s="45">
        <v>419</v>
      </c>
      <c r="E418" s="45">
        <v>60</v>
      </c>
      <c r="F418" s="45" t="s">
        <v>47</v>
      </c>
      <c r="G418" s="45" t="s">
        <v>60</v>
      </c>
      <c r="H418" s="50" t="s">
        <v>541</v>
      </c>
      <c r="I418" s="51">
        <v>402</v>
      </c>
      <c r="J418" s="80"/>
      <c r="K4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402 DOP_FETCovid19</v>
      </c>
      <c r="L418" s="48">
        <v>44630</v>
      </c>
      <c r="M418" s="48"/>
      <c r="N418" s="49" t="s">
        <v>790</v>
      </c>
      <c r="O418" s="45"/>
      <c r="P418" s="80"/>
      <c r="Q418" s="48"/>
      <c r="R418" s="45"/>
      <c r="S418" s="115">
        <v>120</v>
      </c>
      <c r="T418" s="20">
        <v>44612</v>
      </c>
      <c r="U418" s="20">
        <v>44635</v>
      </c>
      <c r="V418" s="20">
        <v>44635</v>
      </c>
      <c r="W418" s="27"/>
    </row>
    <row r="419" spans="1:23" ht="60" hidden="1" customHeight="1" x14ac:dyDescent="0.25">
      <c r="A419" s="45" t="str">
        <f>CONCATENATE(Tabla2[[#This Row],[id_solicitud]],Tabla2[[#This Row],[tipo]])</f>
        <v>262Proposicion</v>
      </c>
      <c r="B419" s="45">
        <f>COUNTIF($A$2:A419,A419)</f>
        <v>1</v>
      </c>
      <c r="C419" s="45" t="str">
        <f>Tabla2[[#This Row],[(id_solicitud-tipo_documento)]]&amp;B419</f>
        <v>262Proposicion1</v>
      </c>
      <c r="D419" s="45">
        <v>420</v>
      </c>
      <c r="E419" s="45">
        <v>262</v>
      </c>
      <c r="F419" s="45" t="s">
        <v>46</v>
      </c>
      <c r="G419" s="45" t="s">
        <v>60</v>
      </c>
      <c r="H419" s="50" t="s">
        <v>541</v>
      </c>
      <c r="I419" s="51">
        <v>402</v>
      </c>
      <c r="J419" s="80"/>
      <c r="K4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402 DOP_FETCovid19</v>
      </c>
      <c r="L419" s="48">
        <v>44729</v>
      </c>
      <c r="M419" s="48">
        <v>44732</v>
      </c>
      <c r="N419" s="49" t="s">
        <v>284</v>
      </c>
      <c r="O419" s="45">
        <v>7</v>
      </c>
      <c r="P419" s="80" t="s">
        <v>494</v>
      </c>
      <c r="Q419" s="24"/>
      <c r="R419" s="24" t="s">
        <v>24</v>
      </c>
      <c r="S419" s="114"/>
      <c r="T419" s="45"/>
      <c r="U419" s="48"/>
      <c r="V419" s="48"/>
      <c r="W419" s="27"/>
    </row>
    <row r="420" spans="1:23" ht="60" hidden="1" customHeight="1" x14ac:dyDescent="0.25">
      <c r="A420" s="45" t="str">
        <f>CONCATENATE(Tabla2[[#This Row],[id_solicitud]],Tabla2[[#This Row],[tipo]])</f>
        <v>150Resolucion</v>
      </c>
      <c r="B420" s="45">
        <f>COUNTIF($A$2:A420,A420)</f>
        <v>1</v>
      </c>
      <c r="C420" s="45" t="str">
        <f>Tabla2[[#This Row],[(id_solicitud-tipo_documento)]]&amp;B420</f>
        <v>150Resolucion1</v>
      </c>
      <c r="D420" s="45">
        <v>421</v>
      </c>
      <c r="E420" s="45">
        <v>150</v>
      </c>
      <c r="F420" s="45" t="s">
        <v>48</v>
      </c>
      <c r="G420" s="45"/>
      <c r="H420" s="50" t="s">
        <v>22</v>
      </c>
      <c r="I420" s="51">
        <v>403</v>
      </c>
      <c r="J420" s="80"/>
      <c r="K4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420" s="48">
        <v>44711</v>
      </c>
      <c r="M420" s="48"/>
      <c r="N420" s="49"/>
      <c r="O420" s="45"/>
      <c r="P420" s="80"/>
      <c r="Q420" s="48"/>
      <c r="R420" s="45"/>
      <c r="S420" s="114"/>
      <c r="T420" s="45"/>
      <c r="U420" s="48"/>
      <c r="V420" s="48"/>
      <c r="W420" s="27"/>
    </row>
    <row r="421" spans="1:23" ht="60" hidden="1" customHeight="1" x14ac:dyDescent="0.25">
      <c r="A421" s="45" t="str">
        <f>CONCATENATE(Tabla2[[#This Row],[id_solicitud]],Tabla2[[#This Row],[tipo]])</f>
        <v>238Resolucion</v>
      </c>
      <c r="B421" s="45">
        <f>COUNTIF($A$2:A421,A421)</f>
        <v>1</v>
      </c>
      <c r="C421" s="45" t="str">
        <f>Tabla2[[#This Row],[(id_solicitud-tipo_documento)]]&amp;B421</f>
        <v>238Resolucion1</v>
      </c>
      <c r="D421" s="45">
        <v>422</v>
      </c>
      <c r="E421" s="45">
        <v>238</v>
      </c>
      <c r="F421" s="45" t="s">
        <v>48</v>
      </c>
      <c r="G421" s="45"/>
      <c r="H421" s="50" t="s">
        <v>547</v>
      </c>
      <c r="I421" s="51">
        <v>403</v>
      </c>
      <c r="J421" s="80"/>
      <c r="K4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421" s="48">
        <v>44740</v>
      </c>
      <c r="M421" s="48"/>
      <c r="N421" s="49"/>
      <c r="O421" s="45"/>
      <c r="P421" s="80"/>
      <c r="Q421" s="48"/>
      <c r="R421" s="45"/>
      <c r="S421" s="114"/>
      <c r="T421" s="45"/>
      <c r="U421" s="48"/>
      <c r="V421" s="48"/>
      <c r="W421" s="27"/>
    </row>
    <row r="422" spans="1:23" ht="60" hidden="1" customHeight="1" x14ac:dyDescent="0.25">
      <c r="A422" s="45" t="str">
        <f>CONCATENATE(Tabla2[[#This Row],[id_solicitud]],Tabla2[[#This Row],[tipo]])</f>
        <v>242Oficio_Solicitud</v>
      </c>
      <c r="B422" s="45">
        <f>COUNTIF($A$2:A422,A422)</f>
        <v>1</v>
      </c>
      <c r="C422" s="45" t="str">
        <f>Tabla2[[#This Row],[(id_solicitud-tipo_documento)]]&amp;B422</f>
        <v>242Oficio_Solicitud1</v>
      </c>
      <c r="D422" s="45">
        <v>423</v>
      </c>
      <c r="E422" s="45">
        <v>242</v>
      </c>
      <c r="F422" s="45" t="s">
        <v>53</v>
      </c>
      <c r="G422" s="45" t="s">
        <v>1258</v>
      </c>
      <c r="H422" s="50" t="s">
        <v>541</v>
      </c>
      <c r="I422" s="51">
        <v>403</v>
      </c>
      <c r="J422" s="80"/>
      <c r="K4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403 DOP_FETCovid19</v>
      </c>
      <c r="L422" s="48">
        <v>44711</v>
      </c>
      <c r="M422" s="48">
        <v>44712</v>
      </c>
      <c r="N422" s="49" t="s">
        <v>270</v>
      </c>
      <c r="O422" s="45">
        <v>1</v>
      </c>
      <c r="P422" s="80" t="s">
        <v>494</v>
      </c>
      <c r="Q422" s="48"/>
      <c r="R422" s="45"/>
      <c r="S422" s="114"/>
      <c r="T422" s="52"/>
      <c r="U422" s="48"/>
      <c r="V422" s="48"/>
      <c r="W422" s="27"/>
    </row>
    <row r="423" spans="1:23" ht="60" hidden="1" customHeight="1" x14ac:dyDescent="0.25">
      <c r="A423" s="45" t="str">
        <f>CONCATENATE(Tabla2[[#This Row],[id_solicitud]],Tabla2[[#This Row],[tipo]])</f>
        <v>267Proposicion</v>
      </c>
      <c r="B423" s="45">
        <f>COUNTIF($A$2:A423,A423)</f>
        <v>1</v>
      </c>
      <c r="C423" s="45" t="str">
        <f>Tabla2[[#This Row],[(id_solicitud-tipo_documento)]]&amp;B423</f>
        <v>267Proposicion1</v>
      </c>
      <c r="D423" s="45">
        <v>424</v>
      </c>
      <c r="E423" s="45">
        <v>267</v>
      </c>
      <c r="F423" s="45" t="s">
        <v>46</v>
      </c>
      <c r="G423" s="45" t="s">
        <v>1258</v>
      </c>
      <c r="H423" s="50" t="s">
        <v>10</v>
      </c>
      <c r="I423" s="51">
        <v>405</v>
      </c>
      <c r="J423" s="80"/>
      <c r="K4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405 DAP</v>
      </c>
      <c r="L423" s="48">
        <v>44732</v>
      </c>
      <c r="M423" s="48">
        <v>44732</v>
      </c>
      <c r="N423" s="49" t="s">
        <v>289</v>
      </c>
      <c r="O423" s="45">
        <v>3</v>
      </c>
      <c r="P423" s="80" t="s">
        <v>494</v>
      </c>
      <c r="Q423" s="24"/>
      <c r="R423" s="24" t="s">
        <v>24</v>
      </c>
      <c r="S423" s="114"/>
      <c r="T423" s="45"/>
      <c r="U423" s="48"/>
      <c r="V423" s="48"/>
      <c r="W423" s="27"/>
    </row>
    <row r="424" spans="1:23" ht="60" hidden="1" customHeight="1" x14ac:dyDescent="0.25">
      <c r="A424" s="45" t="str">
        <f>CONCATENATE(Tabla2[[#This Row],[id_solicitud]],Tabla2[[#This Row],[tipo]])</f>
        <v>241Proposicion</v>
      </c>
      <c r="B424" s="45">
        <f>COUNTIF($A$2:A424,A424)</f>
        <v>1</v>
      </c>
      <c r="C424" s="45" t="str">
        <f>Tabla2[[#This Row],[(id_solicitud-tipo_documento)]]&amp;B424</f>
        <v>241Proposicion1</v>
      </c>
      <c r="D424" s="45">
        <v>425</v>
      </c>
      <c r="E424" s="45">
        <v>241</v>
      </c>
      <c r="F424" s="45" t="s">
        <v>46</v>
      </c>
      <c r="G424" s="45" t="s">
        <v>60</v>
      </c>
      <c r="H424" s="50" t="s">
        <v>16</v>
      </c>
      <c r="I424" s="51">
        <v>407</v>
      </c>
      <c r="J424" s="80"/>
      <c r="K4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407 DGC</v>
      </c>
      <c r="L424" s="48">
        <v>44734</v>
      </c>
      <c r="M424" s="48">
        <v>44734</v>
      </c>
      <c r="N424" s="49" t="s">
        <v>269</v>
      </c>
      <c r="O424" s="45">
        <v>21</v>
      </c>
      <c r="P424" s="80" t="s">
        <v>494</v>
      </c>
      <c r="Q424" s="24"/>
      <c r="R424" s="24" t="s">
        <v>24</v>
      </c>
      <c r="S424" s="114"/>
      <c r="T424" s="45"/>
      <c r="U424" s="48"/>
      <c r="V424" s="48"/>
      <c r="W424" s="27"/>
    </row>
    <row r="425" spans="1:23" ht="60" hidden="1" customHeight="1" x14ac:dyDescent="0.25">
      <c r="A425" s="45" t="str">
        <f>CONCATENATE(Tabla2[[#This Row],[id_solicitud]],Tabla2[[#This Row],[tipo]])</f>
        <v>272Proposicion</v>
      </c>
      <c r="B425" s="45">
        <f>COUNTIF($A$2:A425,A425)</f>
        <v>1</v>
      </c>
      <c r="C425" s="45" t="str">
        <f>Tabla2[[#This Row],[(id_solicitud-tipo_documento)]]&amp;B425</f>
        <v>272Proposicion1</v>
      </c>
      <c r="D425" s="45">
        <v>426</v>
      </c>
      <c r="E425" s="45">
        <v>272</v>
      </c>
      <c r="F425" s="45" t="s">
        <v>46</v>
      </c>
      <c r="G425" s="45" t="s">
        <v>1258</v>
      </c>
      <c r="H425" s="50" t="s">
        <v>16</v>
      </c>
      <c r="I425" s="51">
        <v>408</v>
      </c>
      <c r="J425" s="80"/>
      <c r="K4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408 DGC</v>
      </c>
      <c r="L425" s="48">
        <v>44734</v>
      </c>
      <c r="M425" s="48">
        <v>44734</v>
      </c>
      <c r="N425" s="49" t="s">
        <v>294</v>
      </c>
      <c r="O425" s="45">
        <v>37</v>
      </c>
      <c r="P425" s="80" t="s">
        <v>494</v>
      </c>
      <c r="Q425" s="24"/>
      <c r="R425" s="24" t="s">
        <v>24</v>
      </c>
      <c r="S425" s="114"/>
      <c r="T425" s="45"/>
      <c r="U425" s="48"/>
      <c r="V425" s="48"/>
      <c r="W425" s="27"/>
    </row>
    <row r="426" spans="1:23" ht="60" hidden="1" customHeight="1" x14ac:dyDescent="0.25">
      <c r="A426" s="45" t="str">
        <f>CONCATENATE(Tabla2[[#This Row],[id_solicitud]],Tabla2[[#This Row],[tipo]])</f>
        <v>314Oficio_Solicitud</v>
      </c>
      <c r="B426" s="45">
        <f>COUNTIF($A$2:A426,A426)</f>
        <v>1</v>
      </c>
      <c r="C426" s="45" t="str">
        <f>Tabla2[[#This Row],[(id_solicitud-tipo_documento)]]&amp;B426</f>
        <v>314Oficio_Solicitud1</v>
      </c>
      <c r="D426" s="45">
        <v>427</v>
      </c>
      <c r="E426" s="45">
        <v>314</v>
      </c>
      <c r="F426" s="45" t="s">
        <v>53</v>
      </c>
      <c r="G426" s="45" t="s">
        <v>60</v>
      </c>
      <c r="H426" s="50" t="s">
        <v>544</v>
      </c>
      <c r="I426" s="51">
        <v>408</v>
      </c>
      <c r="J426" s="80"/>
      <c r="K4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408 DAP_FETCovid19</v>
      </c>
      <c r="L426" s="48">
        <v>44768</v>
      </c>
      <c r="M426" s="48">
        <v>44768</v>
      </c>
      <c r="N426" s="49" t="s">
        <v>326</v>
      </c>
      <c r="O426" s="45">
        <v>15</v>
      </c>
      <c r="P426" s="80" t="s">
        <v>494</v>
      </c>
      <c r="Q426" s="48">
        <v>44770</v>
      </c>
      <c r="R426" s="45"/>
      <c r="S426" s="114"/>
      <c r="T426" s="52"/>
      <c r="U426" s="48"/>
      <c r="V426" s="48"/>
      <c r="W426" s="27"/>
    </row>
    <row r="427" spans="1:23" ht="60" hidden="1" customHeight="1" x14ac:dyDescent="0.25">
      <c r="A427" s="45" t="str">
        <f>CONCATENATE(Tabla2[[#This Row],[id_solicitud]],Tabla2[[#This Row],[tipo]])</f>
        <v>245Proposicion</v>
      </c>
      <c r="B427" s="45">
        <f>COUNTIF($A$2:A427,A427)</f>
        <v>1</v>
      </c>
      <c r="C427" s="45" t="str">
        <f>Tabla2[[#This Row],[(id_solicitud-tipo_documento)]]&amp;B427</f>
        <v>245Proposicion1</v>
      </c>
      <c r="D427" s="45">
        <v>428</v>
      </c>
      <c r="E427" s="45">
        <v>245</v>
      </c>
      <c r="F427" s="45" t="s">
        <v>46</v>
      </c>
      <c r="G427" s="45" t="s">
        <v>40</v>
      </c>
      <c r="H427" s="50" t="s">
        <v>585</v>
      </c>
      <c r="I427" s="51">
        <v>410</v>
      </c>
      <c r="J427" s="80"/>
      <c r="K4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410 DA-SISS</v>
      </c>
      <c r="L427" s="48">
        <v>44734</v>
      </c>
      <c r="M427" s="48">
        <v>44734</v>
      </c>
      <c r="N427" s="49" t="s">
        <v>666</v>
      </c>
      <c r="O427" s="45">
        <v>0</v>
      </c>
      <c r="P427" s="80" t="s">
        <v>517</v>
      </c>
      <c r="Q427" s="24"/>
      <c r="R427" s="24" t="s">
        <v>24</v>
      </c>
      <c r="S427" s="114"/>
      <c r="T427" s="45"/>
      <c r="U427" s="48"/>
      <c r="V427" s="48"/>
      <c r="W427" s="27"/>
    </row>
    <row r="428" spans="1:23" ht="60" hidden="1" customHeight="1" x14ac:dyDescent="0.25">
      <c r="A428" s="45" t="str">
        <f>CONCATENATE(Tabla2[[#This Row],[id_solicitud]],Tabla2[[#This Row],[tipo]])</f>
        <v>271Proposicion</v>
      </c>
      <c r="B428" s="45">
        <f>COUNTIF($A$2:A428,A428)</f>
        <v>1</v>
      </c>
      <c r="C428" s="45" t="str">
        <f>Tabla2[[#This Row],[(id_solicitud-tipo_documento)]]&amp;B428</f>
        <v>271Proposicion1</v>
      </c>
      <c r="D428" s="45">
        <v>429</v>
      </c>
      <c r="E428" s="45">
        <v>271</v>
      </c>
      <c r="F428" s="45" t="s">
        <v>46</v>
      </c>
      <c r="G428" s="45" t="s">
        <v>1258</v>
      </c>
      <c r="H428" s="50" t="s">
        <v>544</v>
      </c>
      <c r="I428" s="51">
        <v>411</v>
      </c>
      <c r="J428" s="80"/>
      <c r="K4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411 DAP_FETCovid19</v>
      </c>
      <c r="L428" s="48">
        <v>44734</v>
      </c>
      <c r="M428" s="48">
        <v>44734</v>
      </c>
      <c r="N428" s="49" t="s">
        <v>293</v>
      </c>
      <c r="O428" s="45">
        <v>3</v>
      </c>
      <c r="P428" s="80" t="s">
        <v>494</v>
      </c>
      <c r="Q428" s="24"/>
      <c r="R428" s="24" t="s">
        <v>24</v>
      </c>
      <c r="S428" s="114"/>
      <c r="T428" s="45"/>
      <c r="U428" s="48"/>
      <c r="V428" s="48"/>
      <c r="W428" s="27"/>
    </row>
    <row r="429" spans="1:23" ht="60" hidden="1" customHeight="1" x14ac:dyDescent="0.25">
      <c r="A429" s="45" t="str">
        <f>CONCATENATE(Tabla2[[#This Row],[id_solicitud]],Tabla2[[#This Row],[tipo]])</f>
        <v>255Proposicion</v>
      </c>
      <c r="B429" s="45">
        <f>COUNTIF($A$2:A429,A429)</f>
        <v>1</v>
      </c>
      <c r="C429" s="45" t="str">
        <f>Tabla2[[#This Row],[(id_solicitud-tipo_documento)]]&amp;B429</f>
        <v>255Proposicion1</v>
      </c>
      <c r="D429" s="45">
        <v>430</v>
      </c>
      <c r="E429" s="45">
        <v>255</v>
      </c>
      <c r="F429" s="45" t="s">
        <v>46</v>
      </c>
      <c r="G429" s="45" t="s">
        <v>60</v>
      </c>
      <c r="H429" s="50" t="s">
        <v>6</v>
      </c>
      <c r="I429" s="51">
        <v>412</v>
      </c>
      <c r="J429" s="80"/>
      <c r="K4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412 APR</v>
      </c>
      <c r="L429" s="48">
        <v>44734</v>
      </c>
      <c r="M429" s="48">
        <v>44735</v>
      </c>
      <c r="N429" s="49" t="s">
        <v>669</v>
      </c>
      <c r="O429" s="45">
        <v>18</v>
      </c>
      <c r="P429" s="80" t="s">
        <v>494</v>
      </c>
      <c r="Q429" s="24"/>
      <c r="R429" s="24" t="s">
        <v>24</v>
      </c>
      <c r="S429" s="114"/>
      <c r="T429" s="45"/>
      <c r="U429" s="48"/>
      <c r="V429" s="48"/>
      <c r="W429" s="27"/>
    </row>
    <row r="430" spans="1:23" ht="60" hidden="1" customHeight="1" x14ac:dyDescent="0.25">
      <c r="A430" s="45" t="str">
        <f>CONCATENATE(Tabla2[[#This Row],[id_solicitud]],Tabla2[[#This Row],[tipo]])</f>
        <v>46Resolucion</v>
      </c>
      <c r="B430" s="45">
        <f>COUNTIF($A$2:A430,A430)</f>
        <v>1</v>
      </c>
      <c r="C430" s="45" t="str">
        <f>Tabla2[[#This Row],[(id_solicitud-tipo_documento)]]&amp;B430</f>
        <v>46Resolucion1</v>
      </c>
      <c r="D430" s="45">
        <v>431</v>
      </c>
      <c r="E430" s="45">
        <v>46</v>
      </c>
      <c r="F430" s="45" t="s">
        <v>48</v>
      </c>
      <c r="G430" s="45"/>
      <c r="H430" s="50" t="s">
        <v>26</v>
      </c>
      <c r="I430" s="51">
        <v>418</v>
      </c>
      <c r="J430" s="80"/>
      <c r="K4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430" s="48">
        <v>44615</v>
      </c>
      <c r="M430" s="48"/>
      <c r="N430" s="49"/>
      <c r="O430" s="45"/>
      <c r="P430" s="80"/>
      <c r="Q430" s="48"/>
      <c r="R430" s="45"/>
      <c r="S430" s="114"/>
      <c r="T430" s="45"/>
      <c r="U430" s="48"/>
      <c r="V430" s="48"/>
      <c r="W430" s="27"/>
    </row>
    <row r="431" spans="1:23" ht="60" hidden="1" customHeight="1" x14ac:dyDescent="0.25">
      <c r="A431" s="45" t="str">
        <f>CONCATENATE(Tabla2[[#This Row],[id_solicitud]],Tabla2[[#This Row],[tipo]])</f>
        <v>254Proposicion</v>
      </c>
      <c r="B431" s="45">
        <f>COUNTIF($A$2:A431,A431)</f>
        <v>1</v>
      </c>
      <c r="C431" s="45" t="str">
        <f>Tabla2[[#This Row],[(id_solicitud-tipo_documento)]]&amp;B431</f>
        <v>254Proposicion1</v>
      </c>
      <c r="D431" s="45">
        <v>432</v>
      </c>
      <c r="E431" s="45">
        <v>254</v>
      </c>
      <c r="F431" s="45" t="s">
        <v>46</v>
      </c>
      <c r="G431" s="45" t="s">
        <v>60</v>
      </c>
      <c r="H431" s="50" t="s">
        <v>559</v>
      </c>
      <c r="I431" s="51">
        <v>419</v>
      </c>
      <c r="J431" s="80"/>
      <c r="K4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419 APR_FETCovid19</v>
      </c>
      <c r="L431" s="48">
        <v>44741</v>
      </c>
      <c r="M431" s="48">
        <v>44742</v>
      </c>
      <c r="N431" s="49" t="s">
        <v>668</v>
      </c>
      <c r="O431" s="45">
        <v>36</v>
      </c>
      <c r="P431" s="80" t="s">
        <v>494</v>
      </c>
      <c r="Q431" s="24"/>
      <c r="R431" s="24" t="s">
        <v>24</v>
      </c>
      <c r="S431" s="114"/>
      <c r="T431" s="45"/>
      <c r="U431" s="48"/>
      <c r="V431" s="48"/>
      <c r="W431" s="27"/>
    </row>
    <row r="432" spans="1:23" ht="60" hidden="1" customHeight="1" x14ac:dyDescent="0.25">
      <c r="A432" s="45" t="str">
        <f>CONCATENATE(Tabla2[[#This Row],[id_solicitud]],Tabla2[[#This Row],[tipo]])</f>
        <v>305Proposicion</v>
      </c>
      <c r="B432" s="45">
        <f>COUNTIF($A$2:A432,A432)</f>
        <v>1</v>
      </c>
      <c r="C432" s="45" t="str">
        <f>Tabla2[[#This Row],[(id_solicitud-tipo_documento)]]&amp;B432</f>
        <v>305Proposicion1</v>
      </c>
      <c r="D432" s="45">
        <v>433</v>
      </c>
      <c r="E432" s="45">
        <v>305</v>
      </c>
      <c r="F432" s="45" t="s">
        <v>46</v>
      </c>
      <c r="G432" s="45" t="s">
        <v>60</v>
      </c>
      <c r="H432" s="50" t="s">
        <v>6</v>
      </c>
      <c r="I432" s="51">
        <v>419</v>
      </c>
      <c r="J432" s="80"/>
      <c r="K4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419 APR</v>
      </c>
      <c r="L432" s="48">
        <v>44741</v>
      </c>
      <c r="M432" s="48">
        <v>44742</v>
      </c>
      <c r="N432" s="49" t="s">
        <v>668</v>
      </c>
      <c r="O432" s="45">
        <v>36</v>
      </c>
      <c r="P432" s="80" t="s">
        <v>494</v>
      </c>
      <c r="Q432" s="24"/>
      <c r="R432" s="24" t="s">
        <v>24</v>
      </c>
      <c r="S432" s="114"/>
      <c r="T432" s="45"/>
      <c r="U432" s="48"/>
      <c r="V432" s="48"/>
      <c r="W432" s="27"/>
    </row>
    <row r="433" spans="1:23" ht="60" hidden="1" customHeight="1" x14ac:dyDescent="0.25">
      <c r="A433" s="45" t="str">
        <f>CONCATENATE(Tabla2[[#This Row],[id_solicitud]],Tabla2[[#This Row],[tipo]])</f>
        <v>23Resolucion</v>
      </c>
      <c r="B433" s="45">
        <f>COUNTIF($A$2:A433,A433)</f>
        <v>1</v>
      </c>
      <c r="C433" s="45" t="str">
        <f>Tabla2[[#This Row],[(id_solicitud-tipo_documento)]]&amp;B433</f>
        <v>23Resolucion1</v>
      </c>
      <c r="D433" s="45">
        <v>434</v>
      </c>
      <c r="E433" s="45">
        <v>23</v>
      </c>
      <c r="F433" s="45" t="s">
        <v>48</v>
      </c>
      <c r="G433" s="45"/>
      <c r="H433" s="50" t="s">
        <v>16</v>
      </c>
      <c r="I433" s="51">
        <v>420</v>
      </c>
      <c r="J433" s="80"/>
      <c r="K4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433" s="48">
        <v>44607</v>
      </c>
      <c r="M433" s="48"/>
      <c r="N433" s="49"/>
      <c r="O433" s="45"/>
      <c r="P433" s="80"/>
      <c r="Q433" s="48"/>
      <c r="R433" s="45"/>
      <c r="S433" s="114"/>
      <c r="T433" s="45"/>
      <c r="U433" s="48"/>
      <c r="V433" s="48"/>
      <c r="W433" s="27"/>
    </row>
    <row r="434" spans="1:23" ht="60" hidden="1" customHeight="1" x14ac:dyDescent="0.25">
      <c r="A434" s="45" t="str">
        <f>CONCATENATE(Tabla2[[#This Row],[id_solicitud]],Tabla2[[#This Row],[tipo]])</f>
        <v>110Oficio_Solicitud</v>
      </c>
      <c r="B434" s="45">
        <f>COUNTIF($A$2:A434,A434)</f>
        <v>1</v>
      </c>
      <c r="C434" s="45" t="str">
        <f>Tabla2[[#This Row],[(id_solicitud-tipo_documento)]]&amp;B434</f>
        <v>110Oficio_Solicitud1</v>
      </c>
      <c r="D434" s="45">
        <v>435</v>
      </c>
      <c r="E434" s="45">
        <v>110</v>
      </c>
      <c r="F434" s="45" t="s">
        <v>53</v>
      </c>
      <c r="G434" s="45" t="s">
        <v>43</v>
      </c>
      <c r="H434" s="50" t="s">
        <v>26</v>
      </c>
      <c r="I434" s="51">
        <v>426</v>
      </c>
      <c r="J434" s="80" t="s">
        <v>1241</v>
      </c>
      <c r="K4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426 DVcorreo</v>
      </c>
      <c r="L434" s="48">
        <v>44596</v>
      </c>
      <c r="M434" s="48">
        <v>44596</v>
      </c>
      <c r="N434" s="49" t="s">
        <v>1024</v>
      </c>
      <c r="O434" s="45">
        <v>2</v>
      </c>
      <c r="P434" s="80" t="s">
        <v>501</v>
      </c>
      <c r="Q434" s="48">
        <v>44596</v>
      </c>
      <c r="R434" s="45"/>
      <c r="S434" s="114"/>
      <c r="T434" s="52"/>
      <c r="U434" s="48"/>
      <c r="V434" s="48"/>
      <c r="W434" s="27"/>
    </row>
    <row r="435" spans="1:23" ht="60" hidden="1" customHeight="1" x14ac:dyDescent="0.25">
      <c r="A435" s="45" t="str">
        <f>CONCATENATE(Tabla2[[#This Row],[id_solicitud]],Tabla2[[#This Row],[tipo]])</f>
        <v>158Resolucion</v>
      </c>
      <c r="B435" s="45">
        <f>COUNTIF($A$2:A435,A435)</f>
        <v>1</v>
      </c>
      <c r="C435" s="45" t="str">
        <f>Tabla2[[#This Row],[(id_solicitud-tipo_documento)]]&amp;B435</f>
        <v>158Resolucion1</v>
      </c>
      <c r="D435" s="45">
        <v>436</v>
      </c>
      <c r="E435" s="45">
        <v>158</v>
      </c>
      <c r="F435" s="45" t="s">
        <v>48</v>
      </c>
      <c r="G435" s="45"/>
      <c r="H435" s="50" t="s">
        <v>22</v>
      </c>
      <c r="I435" s="51">
        <v>420</v>
      </c>
      <c r="J435" s="80"/>
      <c r="K4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435" s="48">
        <v>44671</v>
      </c>
      <c r="M435" s="48"/>
      <c r="N435" s="49"/>
      <c r="O435" s="45"/>
      <c r="P435" s="80"/>
      <c r="Q435" s="48"/>
      <c r="R435" s="45"/>
      <c r="S435" s="114"/>
      <c r="T435" s="45"/>
      <c r="U435" s="48"/>
      <c r="V435" s="48"/>
      <c r="W435" s="27"/>
    </row>
    <row r="436" spans="1:23" ht="60" hidden="1" customHeight="1" x14ac:dyDescent="0.25">
      <c r="A436" s="45" t="str">
        <f>CONCATENATE(Tabla2[[#This Row],[id_solicitud]],Tabla2[[#This Row],[tipo]])</f>
        <v>21Resolucion</v>
      </c>
      <c r="B436" s="45">
        <f>COUNTIF($A$2:A436,A436)</f>
        <v>1</v>
      </c>
      <c r="C436" s="45" t="str">
        <f>Tabla2[[#This Row],[(id_solicitud-tipo_documento)]]&amp;B436</f>
        <v>21Resolucion1</v>
      </c>
      <c r="D436" s="45">
        <v>437</v>
      </c>
      <c r="E436" s="45">
        <v>21</v>
      </c>
      <c r="F436" s="45" t="s">
        <v>48</v>
      </c>
      <c r="G436" s="45"/>
      <c r="H436" s="50" t="s">
        <v>16</v>
      </c>
      <c r="I436" s="51">
        <v>421</v>
      </c>
      <c r="J436" s="80"/>
      <c r="K4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436" s="48">
        <v>44607</v>
      </c>
      <c r="M436" s="48"/>
      <c r="N436" s="49"/>
      <c r="O436" s="45"/>
      <c r="P436" s="80"/>
      <c r="Q436" s="48"/>
      <c r="R436" s="45"/>
      <c r="S436" s="114"/>
      <c r="T436" s="45"/>
      <c r="U436" s="48"/>
      <c r="V436" s="48"/>
      <c r="W436" s="27"/>
    </row>
    <row r="437" spans="1:23" ht="60" hidden="1" customHeight="1" x14ac:dyDescent="0.25">
      <c r="A437" s="45" t="str">
        <f>CONCATENATE(Tabla2[[#This Row],[id_solicitud]],Tabla2[[#This Row],[tipo]])</f>
        <v>76Decreto</v>
      </c>
      <c r="B437" s="45">
        <f>COUNTIF($A$2:A437,A437)</f>
        <v>2</v>
      </c>
      <c r="C437" s="45" t="str">
        <f>Tabla2[[#This Row],[(id_solicitud-tipo_documento)]]&amp;B437</f>
        <v>76Decreto2</v>
      </c>
      <c r="D437" s="45">
        <v>438</v>
      </c>
      <c r="E437" s="45">
        <v>76</v>
      </c>
      <c r="F437" s="45" t="s">
        <v>47</v>
      </c>
      <c r="G437" s="45" t="s">
        <v>43</v>
      </c>
      <c r="H437" s="50" t="s">
        <v>538</v>
      </c>
      <c r="I437" s="51">
        <v>421</v>
      </c>
      <c r="J437" s="80"/>
      <c r="K4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421 DV_FETCovid19</v>
      </c>
      <c r="L437" s="48">
        <v>44630</v>
      </c>
      <c r="M437" s="48"/>
      <c r="N437" s="49" t="s">
        <v>803</v>
      </c>
      <c r="O437" s="45"/>
      <c r="P437" s="80"/>
      <c r="Q437" s="48"/>
      <c r="R437" s="45"/>
      <c r="S437" s="115">
        <v>156</v>
      </c>
      <c r="T437" s="20">
        <v>44621</v>
      </c>
      <c r="U437" s="20">
        <v>44641</v>
      </c>
      <c r="V437" s="20">
        <v>44641</v>
      </c>
      <c r="W437" s="27"/>
    </row>
    <row r="438" spans="1:23" ht="60" hidden="1" customHeight="1" x14ac:dyDescent="0.25">
      <c r="A438" s="45" t="str">
        <f>CONCATENATE(Tabla2[[#This Row],[id_solicitud]],Tabla2[[#This Row],[tipo]])</f>
        <v>162Oficio_Solicitud</v>
      </c>
      <c r="B438" s="45">
        <f>COUNTIF($A$2:A438,A438)</f>
        <v>1</v>
      </c>
      <c r="C438" s="45" t="str">
        <f>Tabla2[[#This Row],[(id_solicitud-tipo_documento)]]&amp;B438</f>
        <v>162Oficio_Solicitud1</v>
      </c>
      <c r="D438" s="45">
        <v>439</v>
      </c>
      <c r="E438" s="45">
        <v>162</v>
      </c>
      <c r="F438" s="45" t="s">
        <v>53</v>
      </c>
      <c r="G438" s="45" t="s">
        <v>60</v>
      </c>
      <c r="H438" s="50" t="s">
        <v>16</v>
      </c>
      <c r="I438" s="51">
        <v>424</v>
      </c>
      <c r="J438" s="80"/>
      <c r="K4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424 DGC</v>
      </c>
      <c r="L438" s="48">
        <v>44664</v>
      </c>
      <c r="M438" s="48">
        <v>44665</v>
      </c>
      <c r="N438" s="49" t="s">
        <v>203</v>
      </c>
      <c r="O438" s="45">
        <v>8</v>
      </c>
      <c r="P438" s="80" t="s">
        <v>494</v>
      </c>
      <c r="Q438" s="48"/>
      <c r="R438" s="45"/>
      <c r="S438" s="114"/>
      <c r="T438" s="52"/>
      <c r="U438" s="48"/>
      <c r="V438" s="48"/>
      <c r="W438" s="27"/>
    </row>
    <row r="439" spans="1:23" ht="60" hidden="1" customHeight="1" x14ac:dyDescent="0.25">
      <c r="A439" s="45" t="str">
        <f>CONCATENATE(Tabla2[[#This Row],[id_solicitud]],Tabla2[[#This Row],[tipo]])</f>
        <v>169Oficio_Solicitud</v>
      </c>
      <c r="B439" s="45">
        <f>COUNTIF($A$2:A439,A439)</f>
        <v>1</v>
      </c>
      <c r="C439" s="45" t="str">
        <f>Tabla2[[#This Row],[(id_solicitud-tipo_documento)]]&amp;B439</f>
        <v>169Oficio_Solicitud1</v>
      </c>
      <c r="D439" s="45">
        <v>440</v>
      </c>
      <c r="E439" s="45">
        <v>169</v>
      </c>
      <c r="F439" s="45" t="s">
        <v>53</v>
      </c>
      <c r="G439" s="45" t="s">
        <v>60</v>
      </c>
      <c r="H439" s="50" t="s">
        <v>8</v>
      </c>
      <c r="I439" s="51">
        <v>426</v>
      </c>
      <c r="J439" s="80"/>
      <c r="K4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426 DA</v>
      </c>
      <c r="L439" s="48">
        <v>44672</v>
      </c>
      <c r="M439" s="48">
        <v>44672</v>
      </c>
      <c r="N439" s="49" t="s">
        <v>210</v>
      </c>
      <c r="O439" s="45">
        <v>2</v>
      </c>
      <c r="P439" s="80" t="s">
        <v>494</v>
      </c>
      <c r="Q439" s="48"/>
      <c r="R439" s="45"/>
      <c r="S439" s="114"/>
      <c r="T439" s="52"/>
      <c r="U439" s="48"/>
      <c r="V439" s="48"/>
      <c r="W439" s="27"/>
    </row>
    <row r="440" spans="1:23" ht="60" hidden="1" customHeight="1" x14ac:dyDescent="0.25">
      <c r="A440" s="45" t="str">
        <f>CONCATENATE(Tabla2[[#This Row],[id_solicitud]],Tabla2[[#This Row],[tipo]])</f>
        <v>163Oficio_Solicitud</v>
      </c>
      <c r="B440" s="45">
        <f>COUNTIF($A$2:A440,A440)</f>
        <v>1</v>
      </c>
      <c r="C440" s="45" t="str">
        <f>Tabla2[[#This Row],[(id_solicitud-tipo_documento)]]&amp;B440</f>
        <v>163Oficio_Solicitud1</v>
      </c>
      <c r="D440" s="45">
        <v>441</v>
      </c>
      <c r="E440" s="45">
        <v>163</v>
      </c>
      <c r="F440" s="45" t="s">
        <v>53</v>
      </c>
      <c r="G440" s="45" t="s">
        <v>60</v>
      </c>
      <c r="H440" s="50" t="s">
        <v>16</v>
      </c>
      <c r="I440" s="51">
        <v>428</v>
      </c>
      <c r="J440" s="80"/>
      <c r="K4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428 DGC</v>
      </c>
      <c r="L440" s="48">
        <v>44669</v>
      </c>
      <c r="M440" s="48">
        <v>44670</v>
      </c>
      <c r="N440" s="49" t="s">
        <v>204</v>
      </c>
      <c r="O440" s="45">
        <v>9</v>
      </c>
      <c r="P440" s="80" t="s">
        <v>494</v>
      </c>
      <c r="Q440" s="48"/>
      <c r="R440" s="45"/>
      <c r="S440" s="114"/>
      <c r="T440" s="52"/>
      <c r="U440" s="48"/>
      <c r="V440" s="48"/>
      <c r="W440" s="27"/>
    </row>
    <row r="441" spans="1:23" ht="60" hidden="1" customHeight="1" x14ac:dyDescent="0.25">
      <c r="A441" s="45" t="str">
        <f>CONCATENATE(Tabla2[[#This Row],[id_solicitud]],Tabla2[[#This Row],[tipo]])</f>
        <v>262Oficio_Solicitud</v>
      </c>
      <c r="B441" s="45">
        <f>COUNTIF($A$2:A441,A441)</f>
        <v>1</v>
      </c>
      <c r="C441" s="45" t="str">
        <f>Tabla2[[#This Row],[(id_solicitud-tipo_documento)]]&amp;B441</f>
        <v>262Oficio_Solicitud1</v>
      </c>
      <c r="D441" s="45">
        <v>442</v>
      </c>
      <c r="E441" s="45">
        <v>262</v>
      </c>
      <c r="F441" s="45" t="s">
        <v>53</v>
      </c>
      <c r="G441" s="45" t="s">
        <v>60</v>
      </c>
      <c r="H441" s="50" t="s">
        <v>541</v>
      </c>
      <c r="I441" s="51">
        <v>432</v>
      </c>
      <c r="J441" s="80"/>
      <c r="K4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432 DOP_FETCovid19</v>
      </c>
      <c r="L441" s="48">
        <v>44722</v>
      </c>
      <c r="M441" s="48">
        <v>44722</v>
      </c>
      <c r="N441" s="49" t="s">
        <v>284</v>
      </c>
      <c r="O441" s="45">
        <v>7</v>
      </c>
      <c r="P441" s="80" t="s">
        <v>494</v>
      </c>
      <c r="Q441" s="48">
        <v>44722</v>
      </c>
      <c r="R441" s="45"/>
      <c r="S441" s="114"/>
      <c r="T441" s="52"/>
      <c r="U441" s="48"/>
      <c r="V441" s="48"/>
      <c r="W441" s="27"/>
    </row>
    <row r="442" spans="1:23" ht="60" hidden="1" customHeight="1" x14ac:dyDescent="0.25">
      <c r="A442" s="45" t="str">
        <f>CONCATENATE(Tabla2[[#This Row],[id_solicitud]],Tabla2[[#This Row],[tipo]])</f>
        <v>350Oficio_Solicitud</v>
      </c>
      <c r="B442" s="45">
        <f>COUNTIF($A$2:A442,A442)</f>
        <v>1</v>
      </c>
      <c r="C442" s="45" t="str">
        <f>Tabla2[[#This Row],[(id_solicitud-tipo_documento)]]&amp;B442</f>
        <v>350Oficio_Solicitud1</v>
      </c>
      <c r="D442" s="45">
        <v>443</v>
      </c>
      <c r="E442" s="45">
        <v>350</v>
      </c>
      <c r="F442" s="45" t="s">
        <v>53</v>
      </c>
      <c r="G442" s="45" t="s">
        <v>60</v>
      </c>
      <c r="H442" s="50" t="s">
        <v>10</v>
      </c>
      <c r="I442" s="51">
        <v>432</v>
      </c>
      <c r="J442" s="80"/>
      <c r="K4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432 DAP</v>
      </c>
      <c r="L442" s="48">
        <v>44782</v>
      </c>
      <c r="M442" s="48">
        <v>44783</v>
      </c>
      <c r="N442" s="49" t="s">
        <v>354</v>
      </c>
      <c r="O442" s="45">
        <v>4</v>
      </c>
      <c r="P442" s="80" t="s">
        <v>494</v>
      </c>
      <c r="Q442" s="48"/>
      <c r="R442" s="45"/>
      <c r="S442" s="114"/>
      <c r="T442" s="52"/>
      <c r="U442" s="48"/>
      <c r="V442" s="48"/>
      <c r="W442" s="27"/>
    </row>
    <row r="443" spans="1:23" ht="60" hidden="1" customHeight="1" x14ac:dyDescent="0.25">
      <c r="A443" s="45" t="str">
        <f>CONCATENATE(Tabla2[[#This Row],[id_solicitud]],Tabla2[[#This Row],[tipo]])</f>
        <v>351Oficio_Solicitud</v>
      </c>
      <c r="B443" s="45">
        <f>COUNTIF($A$2:A443,A443)</f>
        <v>1</v>
      </c>
      <c r="C443" s="45" t="str">
        <f>Tabla2[[#This Row],[(id_solicitud-tipo_documento)]]&amp;B443</f>
        <v>351Oficio_Solicitud1</v>
      </c>
      <c r="D443" s="45">
        <v>444</v>
      </c>
      <c r="E443" s="45">
        <v>351</v>
      </c>
      <c r="F443" s="45" t="s">
        <v>53</v>
      </c>
      <c r="G443" s="45" t="s">
        <v>1258</v>
      </c>
      <c r="H443" s="50" t="s">
        <v>544</v>
      </c>
      <c r="I443" s="51">
        <v>434</v>
      </c>
      <c r="J443" s="80"/>
      <c r="K4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434 DAP_FETCovid19</v>
      </c>
      <c r="L443" s="48">
        <v>44783</v>
      </c>
      <c r="M443" s="48">
        <v>44784</v>
      </c>
      <c r="N443" s="49" t="s">
        <v>355</v>
      </c>
      <c r="O443" s="45">
        <v>2</v>
      </c>
      <c r="P443" s="80" t="s">
        <v>494</v>
      </c>
      <c r="Q443" s="48"/>
      <c r="R443" s="45"/>
      <c r="S443" s="114"/>
      <c r="T443" s="52"/>
      <c r="U443" s="48"/>
      <c r="V443" s="48"/>
      <c r="W443" s="27"/>
    </row>
    <row r="444" spans="1:23" ht="60" hidden="1" customHeight="1" x14ac:dyDescent="0.25">
      <c r="A444" s="45" t="str">
        <f>CONCATENATE(Tabla2[[#This Row],[id_solicitud]],Tabla2[[#This Row],[tipo]])</f>
        <v>468Oficio_Solicitud</v>
      </c>
      <c r="B444" s="45">
        <f>COUNTIF($A$2:A444,A444)</f>
        <v>1</v>
      </c>
      <c r="C444" s="45" t="str">
        <f>Tabla2[[#This Row],[(id_solicitud-tipo_documento)]]&amp;B444</f>
        <v>468Oficio_Solicitud1</v>
      </c>
      <c r="D444" s="45">
        <v>445</v>
      </c>
      <c r="E444" s="45">
        <v>468</v>
      </c>
      <c r="F444" s="45" t="s">
        <v>53</v>
      </c>
      <c r="G444" s="45" t="s">
        <v>1258</v>
      </c>
      <c r="H444" s="50" t="s">
        <v>14</v>
      </c>
      <c r="I444" s="51">
        <v>434</v>
      </c>
      <c r="J444" s="80"/>
      <c r="K4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434 DGA</v>
      </c>
      <c r="L444" s="48">
        <v>44845</v>
      </c>
      <c r="M444" s="48">
        <v>44846</v>
      </c>
      <c r="N444" s="49" t="s">
        <v>439</v>
      </c>
      <c r="O444" s="45">
        <v>2</v>
      </c>
      <c r="P444" s="80" t="s">
        <v>494</v>
      </c>
      <c r="Q444" s="48"/>
      <c r="R444" s="45"/>
      <c r="S444" s="114"/>
      <c r="T444" s="52"/>
      <c r="U444" s="48"/>
      <c r="V444" s="48"/>
      <c r="W444" s="27"/>
    </row>
    <row r="445" spans="1:23" ht="60" hidden="1" customHeight="1" x14ac:dyDescent="0.25">
      <c r="A445" s="45" t="str">
        <f>CONCATENATE(Tabla2[[#This Row],[id_solicitud]],Tabla2[[#This Row],[tipo]])</f>
        <v>265Oficio_Solicitud</v>
      </c>
      <c r="B445" s="45">
        <f>COUNTIF($A$2:A445,A445)</f>
        <v>1</v>
      </c>
      <c r="C445" s="45" t="str">
        <f>Tabla2[[#This Row],[(id_solicitud-tipo_documento)]]&amp;B445</f>
        <v>265Oficio_Solicitud1</v>
      </c>
      <c r="D445" s="45">
        <v>446</v>
      </c>
      <c r="E445" s="45">
        <v>265</v>
      </c>
      <c r="F445" s="45" t="s">
        <v>53</v>
      </c>
      <c r="G445" s="45" t="s">
        <v>1258</v>
      </c>
      <c r="H445" s="50" t="s">
        <v>22</v>
      </c>
      <c r="I445" s="51">
        <v>435</v>
      </c>
      <c r="J445" s="80"/>
      <c r="K4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435 DOP</v>
      </c>
      <c r="L445" s="48">
        <v>44722</v>
      </c>
      <c r="M445" s="48">
        <v>44722</v>
      </c>
      <c r="N445" s="49" t="s">
        <v>287</v>
      </c>
      <c r="O445" s="45">
        <v>1</v>
      </c>
      <c r="P445" s="80" t="s">
        <v>494</v>
      </c>
      <c r="Q445" s="48"/>
      <c r="R445" s="45"/>
      <c r="S445" s="114"/>
      <c r="T445" s="52"/>
      <c r="U445" s="48"/>
      <c r="V445" s="48"/>
      <c r="W445" s="27"/>
    </row>
    <row r="446" spans="1:23" ht="60" hidden="1" customHeight="1" x14ac:dyDescent="0.25">
      <c r="A446" s="45" t="str">
        <f>CONCATENATE(Tabla2[[#This Row],[id_solicitud]],Tabla2[[#This Row],[tipo]])</f>
        <v>286Proposicion</v>
      </c>
      <c r="B446" s="45">
        <f>COUNTIF($A$2:A446,A446)</f>
        <v>1</v>
      </c>
      <c r="C446" s="45" t="str">
        <f>Tabla2[[#This Row],[(id_solicitud-tipo_documento)]]&amp;B446</f>
        <v>286Proposicion1</v>
      </c>
      <c r="D446" s="45">
        <v>447</v>
      </c>
      <c r="E446" s="45">
        <v>286</v>
      </c>
      <c r="F446" s="45" t="s">
        <v>46</v>
      </c>
      <c r="G446" s="45" t="s">
        <v>1258</v>
      </c>
      <c r="H446" s="50" t="s">
        <v>6</v>
      </c>
      <c r="I446" s="51">
        <v>435</v>
      </c>
      <c r="J446" s="80"/>
      <c r="K4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435 APR</v>
      </c>
      <c r="L446" s="48">
        <v>44742</v>
      </c>
      <c r="M446" s="48"/>
      <c r="N446" s="49" t="s">
        <v>676</v>
      </c>
      <c r="O446" s="45">
        <v>2</v>
      </c>
      <c r="P446" s="80" t="s">
        <v>494</v>
      </c>
      <c r="Q446" s="24"/>
      <c r="R446" s="24" t="s">
        <v>24</v>
      </c>
      <c r="S446" s="114"/>
      <c r="T446" s="45"/>
      <c r="U446" s="48"/>
      <c r="V446" s="48"/>
      <c r="W446" s="27"/>
    </row>
    <row r="447" spans="1:23" ht="60" hidden="1" customHeight="1" x14ac:dyDescent="0.25">
      <c r="A447" s="45" t="str">
        <f>CONCATENATE(Tabla2[[#This Row],[id_solicitud]],Tabla2[[#This Row],[tipo]])</f>
        <v>279Proposicion</v>
      </c>
      <c r="B447" s="45">
        <f>COUNTIF($A$2:A447,A447)</f>
        <v>1</v>
      </c>
      <c r="C447" s="45" t="str">
        <f>Tabla2[[#This Row],[(id_solicitud-tipo_documento)]]&amp;B447</f>
        <v>279Proposicion1</v>
      </c>
      <c r="D447" s="45">
        <v>448</v>
      </c>
      <c r="E447" s="45">
        <v>279</v>
      </c>
      <c r="F447" s="45" t="s">
        <v>46</v>
      </c>
      <c r="G447" s="45" t="s">
        <v>1258</v>
      </c>
      <c r="H447" s="50" t="s">
        <v>22</v>
      </c>
      <c r="I447" s="51">
        <v>437</v>
      </c>
      <c r="J447" s="80"/>
      <c r="K4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437 DOP</v>
      </c>
      <c r="L447" s="48">
        <v>44746</v>
      </c>
      <c r="M447" s="48">
        <v>44746</v>
      </c>
      <c r="N447" s="49" t="s">
        <v>299</v>
      </c>
      <c r="O447" s="45">
        <v>5</v>
      </c>
      <c r="P447" s="80" t="s">
        <v>494</v>
      </c>
      <c r="Q447" s="24"/>
      <c r="R447" s="24" t="s">
        <v>24</v>
      </c>
      <c r="S447" s="114"/>
      <c r="T447" s="45"/>
      <c r="U447" s="48"/>
      <c r="V447" s="48"/>
      <c r="W447" s="27"/>
    </row>
    <row r="448" spans="1:23" ht="60" hidden="1" customHeight="1" x14ac:dyDescent="0.25">
      <c r="A448" s="45" t="str">
        <f>CONCATENATE(Tabla2[[#This Row],[id_solicitud]],Tabla2[[#This Row],[tipo]])</f>
        <v>268Oficio_Solicitud</v>
      </c>
      <c r="B448" s="45">
        <f>COUNTIF($A$2:A448,A448)</f>
        <v>1</v>
      </c>
      <c r="C448" s="45" t="str">
        <f>Tabla2[[#This Row],[(id_solicitud-tipo_documento)]]&amp;B448</f>
        <v>268Oficio_Solicitud1</v>
      </c>
      <c r="D448" s="45">
        <v>449</v>
      </c>
      <c r="E448" s="45">
        <v>268</v>
      </c>
      <c r="F448" s="45" t="s">
        <v>53</v>
      </c>
      <c r="G448" s="45" t="s">
        <v>60</v>
      </c>
      <c r="H448" s="50" t="s">
        <v>541</v>
      </c>
      <c r="I448" s="51">
        <v>440</v>
      </c>
      <c r="J448" s="80"/>
      <c r="K4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440 DOP_FETCovid19</v>
      </c>
      <c r="L448" s="48">
        <v>44727</v>
      </c>
      <c r="M448" s="48">
        <v>44727</v>
      </c>
      <c r="N448" s="49" t="s">
        <v>290</v>
      </c>
      <c r="O448" s="45">
        <v>2</v>
      </c>
      <c r="P448" s="80" t="s">
        <v>494</v>
      </c>
      <c r="Q448" s="48"/>
      <c r="R448" s="45"/>
      <c r="S448" s="114"/>
      <c r="T448" s="52"/>
      <c r="U448" s="48"/>
      <c r="V448" s="48"/>
      <c r="W448" s="27"/>
    </row>
    <row r="449" spans="1:23" ht="60" hidden="1" customHeight="1" x14ac:dyDescent="0.25">
      <c r="A449" s="45" t="str">
        <f>CONCATENATE(Tabla2[[#This Row],[id_solicitud]],Tabla2[[#This Row],[tipo]])</f>
        <v>253Proposicion</v>
      </c>
      <c r="B449" s="45">
        <f>COUNTIF($A$2:A449,A449)</f>
        <v>1</v>
      </c>
      <c r="C449" s="45" t="str">
        <f>Tabla2[[#This Row],[(id_solicitud-tipo_documento)]]&amp;B449</f>
        <v>253Proposicion1</v>
      </c>
      <c r="D449" s="45">
        <v>450</v>
      </c>
      <c r="E449" s="45">
        <v>253</v>
      </c>
      <c r="F449" s="45" t="s">
        <v>46</v>
      </c>
      <c r="G449" s="45" t="s">
        <v>60</v>
      </c>
      <c r="H449" s="50" t="s">
        <v>535</v>
      </c>
      <c r="I449" s="51">
        <v>442</v>
      </c>
      <c r="J449" s="80"/>
      <c r="K4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442 DOH_FETCovid19</v>
      </c>
      <c r="L449" s="48">
        <v>44748</v>
      </c>
      <c r="M449" s="48">
        <v>44748</v>
      </c>
      <c r="N449" s="49" t="s">
        <v>280</v>
      </c>
      <c r="O449" s="45">
        <f>3+1+33</f>
        <v>37</v>
      </c>
      <c r="P449" s="80" t="s">
        <v>494</v>
      </c>
      <c r="Q449" s="24"/>
      <c r="R449" s="24" t="s">
        <v>24</v>
      </c>
      <c r="S449" s="114"/>
      <c r="T449" s="45"/>
      <c r="U449" s="48"/>
      <c r="V449" s="48"/>
      <c r="W449" s="27"/>
    </row>
    <row r="450" spans="1:23" ht="60" hidden="1" customHeight="1" x14ac:dyDescent="0.25">
      <c r="A450" s="45" t="str">
        <f>CONCATENATE(Tabla2[[#This Row],[id_solicitud]],Tabla2[[#This Row],[tipo]])</f>
        <v>275Proposicion</v>
      </c>
      <c r="B450" s="45">
        <f>COUNTIF($A$2:A450,A450)</f>
        <v>1</v>
      </c>
      <c r="C450" s="45" t="str">
        <f>Tabla2[[#This Row],[(id_solicitud-tipo_documento)]]&amp;B450</f>
        <v>275Proposicion1</v>
      </c>
      <c r="D450" s="45">
        <v>451</v>
      </c>
      <c r="E450" s="45">
        <v>275</v>
      </c>
      <c r="F450" s="45" t="s">
        <v>46</v>
      </c>
      <c r="G450" s="45" t="s">
        <v>60</v>
      </c>
      <c r="H450" s="50" t="s">
        <v>26</v>
      </c>
      <c r="I450" s="51">
        <v>443</v>
      </c>
      <c r="J450" s="80"/>
      <c r="K4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443 DV</v>
      </c>
      <c r="L450" s="48">
        <v>44747</v>
      </c>
      <c r="M450" s="48">
        <v>44748</v>
      </c>
      <c r="N450" s="49" t="s">
        <v>297</v>
      </c>
      <c r="O450" s="45">
        <v>2</v>
      </c>
      <c r="P450" s="80" t="s">
        <v>494</v>
      </c>
      <c r="Q450" s="24"/>
      <c r="R450" s="24" t="s">
        <v>24</v>
      </c>
      <c r="S450" s="114"/>
      <c r="T450" s="45"/>
      <c r="U450" s="48"/>
      <c r="V450" s="48"/>
      <c r="W450" s="27"/>
    </row>
    <row r="451" spans="1:23" ht="60" hidden="1" customHeight="1" x14ac:dyDescent="0.25">
      <c r="A451" s="45" t="str">
        <f>CONCATENATE(Tabla2[[#This Row],[id_solicitud]],Tabla2[[#This Row],[tipo]])</f>
        <v>170Resolucion</v>
      </c>
      <c r="B451" s="45">
        <f>COUNTIF($A$2:A451,A451)</f>
        <v>1</v>
      </c>
      <c r="C451" s="45" t="str">
        <f>Tabla2[[#This Row],[(id_solicitud-tipo_documento)]]&amp;B451</f>
        <v>170Resolucion1</v>
      </c>
      <c r="D451" s="45">
        <v>452</v>
      </c>
      <c r="E451" s="45">
        <v>170</v>
      </c>
      <c r="F451" s="45" t="s">
        <v>48</v>
      </c>
      <c r="G451" s="45"/>
      <c r="H451" s="50" t="s">
        <v>541</v>
      </c>
      <c r="I451" s="51">
        <v>445</v>
      </c>
      <c r="J451" s="80"/>
      <c r="K4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451" s="48">
        <v>44676</v>
      </c>
      <c r="M451" s="48"/>
      <c r="N451" s="49"/>
      <c r="O451" s="45"/>
      <c r="P451" s="80"/>
      <c r="Q451" s="48"/>
      <c r="R451" s="45"/>
      <c r="S451" s="114"/>
      <c r="T451" s="45"/>
      <c r="U451" s="48"/>
      <c r="V451" s="48"/>
      <c r="W451" s="27"/>
    </row>
    <row r="452" spans="1:23" ht="60" hidden="1" customHeight="1" x14ac:dyDescent="0.25">
      <c r="A452" s="45" t="str">
        <f>CONCATENATE(Tabla2[[#This Row],[id_solicitud]],Tabla2[[#This Row],[tipo]])</f>
        <v>287Proposicion</v>
      </c>
      <c r="B452" s="45">
        <f>COUNTIF($A$2:A452,A452)</f>
        <v>1</v>
      </c>
      <c r="C452" s="45" t="str">
        <f>Tabla2[[#This Row],[(id_solicitud-tipo_documento)]]&amp;B452</f>
        <v>287Proposicion1</v>
      </c>
      <c r="D452" s="45">
        <v>453</v>
      </c>
      <c r="E452" s="45">
        <v>287</v>
      </c>
      <c r="F452" s="45" t="s">
        <v>46</v>
      </c>
      <c r="G452" s="45" t="s">
        <v>1258</v>
      </c>
      <c r="H452" s="50" t="s">
        <v>541</v>
      </c>
      <c r="I452" s="51">
        <v>446</v>
      </c>
      <c r="J452" s="80"/>
      <c r="K4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446 DOP_FETCovid19</v>
      </c>
      <c r="L452" s="48">
        <v>44748</v>
      </c>
      <c r="M452" s="48"/>
      <c r="N452" s="49" t="s">
        <v>304</v>
      </c>
      <c r="O452" s="45">
        <v>1</v>
      </c>
      <c r="P452" s="80" t="s">
        <v>494</v>
      </c>
      <c r="Q452" s="24"/>
      <c r="R452" s="24" t="s">
        <v>24</v>
      </c>
      <c r="S452" s="114"/>
      <c r="T452" s="45"/>
      <c r="U452" s="48"/>
      <c r="V452" s="48"/>
      <c r="W452" s="27"/>
    </row>
    <row r="453" spans="1:23" ht="60" hidden="1" customHeight="1" x14ac:dyDescent="0.25">
      <c r="A453" s="45" t="str">
        <f>CONCATENATE(Tabla2[[#This Row],[id_solicitud]],Tabla2[[#This Row],[tipo]])</f>
        <v>318Proposicion</v>
      </c>
      <c r="B453" s="45">
        <f>COUNTIF($A$2:A453,A453)</f>
        <v>1</v>
      </c>
      <c r="C453" s="45" t="str">
        <f>Tabla2[[#This Row],[(id_solicitud-tipo_documento)]]&amp;B453</f>
        <v>318Proposicion1</v>
      </c>
      <c r="D453" s="45">
        <v>454</v>
      </c>
      <c r="E453" s="45">
        <v>318</v>
      </c>
      <c r="F453" s="45" t="s">
        <v>46</v>
      </c>
      <c r="G453" s="45" t="s">
        <v>40</v>
      </c>
      <c r="H453" s="50" t="s">
        <v>16</v>
      </c>
      <c r="I453" s="51">
        <v>446</v>
      </c>
      <c r="J453" s="80"/>
      <c r="K4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446 DGC</v>
      </c>
      <c r="L453" s="48">
        <v>44763</v>
      </c>
      <c r="M453" s="48">
        <v>44764</v>
      </c>
      <c r="N453" s="49" t="s">
        <v>329</v>
      </c>
      <c r="O453" s="45"/>
      <c r="P453" s="80" t="s">
        <v>520</v>
      </c>
      <c r="Q453" s="24"/>
      <c r="R453" s="24" t="s">
        <v>12</v>
      </c>
      <c r="S453" s="114"/>
      <c r="T453" s="45"/>
      <c r="U453" s="48"/>
      <c r="V453" s="48"/>
      <c r="W453" s="27"/>
    </row>
    <row r="454" spans="1:23" ht="60" hidden="1" customHeight="1" x14ac:dyDescent="0.25">
      <c r="A454" s="45" t="str">
        <f>CONCATENATE(Tabla2[[#This Row],[id_solicitud]],Tabla2[[#This Row],[tipo]])</f>
        <v>288Proposicion</v>
      </c>
      <c r="B454" s="45">
        <f>COUNTIF($A$2:A454,A454)</f>
        <v>1</v>
      </c>
      <c r="C454" s="45" t="str">
        <f>Tabla2[[#This Row],[(id_solicitud-tipo_documento)]]&amp;B454</f>
        <v>288Proposicion1</v>
      </c>
      <c r="D454" s="45">
        <v>455</v>
      </c>
      <c r="E454" s="45">
        <v>288</v>
      </c>
      <c r="F454" s="45" t="s">
        <v>46</v>
      </c>
      <c r="G454" s="45" t="s">
        <v>44</v>
      </c>
      <c r="H454" s="50" t="s">
        <v>565</v>
      </c>
      <c r="I454" s="51">
        <v>447</v>
      </c>
      <c r="J454" s="80"/>
      <c r="K4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447 DGA_FETCovid19</v>
      </c>
      <c r="L454" s="48">
        <v>44748</v>
      </c>
      <c r="M454" s="48">
        <v>44749</v>
      </c>
      <c r="N454" s="49" t="s">
        <v>305</v>
      </c>
      <c r="O454" s="45"/>
      <c r="P454" s="80" t="s">
        <v>498</v>
      </c>
      <c r="Q454" s="24"/>
      <c r="R454" s="24" t="s">
        <v>24</v>
      </c>
      <c r="S454" s="114"/>
      <c r="T454" s="45"/>
      <c r="U454" s="48"/>
      <c r="V454" s="48"/>
      <c r="W454" s="27"/>
    </row>
    <row r="455" spans="1:23" ht="60" hidden="1" customHeight="1" x14ac:dyDescent="0.25">
      <c r="A455" s="45" t="str">
        <f>CONCATENATE(Tabla2[[#This Row],[id_solicitud]],Tabla2[[#This Row],[tipo]])</f>
        <v>289Proposicion</v>
      </c>
      <c r="B455" s="45">
        <f>COUNTIF($A$2:A455,A455)</f>
        <v>1</v>
      </c>
      <c r="C455" s="45" t="str">
        <f>Tabla2[[#This Row],[(id_solicitud-tipo_documento)]]&amp;B455</f>
        <v>289Proposicion1</v>
      </c>
      <c r="D455" s="45">
        <v>456</v>
      </c>
      <c r="E455" s="45">
        <v>289</v>
      </c>
      <c r="F455" s="45" t="s">
        <v>46</v>
      </c>
      <c r="G455" s="45" t="s">
        <v>60</v>
      </c>
      <c r="H455" s="50" t="s">
        <v>8</v>
      </c>
      <c r="I455" s="51">
        <v>448</v>
      </c>
      <c r="J455" s="80"/>
      <c r="K4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448 DA</v>
      </c>
      <c r="L455" s="48">
        <v>44748</v>
      </c>
      <c r="M455" s="48">
        <v>44749</v>
      </c>
      <c r="N455" s="49" t="s">
        <v>677</v>
      </c>
      <c r="O455" s="45">
        <v>1</v>
      </c>
      <c r="P455" s="80" t="s">
        <v>494</v>
      </c>
      <c r="Q455" s="24"/>
      <c r="R455" s="24" t="s">
        <v>24</v>
      </c>
      <c r="S455" s="114"/>
      <c r="T455" s="45"/>
      <c r="U455" s="48"/>
      <c r="V455" s="48"/>
      <c r="W455" s="27"/>
    </row>
    <row r="456" spans="1:23" ht="60" hidden="1" customHeight="1" x14ac:dyDescent="0.25">
      <c r="A456" s="45" t="str">
        <f>CONCATENATE(Tabla2[[#This Row],[id_solicitud]],Tabla2[[#This Row],[tipo]])</f>
        <v>280Decreto</v>
      </c>
      <c r="B456" s="45">
        <f>COUNTIF($A$2:A456,A456)</f>
        <v>1</v>
      </c>
      <c r="C456" s="45" t="str">
        <f>Tabla2[[#This Row],[(id_solicitud-tipo_documento)]]&amp;B456</f>
        <v>280Decreto1</v>
      </c>
      <c r="D456" s="45">
        <v>457</v>
      </c>
      <c r="E456" s="45">
        <v>280</v>
      </c>
      <c r="F456" s="45" t="s">
        <v>47</v>
      </c>
      <c r="G456" s="45" t="s">
        <v>60</v>
      </c>
      <c r="H456" s="50" t="s">
        <v>22</v>
      </c>
      <c r="I456" s="51">
        <v>1211</v>
      </c>
      <c r="J456" s="80"/>
      <c r="K4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1211 DOP</v>
      </c>
      <c r="L456" s="48">
        <v>44782</v>
      </c>
      <c r="M456" s="48"/>
      <c r="N456" s="49" t="s">
        <v>675</v>
      </c>
      <c r="O456" s="45"/>
      <c r="P456" s="80"/>
      <c r="Q456" s="48"/>
      <c r="R456" s="45"/>
      <c r="S456" s="115">
        <v>571</v>
      </c>
      <c r="T456" s="20">
        <v>44770</v>
      </c>
      <c r="U456" s="20">
        <v>44785</v>
      </c>
      <c r="V456" s="20">
        <v>44785</v>
      </c>
      <c r="W456" s="27"/>
    </row>
    <row r="457" spans="1:23" ht="60" hidden="1" customHeight="1" x14ac:dyDescent="0.25">
      <c r="A457" s="45" t="str">
        <f>CONCATENATE(Tabla2[[#This Row],[id_solicitud]],Tabla2[[#This Row],[tipo]])</f>
        <v>280Decreto</v>
      </c>
      <c r="B457" s="45">
        <f>COUNTIF($A$2:A457,A457)</f>
        <v>2</v>
      </c>
      <c r="C457" s="45" t="str">
        <f>Tabla2[[#This Row],[(id_solicitud-tipo_documento)]]&amp;B457</f>
        <v>280Decreto2</v>
      </c>
      <c r="D457" s="45">
        <v>458</v>
      </c>
      <c r="E457" s="45">
        <v>280</v>
      </c>
      <c r="F457" s="45" t="s">
        <v>47</v>
      </c>
      <c r="G457" s="45" t="s">
        <v>40</v>
      </c>
      <c r="H457" s="50" t="s">
        <v>22</v>
      </c>
      <c r="I457" s="51">
        <v>1218</v>
      </c>
      <c r="J457" s="80"/>
      <c r="K4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1218 DOP</v>
      </c>
      <c r="L457" s="48">
        <v>44782</v>
      </c>
      <c r="M457" s="48"/>
      <c r="N457" s="49" t="s">
        <v>926</v>
      </c>
      <c r="O457" s="45"/>
      <c r="P457" s="80"/>
      <c r="Q457" s="48"/>
      <c r="R457" s="45"/>
      <c r="S457" s="115">
        <v>572</v>
      </c>
      <c r="T457" s="20">
        <v>44770</v>
      </c>
      <c r="U457" s="20">
        <v>44785</v>
      </c>
      <c r="V457" s="20">
        <v>44785</v>
      </c>
      <c r="W457" s="27"/>
    </row>
    <row r="458" spans="1:23" ht="60" hidden="1" customHeight="1" x14ac:dyDescent="0.25">
      <c r="A458" s="45" t="str">
        <f>CONCATENATE(Tabla2[[#This Row],[id_solicitud]],Tabla2[[#This Row],[tipo]])</f>
        <v>358Oficio_Solicitud</v>
      </c>
      <c r="B458" s="45">
        <f>COUNTIF($A$2:A458,A458)</f>
        <v>1</v>
      </c>
      <c r="C458" s="45" t="str">
        <f>Tabla2[[#This Row],[(id_solicitud-tipo_documento)]]&amp;B458</f>
        <v>358Oficio_Solicitud1</v>
      </c>
      <c r="D458" s="45">
        <v>459</v>
      </c>
      <c r="E458" s="45">
        <v>358</v>
      </c>
      <c r="F458" s="45" t="s">
        <v>53</v>
      </c>
      <c r="G458" s="45" t="s">
        <v>1258</v>
      </c>
      <c r="H458" s="50" t="s">
        <v>10</v>
      </c>
      <c r="I458" s="51">
        <v>449</v>
      </c>
      <c r="J458" s="80"/>
      <c r="K4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449 DAP</v>
      </c>
      <c r="L458" s="48">
        <v>44785</v>
      </c>
      <c r="M458" s="48">
        <v>44789</v>
      </c>
      <c r="N458" s="49" t="s">
        <v>362</v>
      </c>
      <c r="O458" s="45">
        <v>6</v>
      </c>
      <c r="P458" s="80" t="s">
        <v>494</v>
      </c>
      <c r="Q458" s="48"/>
      <c r="R458" s="45"/>
      <c r="S458" s="114"/>
      <c r="T458" s="52"/>
      <c r="U458" s="48"/>
      <c r="V458" s="48"/>
      <c r="W458" s="27"/>
    </row>
    <row r="459" spans="1:23" ht="60" hidden="1" customHeight="1" x14ac:dyDescent="0.25">
      <c r="A459" s="45" t="str">
        <f>CONCATENATE(Tabla2[[#This Row],[id_solicitud]],Tabla2[[#This Row],[tipo]])</f>
        <v>185Proposicion</v>
      </c>
      <c r="B459" s="45">
        <f>COUNTIF($A$2:A459,A459)</f>
        <v>1</v>
      </c>
      <c r="C459" s="45" t="str">
        <f>Tabla2[[#This Row],[(id_solicitud-tipo_documento)]]&amp;B459</f>
        <v>185Proposicion1</v>
      </c>
      <c r="D459" s="45">
        <v>460</v>
      </c>
      <c r="E459" s="45">
        <v>185</v>
      </c>
      <c r="F459" s="45" t="s">
        <v>46</v>
      </c>
      <c r="G459" s="45" t="s">
        <v>60</v>
      </c>
      <c r="H459" s="50" t="s">
        <v>26</v>
      </c>
      <c r="I459" s="51">
        <v>450</v>
      </c>
      <c r="J459" s="80"/>
      <c r="K4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450 DV</v>
      </c>
      <c r="L459" s="48">
        <v>44750</v>
      </c>
      <c r="M459" s="48">
        <v>44753</v>
      </c>
      <c r="N459" s="49" t="s">
        <v>656</v>
      </c>
      <c r="O459" s="45">
        <v>132</v>
      </c>
      <c r="P459" s="80" t="s">
        <v>494</v>
      </c>
      <c r="Q459" s="24"/>
      <c r="R459" s="24" t="s">
        <v>24</v>
      </c>
      <c r="S459" s="114"/>
      <c r="T459" s="45"/>
      <c r="U459" s="48"/>
      <c r="V459" s="48"/>
      <c r="W459" s="27"/>
    </row>
    <row r="460" spans="1:23" ht="60" hidden="1" customHeight="1" x14ac:dyDescent="0.25">
      <c r="A460" s="45" t="str">
        <f>CONCATENATE(Tabla2[[#This Row],[id_solicitud]],Tabla2[[#This Row],[tipo]])</f>
        <v>317Proposicion</v>
      </c>
      <c r="B460" s="45">
        <f>COUNTIF($A$2:A460,A460)</f>
        <v>1</v>
      </c>
      <c r="C460" s="45" t="str">
        <f>Tabla2[[#This Row],[(id_solicitud-tipo_documento)]]&amp;B460</f>
        <v>317Proposicion1</v>
      </c>
      <c r="D460" s="45">
        <v>461</v>
      </c>
      <c r="E460" s="45">
        <v>317</v>
      </c>
      <c r="F460" s="45" t="s">
        <v>46</v>
      </c>
      <c r="G460" s="45" t="s">
        <v>44</v>
      </c>
      <c r="H460" s="50" t="s">
        <v>8</v>
      </c>
      <c r="I460" s="51">
        <v>450</v>
      </c>
      <c r="J460" s="80"/>
      <c r="K4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450 DA</v>
      </c>
      <c r="L460" s="48">
        <v>44764</v>
      </c>
      <c r="M460" s="48">
        <v>44765</v>
      </c>
      <c r="N460" s="49" t="s">
        <v>328</v>
      </c>
      <c r="O460" s="45"/>
      <c r="P460" s="80" t="s">
        <v>519</v>
      </c>
      <c r="Q460" s="24"/>
      <c r="R460" s="24" t="s">
        <v>12</v>
      </c>
      <c r="S460" s="114"/>
      <c r="T460" s="45"/>
      <c r="U460" s="48"/>
      <c r="V460" s="48"/>
      <c r="W460" s="27"/>
    </row>
    <row r="461" spans="1:23" ht="60" hidden="1" customHeight="1" x14ac:dyDescent="0.25">
      <c r="A461" s="45" t="str">
        <f>CONCATENATE(Tabla2[[#This Row],[id_solicitud]],Tabla2[[#This Row],[tipo]])</f>
        <v>285Proposicion</v>
      </c>
      <c r="B461" s="45">
        <f>COUNTIF($A$2:A461,A461)</f>
        <v>1</v>
      </c>
      <c r="C461" s="45" t="str">
        <f>Tabla2[[#This Row],[(id_solicitud-tipo_documento)]]&amp;B461</f>
        <v>285Proposicion1</v>
      </c>
      <c r="D461" s="45">
        <v>462</v>
      </c>
      <c r="E461" s="45">
        <v>285</v>
      </c>
      <c r="F461" s="45" t="s">
        <v>46</v>
      </c>
      <c r="G461" s="45" t="s">
        <v>1258</v>
      </c>
      <c r="H461" s="50" t="s">
        <v>6</v>
      </c>
      <c r="I461" s="51">
        <v>451</v>
      </c>
      <c r="J461" s="80"/>
      <c r="K4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451 APR</v>
      </c>
      <c r="L461" s="48">
        <v>44750</v>
      </c>
      <c r="M461" s="48">
        <v>44750</v>
      </c>
      <c r="N461" s="49" t="s">
        <v>302</v>
      </c>
      <c r="O461" s="45">
        <v>1</v>
      </c>
      <c r="P461" s="80" t="s">
        <v>494</v>
      </c>
      <c r="Q461" s="24"/>
      <c r="R461" s="24" t="s">
        <v>24</v>
      </c>
      <c r="S461" s="114"/>
      <c r="T461" s="45"/>
      <c r="U461" s="48"/>
      <c r="V461" s="48"/>
      <c r="W461" s="27"/>
    </row>
    <row r="462" spans="1:23" ht="60" hidden="1" customHeight="1" x14ac:dyDescent="0.25">
      <c r="A462" s="45" t="str">
        <f>CONCATENATE(Tabla2[[#This Row],[id_solicitud]],Tabla2[[#This Row],[tipo]])</f>
        <v>316Proposicion</v>
      </c>
      <c r="B462" s="45">
        <f>COUNTIF($A$2:A462,A462)</f>
        <v>1</v>
      </c>
      <c r="C462" s="45" t="str">
        <f>Tabla2[[#This Row],[(id_solicitud-tipo_documento)]]&amp;B462</f>
        <v>316Proposicion1</v>
      </c>
      <c r="D462" s="45">
        <v>463</v>
      </c>
      <c r="E462" s="45">
        <v>316</v>
      </c>
      <c r="F462" s="45" t="s">
        <v>46</v>
      </c>
      <c r="G462" s="45" t="s">
        <v>44</v>
      </c>
      <c r="H462" s="50" t="s">
        <v>32</v>
      </c>
      <c r="I462" s="51">
        <v>451</v>
      </c>
      <c r="J462" s="80"/>
      <c r="K4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451 MOP</v>
      </c>
      <c r="L462" s="48">
        <v>44764</v>
      </c>
      <c r="M462" s="48">
        <v>44765</v>
      </c>
      <c r="N462" s="49" t="s">
        <v>684</v>
      </c>
      <c r="O462" s="45"/>
      <c r="P462" s="80" t="s">
        <v>497</v>
      </c>
      <c r="Q462" s="24"/>
      <c r="R462" s="24" t="s">
        <v>12</v>
      </c>
      <c r="S462" s="114"/>
      <c r="T462" s="45"/>
      <c r="U462" s="48"/>
      <c r="V462" s="48"/>
      <c r="W462" s="27"/>
    </row>
    <row r="463" spans="1:23" ht="60" hidden="1" customHeight="1" x14ac:dyDescent="0.25">
      <c r="A463" s="45" t="str">
        <f>CONCATENATE(Tabla2[[#This Row],[id_solicitud]],Tabla2[[#This Row],[tipo]])</f>
        <v>491Oficio_Solicitud</v>
      </c>
      <c r="B463" s="45">
        <f>COUNTIF($A$2:A463,A463)</f>
        <v>1</v>
      </c>
      <c r="C463" s="45" t="str">
        <f>Tabla2[[#This Row],[(id_solicitud-tipo_documento)]]&amp;B463</f>
        <v>491Oficio_Solicitud1</v>
      </c>
      <c r="D463" s="45">
        <v>464</v>
      </c>
      <c r="E463" s="45">
        <v>491</v>
      </c>
      <c r="F463" s="45" t="s">
        <v>53</v>
      </c>
      <c r="G463" s="45" t="s">
        <v>41</v>
      </c>
      <c r="H463" s="50" t="s">
        <v>565</v>
      </c>
      <c r="I463" s="51">
        <v>451</v>
      </c>
      <c r="J463" s="80"/>
      <c r="K4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451 DGA_FETCovid19</v>
      </c>
      <c r="L463" s="48">
        <v>44851</v>
      </c>
      <c r="M463" s="48">
        <v>44852</v>
      </c>
      <c r="N463" s="49" t="s">
        <v>459</v>
      </c>
      <c r="O463" s="45">
        <v>6</v>
      </c>
      <c r="P463" s="80" t="s">
        <v>494</v>
      </c>
      <c r="Q463" s="48"/>
      <c r="R463" s="45"/>
      <c r="S463" s="114"/>
      <c r="T463" s="52"/>
      <c r="U463" s="48"/>
      <c r="V463" s="48"/>
      <c r="W463" s="27"/>
    </row>
    <row r="464" spans="1:23" ht="60" hidden="1" customHeight="1" x14ac:dyDescent="0.25">
      <c r="A464" s="45" t="str">
        <f>CONCATENATE(Tabla2[[#This Row],[id_solicitud]],Tabla2[[#This Row],[tipo]])</f>
        <v>490Oficio_Solicitud</v>
      </c>
      <c r="B464" s="45">
        <f>COUNTIF($A$2:A464,A464)</f>
        <v>1</v>
      </c>
      <c r="C464" s="45" t="str">
        <f>Tabla2[[#This Row],[(id_solicitud-tipo_documento)]]&amp;B464</f>
        <v>490Oficio_Solicitud1</v>
      </c>
      <c r="D464" s="45">
        <v>465</v>
      </c>
      <c r="E464" s="45">
        <v>490</v>
      </c>
      <c r="F464" s="45" t="s">
        <v>53</v>
      </c>
      <c r="G464" s="45" t="s">
        <v>41</v>
      </c>
      <c r="H464" s="50" t="s">
        <v>14</v>
      </c>
      <c r="I464" s="51">
        <v>451</v>
      </c>
      <c r="J464" s="80"/>
      <c r="K4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451 DGA</v>
      </c>
      <c r="L464" s="48">
        <v>44851</v>
      </c>
      <c r="M464" s="48">
        <v>44852</v>
      </c>
      <c r="N464" s="49" t="s">
        <v>458</v>
      </c>
      <c r="O464" s="45">
        <v>6</v>
      </c>
      <c r="P464" s="80" t="s">
        <v>494</v>
      </c>
      <c r="Q464" s="48"/>
      <c r="R464" s="45"/>
      <c r="S464" s="114"/>
      <c r="T464" s="52"/>
      <c r="U464" s="48"/>
      <c r="V464" s="48"/>
      <c r="W464" s="27"/>
    </row>
    <row r="465" spans="1:23" ht="60" hidden="1" customHeight="1" x14ac:dyDescent="0.25">
      <c r="A465" s="45" t="str">
        <f>CONCATENATE(Tabla2[[#This Row],[id_solicitud]],Tabla2[[#This Row],[tipo]])</f>
        <v>290Proposicion</v>
      </c>
      <c r="B465" s="45">
        <f>COUNTIF($A$2:A465,A465)</f>
        <v>1</v>
      </c>
      <c r="C465" s="45" t="str">
        <f>Tabla2[[#This Row],[(id_solicitud-tipo_documento)]]&amp;B465</f>
        <v>290Proposicion1</v>
      </c>
      <c r="D465" s="45">
        <v>466</v>
      </c>
      <c r="E465" s="45">
        <v>290</v>
      </c>
      <c r="F465" s="45" t="s">
        <v>46</v>
      </c>
      <c r="G465" s="45" t="s">
        <v>1258</v>
      </c>
      <c r="H465" s="50" t="s">
        <v>20</v>
      </c>
      <c r="I465" s="51">
        <v>452</v>
      </c>
      <c r="J465" s="80"/>
      <c r="K4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452 DOH</v>
      </c>
      <c r="L465" s="48">
        <v>44750</v>
      </c>
      <c r="M465" s="48">
        <v>44750</v>
      </c>
      <c r="N465" s="49" t="s">
        <v>307</v>
      </c>
      <c r="O465" s="45">
        <v>1</v>
      </c>
      <c r="P465" s="80" t="s">
        <v>494</v>
      </c>
      <c r="Q465" s="24"/>
      <c r="R465" s="24" t="s">
        <v>24</v>
      </c>
      <c r="S465" s="114"/>
      <c r="T465" s="45"/>
      <c r="U465" s="48"/>
      <c r="V465" s="48"/>
      <c r="W465" s="27"/>
    </row>
    <row r="466" spans="1:23" ht="60" hidden="1" customHeight="1" x14ac:dyDescent="0.25">
      <c r="A466" s="45" t="str">
        <f>CONCATENATE(Tabla2[[#This Row],[id_solicitud]],Tabla2[[#This Row],[tipo]])</f>
        <v>278Proposicion</v>
      </c>
      <c r="B466" s="45">
        <f>COUNTIF($A$2:A466,A466)</f>
        <v>1</v>
      </c>
      <c r="C466" s="45" t="str">
        <f>Tabla2[[#This Row],[(id_solicitud-tipo_documento)]]&amp;B466</f>
        <v>278Proposicion1</v>
      </c>
      <c r="D466" s="45">
        <v>467</v>
      </c>
      <c r="E466" s="45">
        <v>278</v>
      </c>
      <c r="F466" s="45" t="s">
        <v>46</v>
      </c>
      <c r="G466" s="45" t="s">
        <v>60</v>
      </c>
      <c r="H466" s="50" t="s">
        <v>544</v>
      </c>
      <c r="I466" s="51">
        <v>453</v>
      </c>
      <c r="J466" s="80"/>
      <c r="K4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453 DAP_FETCovid19</v>
      </c>
      <c r="L466" s="48">
        <v>44750</v>
      </c>
      <c r="M466" s="48">
        <v>44750</v>
      </c>
      <c r="N466" s="49" t="s">
        <v>298</v>
      </c>
      <c r="O466" s="45">
        <v>10</v>
      </c>
      <c r="P466" s="80" t="s">
        <v>494</v>
      </c>
      <c r="Q466" s="24"/>
      <c r="R466" s="24" t="s">
        <v>24</v>
      </c>
      <c r="S466" s="114"/>
      <c r="T466" s="45"/>
      <c r="U466" s="48"/>
      <c r="V466" s="48"/>
      <c r="W466" s="27"/>
    </row>
    <row r="467" spans="1:23" ht="60" hidden="1" customHeight="1" x14ac:dyDescent="0.25">
      <c r="A467" s="45" t="str">
        <f>CONCATENATE(Tabla2[[#This Row],[id_solicitud]],Tabla2[[#This Row],[tipo]])</f>
        <v>197Proposicion</v>
      </c>
      <c r="B467" s="45">
        <f>COUNTIF($A$2:A467,A467)</f>
        <v>1</v>
      </c>
      <c r="C467" s="45" t="str">
        <f>Tabla2[[#This Row],[(id_solicitud-tipo_documento)]]&amp;B467</f>
        <v>197Proposicion1</v>
      </c>
      <c r="D467" s="45">
        <v>468</v>
      </c>
      <c r="E467" s="45">
        <v>197</v>
      </c>
      <c r="F467" s="45" t="s">
        <v>46</v>
      </c>
      <c r="G467" s="45" t="s">
        <v>60</v>
      </c>
      <c r="H467" s="50" t="s">
        <v>538</v>
      </c>
      <c r="I467" s="51">
        <v>454</v>
      </c>
      <c r="J467" s="80"/>
      <c r="K4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454 DV_FETCovid19</v>
      </c>
      <c r="L467" s="48">
        <v>44750</v>
      </c>
      <c r="M467" s="48">
        <v>44753</v>
      </c>
      <c r="N467" s="49" t="s">
        <v>659</v>
      </c>
      <c r="O467" s="45">
        <v>3</v>
      </c>
      <c r="P467" s="80" t="s">
        <v>494</v>
      </c>
      <c r="Q467" s="24"/>
      <c r="R467" s="24" t="s">
        <v>24</v>
      </c>
      <c r="S467" s="114"/>
      <c r="T467" s="45"/>
      <c r="U467" s="48"/>
      <c r="V467" s="48"/>
      <c r="W467" s="27"/>
    </row>
    <row r="468" spans="1:23" ht="60" hidden="1" customHeight="1" x14ac:dyDescent="0.25">
      <c r="A468" s="45" t="str">
        <f>CONCATENATE(Tabla2[[#This Row],[id_solicitud]],Tabla2[[#This Row],[tipo]])</f>
        <v>279Oficio_Solicitud</v>
      </c>
      <c r="B468" s="45">
        <f>COUNTIF($A$2:A468,A468)</f>
        <v>1</v>
      </c>
      <c r="C468" s="45" t="str">
        <f>Tabla2[[#This Row],[(id_solicitud-tipo_documento)]]&amp;B468</f>
        <v>279Oficio_Solicitud1</v>
      </c>
      <c r="D468" s="45">
        <v>469</v>
      </c>
      <c r="E468" s="45">
        <v>279</v>
      </c>
      <c r="F468" s="45" t="s">
        <v>53</v>
      </c>
      <c r="G468" s="45" t="s">
        <v>1258</v>
      </c>
      <c r="H468" s="50" t="s">
        <v>22</v>
      </c>
      <c r="I468" s="51">
        <v>454</v>
      </c>
      <c r="J468" s="80"/>
      <c r="K4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454 DOP</v>
      </c>
      <c r="L468" s="48">
        <v>44735</v>
      </c>
      <c r="M468" s="48">
        <v>44735</v>
      </c>
      <c r="N468" s="49" t="s">
        <v>299</v>
      </c>
      <c r="O468" s="45">
        <v>5</v>
      </c>
      <c r="P468" s="80" t="s">
        <v>494</v>
      </c>
      <c r="Q468" s="48"/>
      <c r="R468" s="45"/>
      <c r="S468" s="114"/>
      <c r="T468" s="52"/>
      <c r="U468" s="48"/>
      <c r="V468" s="48"/>
      <c r="W468" s="27"/>
    </row>
    <row r="469" spans="1:23" ht="60" hidden="1" customHeight="1" x14ac:dyDescent="0.25">
      <c r="A469" s="45" t="str">
        <f>CONCATENATE(Tabla2[[#This Row],[id_solicitud]],Tabla2[[#This Row],[tipo]])</f>
        <v>291Proposicion</v>
      </c>
      <c r="B469" s="45">
        <f>COUNTIF($A$2:A469,A469)</f>
        <v>1</v>
      </c>
      <c r="C469" s="45" t="str">
        <f>Tabla2[[#This Row],[(id_solicitud-tipo_documento)]]&amp;B469</f>
        <v>291Proposicion1</v>
      </c>
      <c r="D469" s="45">
        <v>470</v>
      </c>
      <c r="E469" s="45">
        <v>291</v>
      </c>
      <c r="F469" s="45" t="s">
        <v>46</v>
      </c>
      <c r="G469" s="45" t="s">
        <v>44</v>
      </c>
      <c r="H469" s="50" t="s">
        <v>14</v>
      </c>
      <c r="I469" s="51">
        <v>455</v>
      </c>
      <c r="J469" s="80"/>
      <c r="K4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455 DGA</v>
      </c>
      <c r="L469" s="48">
        <v>44750</v>
      </c>
      <c r="M469" s="48">
        <v>44753</v>
      </c>
      <c r="N469" s="49" t="s">
        <v>678</v>
      </c>
      <c r="O469" s="45"/>
      <c r="P469" s="80" t="s">
        <v>494</v>
      </c>
      <c r="Q469" s="24"/>
      <c r="R469" s="24" t="s">
        <v>24</v>
      </c>
      <c r="S469" s="114"/>
      <c r="T469" s="45"/>
      <c r="U469" s="48"/>
      <c r="V469" s="48"/>
      <c r="W469" s="27"/>
    </row>
    <row r="470" spans="1:23" ht="60" hidden="1" customHeight="1" x14ac:dyDescent="0.25">
      <c r="A470" s="45" t="str">
        <f>CONCATENATE(Tabla2[[#This Row],[id_solicitud]],Tabla2[[#This Row],[tipo]])</f>
        <v>273Proposicion</v>
      </c>
      <c r="B470" s="45">
        <f>COUNTIF($A$2:A470,A470)</f>
        <v>1</v>
      </c>
      <c r="C470" s="45" t="str">
        <f>Tabla2[[#This Row],[(id_solicitud-tipo_documento)]]&amp;B470</f>
        <v>273Proposicion1</v>
      </c>
      <c r="D470" s="45">
        <v>471</v>
      </c>
      <c r="E470" s="45">
        <v>273</v>
      </c>
      <c r="F470" s="45" t="s">
        <v>46</v>
      </c>
      <c r="G470" s="45" t="s">
        <v>1258</v>
      </c>
      <c r="H470" s="50" t="s">
        <v>20</v>
      </c>
      <c r="I470" s="51">
        <v>456</v>
      </c>
      <c r="J470" s="80"/>
      <c r="K4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456 DOH</v>
      </c>
      <c r="L470" s="48">
        <v>44750</v>
      </c>
      <c r="M470" s="48">
        <v>44750</v>
      </c>
      <c r="N470" s="49" t="s">
        <v>295</v>
      </c>
      <c r="O470" s="45">
        <v>4</v>
      </c>
      <c r="P470" s="80" t="s">
        <v>494</v>
      </c>
      <c r="Q470" s="24"/>
      <c r="R470" s="24" t="s">
        <v>24</v>
      </c>
      <c r="S470" s="114"/>
      <c r="T470" s="45"/>
      <c r="U470" s="48"/>
      <c r="V470" s="48"/>
      <c r="W470" s="27"/>
    </row>
    <row r="471" spans="1:23" ht="60" hidden="1" customHeight="1" x14ac:dyDescent="0.25">
      <c r="A471" s="45" t="str">
        <f>CONCATENATE(Tabla2[[#This Row],[id_solicitud]],Tabla2[[#This Row],[tipo]])</f>
        <v>323Oficio_Solicitud</v>
      </c>
      <c r="B471" s="45">
        <f>COUNTIF($A$2:A471,A471)</f>
        <v>1</v>
      </c>
      <c r="C471" s="45" t="str">
        <f>Tabla2[[#This Row],[(id_solicitud-tipo_documento)]]&amp;B471</f>
        <v>323Oficio_Solicitud1</v>
      </c>
      <c r="D471" s="45">
        <v>472</v>
      </c>
      <c r="E471" s="45">
        <v>323</v>
      </c>
      <c r="F471" s="45" t="s">
        <v>53</v>
      </c>
      <c r="G471" s="45" t="s">
        <v>40</v>
      </c>
      <c r="H471" s="50" t="s">
        <v>590</v>
      </c>
      <c r="I471" s="51">
        <v>456</v>
      </c>
      <c r="J471" s="80"/>
      <c r="K4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456 DOH-DCyF</v>
      </c>
      <c r="L471" s="48">
        <v>44769</v>
      </c>
      <c r="M471" s="48">
        <v>44769</v>
      </c>
      <c r="N471" s="49" t="s">
        <v>333</v>
      </c>
      <c r="O471" s="45"/>
      <c r="P471" s="80" t="s">
        <v>496</v>
      </c>
      <c r="Q471" s="48"/>
      <c r="R471" s="45"/>
      <c r="S471" s="114"/>
      <c r="T471" s="52"/>
      <c r="U471" s="48"/>
      <c r="V471" s="48"/>
      <c r="W471" s="27"/>
    </row>
    <row r="472" spans="1:23" ht="60" hidden="1" customHeight="1" x14ac:dyDescent="0.25">
      <c r="A472" s="45" t="str">
        <f>CONCATENATE(Tabla2[[#This Row],[id_solicitud]],Tabla2[[#This Row],[tipo]])</f>
        <v>324Oficio_Solicitud</v>
      </c>
      <c r="B472" s="45">
        <f>COUNTIF($A$2:A472,A472)</f>
        <v>1</v>
      </c>
      <c r="C472" s="45" t="str">
        <f>Tabla2[[#This Row],[(id_solicitud-tipo_documento)]]&amp;B472</f>
        <v>324Oficio_Solicitud1</v>
      </c>
      <c r="D472" s="45">
        <v>473</v>
      </c>
      <c r="E472" s="45">
        <v>324</v>
      </c>
      <c r="F472" s="45" t="s">
        <v>53</v>
      </c>
      <c r="G472" s="45" t="s">
        <v>44</v>
      </c>
      <c r="H472" s="50" t="s">
        <v>12</v>
      </c>
      <c r="I472" s="51">
        <v>456</v>
      </c>
      <c r="J472" s="80"/>
      <c r="K4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456 DCyF</v>
      </c>
      <c r="L472" s="48">
        <v>44769</v>
      </c>
      <c r="M472" s="48">
        <v>44769</v>
      </c>
      <c r="N472" s="49" t="s">
        <v>334</v>
      </c>
      <c r="O472" s="45"/>
      <c r="P472" s="80" t="s">
        <v>498</v>
      </c>
      <c r="Q472" s="48"/>
      <c r="R472" s="45"/>
      <c r="S472" s="114"/>
      <c r="T472" s="52"/>
      <c r="U472" s="48"/>
      <c r="V472" s="48"/>
      <c r="W472" s="27"/>
    </row>
    <row r="473" spans="1:23" ht="60" hidden="1" customHeight="1" x14ac:dyDescent="0.25">
      <c r="A473" s="45" t="str">
        <f>CONCATENATE(Tabla2[[#This Row],[id_solicitud]],Tabla2[[#This Row],[tipo]])</f>
        <v>100Resolucion</v>
      </c>
      <c r="B473" s="45">
        <f>COUNTIF($A$2:A473,A473)</f>
        <v>1</v>
      </c>
      <c r="C473" s="45" t="str">
        <f>Tabla2[[#This Row],[(id_solicitud-tipo_documento)]]&amp;B473</f>
        <v>100Resolucion1</v>
      </c>
      <c r="D473" s="45">
        <v>474</v>
      </c>
      <c r="E473" s="45">
        <v>100</v>
      </c>
      <c r="F473" s="45" t="s">
        <v>48</v>
      </c>
      <c r="G473" s="45"/>
      <c r="H473" s="50" t="s">
        <v>541</v>
      </c>
      <c r="I473" s="51">
        <v>458</v>
      </c>
      <c r="J473" s="80"/>
      <c r="K4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473" s="48">
        <v>44679</v>
      </c>
      <c r="M473" s="48"/>
      <c r="N473" s="49"/>
      <c r="O473" s="45"/>
      <c r="P473" s="80"/>
      <c r="Q473" s="48"/>
      <c r="R473" s="45"/>
      <c r="S473" s="114"/>
      <c r="T473" s="45"/>
      <c r="U473" s="48"/>
      <c r="V473" s="48"/>
      <c r="W473" s="27"/>
    </row>
    <row r="474" spans="1:23" ht="60" hidden="1" customHeight="1" x14ac:dyDescent="0.25">
      <c r="A474" s="45" t="str">
        <f>CONCATENATE(Tabla2[[#This Row],[id_solicitud]],Tabla2[[#This Row],[tipo]])</f>
        <v>366Proposicion</v>
      </c>
      <c r="B474" s="45">
        <f>COUNTIF($A$2:A474,A474)</f>
        <v>1</v>
      </c>
      <c r="C474" s="45" t="str">
        <f>Tabla2[[#This Row],[(id_solicitud-tipo_documento)]]&amp;B474</f>
        <v>366Proposicion1</v>
      </c>
      <c r="D474" s="45">
        <v>475</v>
      </c>
      <c r="E474" s="45">
        <v>366</v>
      </c>
      <c r="F474" s="45" t="s">
        <v>46</v>
      </c>
      <c r="G474" s="45" t="s">
        <v>44</v>
      </c>
      <c r="H474" s="50" t="s">
        <v>10</v>
      </c>
      <c r="I474" s="51">
        <v>458</v>
      </c>
      <c r="J474" s="80"/>
      <c r="K4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458 DAP</v>
      </c>
      <c r="L474" s="48">
        <v>44769</v>
      </c>
      <c r="M474" s="48">
        <v>44770</v>
      </c>
      <c r="N474" s="49" t="s">
        <v>700</v>
      </c>
      <c r="O474" s="45"/>
      <c r="P474" s="80" t="s">
        <v>497</v>
      </c>
      <c r="Q474" s="24"/>
      <c r="R474" s="24" t="s">
        <v>12</v>
      </c>
      <c r="S474" s="114"/>
      <c r="T474" s="45"/>
      <c r="U474" s="48"/>
      <c r="V474" s="48"/>
      <c r="W474" s="27"/>
    </row>
    <row r="475" spans="1:23" ht="60" hidden="1" customHeight="1" x14ac:dyDescent="0.25">
      <c r="A475" s="45" t="str">
        <f>CONCATENATE(Tabla2[[#This Row],[id_solicitud]],Tabla2[[#This Row],[tipo]])</f>
        <v>284Decreto</v>
      </c>
      <c r="B475" s="45">
        <f>COUNTIF($A$2:A475,A475)</f>
        <v>1</v>
      </c>
      <c r="C475" s="45" t="str">
        <f>Tabla2[[#This Row],[(id_solicitud-tipo_documento)]]&amp;B475</f>
        <v>284Decreto1</v>
      </c>
      <c r="D475" s="45">
        <v>476</v>
      </c>
      <c r="E475" s="45">
        <v>284</v>
      </c>
      <c r="F475" s="45" t="s">
        <v>47</v>
      </c>
      <c r="G475" s="45" t="s">
        <v>60</v>
      </c>
      <c r="H475" s="50" t="s">
        <v>20</v>
      </c>
      <c r="I475" s="51">
        <v>1373</v>
      </c>
      <c r="J475" s="80"/>
      <c r="K4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1373 DOH</v>
      </c>
      <c r="L475" s="48">
        <v>44810</v>
      </c>
      <c r="M475" s="48"/>
      <c r="N475" s="49" t="s">
        <v>970</v>
      </c>
      <c r="O475" s="45"/>
      <c r="P475" s="80"/>
      <c r="Q475" s="48"/>
      <c r="R475" s="45"/>
      <c r="S475" s="115">
        <v>672</v>
      </c>
      <c r="T475" s="20">
        <v>44805</v>
      </c>
      <c r="U475" s="20">
        <v>44827</v>
      </c>
      <c r="V475" s="20">
        <v>44827</v>
      </c>
      <c r="W475" s="27"/>
    </row>
    <row r="476" spans="1:23" ht="60" hidden="1" customHeight="1" x14ac:dyDescent="0.25">
      <c r="A476" s="45" t="str">
        <f>CONCATENATE(Tabla2[[#This Row],[id_solicitud]],Tabla2[[#This Row],[tipo]])</f>
        <v>287Oficio_Solicitud</v>
      </c>
      <c r="B476" s="45">
        <f>COUNTIF($A$2:A476,A476)</f>
        <v>1</v>
      </c>
      <c r="C476" s="45" t="str">
        <f>Tabla2[[#This Row],[(id_solicitud-tipo_documento)]]&amp;B476</f>
        <v>287Oficio_Solicitud1</v>
      </c>
      <c r="D476" s="45">
        <v>477</v>
      </c>
      <c r="E476" s="45">
        <v>287</v>
      </c>
      <c r="F476" s="45" t="s">
        <v>53</v>
      </c>
      <c r="G476" s="45" t="s">
        <v>1258</v>
      </c>
      <c r="H476" s="50" t="s">
        <v>541</v>
      </c>
      <c r="I476" s="51">
        <v>461</v>
      </c>
      <c r="J476" s="80"/>
      <c r="K4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461 DOP_FETCovid19</v>
      </c>
      <c r="L476" s="48">
        <v>44740</v>
      </c>
      <c r="M476" s="48">
        <v>44741</v>
      </c>
      <c r="N476" s="49" t="s">
        <v>304</v>
      </c>
      <c r="O476" s="45">
        <v>1</v>
      </c>
      <c r="P476" s="80" t="s">
        <v>494</v>
      </c>
      <c r="Q476" s="48"/>
      <c r="R476" s="45"/>
      <c r="S476" s="114"/>
      <c r="T476" s="52"/>
      <c r="U476" s="48"/>
      <c r="V476" s="48"/>
      <c r="W476" s="27"/>
    </row>
    <row r="477" spans="1:23" ht="60" hidden="1" customHeight="1" x14ac:dyDescent="0.25">
      <c r="A477" s="45" t="str">
        <f>CONCATENATE(Tabla2[[#This Row],[id_solicitud]],Tabla2[[#This Row],[tipo]])</f>
        <v>374Oficio_Solicitud</v>
      </c>
      <c r="B477" s="45">
        <f>COUNTIF($A$2:A477,A477)</f>
        <v>1</v>
      </c>
      <c r="C477" s="45" t="str">
        <f>Tabla2[[#This Row],[(id_solicitud-tipo_documento)]]&amp;B477</f>
        <v>374Oficio_Solicitud1</v>
      </c>
      <c r="D477" s="45">
        <v>478</v>
      </c>
      <c r="E477" s="45">
        <v>374</v>
      </c>
      <c r="F477" s="45" t="s">
        <v>53</v>
      </c>
      <c r="G477" s="45" t="s">
        <v>61</v>
      </c>
      <c r="H477" s="50" t="s">
        <v>544</v>
      </c>
      <c r="I477" s="51">
        <v>464</v>
      </c>
      <c r="J477" s="80"/>
      <c r="K4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464 DAP_FETCovid19</v>
      </c>
      <c r="L477" s="48">
        <v>44796</v>
      </c>
      <c r="M477" s="48">
        <v>44796</v>
      </c>
      <c r="N477" s="49" t="s">
        <v>373</v>
      </c>
      <c r="O477" s="45">
        <f>1+9</f>
        <v>10</v>
      </c>
      <c r="P477" s="80" t="s">
        <v>494</v>
      </c>
      <c r="Q477" s="48">
        <v>44797</v>
      </c>
      <c r="R477" s="45"/>
      <c r="S477" s="114"/>
      <c r="T477" s="52"/>
      <c r="U477" s="48"/>
      <c r="V477" s="48"/>
      <c r="W477" s="27"/>
    </row>
    <row r="478" spans="1:23" ht="60" hidden="1" customHeight="1" x14ac:dyDescent="0.25">
      <c r="A478" s="45" t="str">
        <f>CONCATENATE(Tabla2[[#This Row],[id_solicitud]],Tabla2[[#This Row],[tipo]])</f>
        <v>375Oficio_Solicitud</v>
      </c>
      <c r="B478" s="45">
        <f>COUNTIF($A$2:A478,A478)</f>
        <v>1</v>
      </c>
      <c r="C478" s="45" t="str">
        <f>Tabla2[[#This Row],[(id_solicitud-tipo_documento)]]&amp;B478</f>
        <v>375Oficio_Solicitud1</v>
      </c>
      <c r="D478" s="45">
        <v>479</v>
      </c>
      <c r="E478" s="45">
        <v>375</v>
      </c>
      <c r="F478" s="45" t="s">
        <v>53</v>
      </c>
      <c r="G478" s="45" t="s">
        <v>1258</v>
      </c>
      <c r="H478" s="50" t="s">
        <v>10</v>
      </c>
      <c r="I478" s="51">
        <v>467</v>
      </c>
      <c r="J478" s="80"/>
      <c r="K4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467 DAP</v>
      </c>
      <c r="L478" s="48">
        <v>44796</v>
      </c>
      <c r="M478" s="48">
        <v>44797</v>
      </c>
      <c r="N478" s="49" t="s">
        <v>374</v>
      </c>
      <c r="O478" s="45">
        <v>2</v>
      </c>
      <c r="P478" s="80" t="s">
        <v>494</v>
      </c>
      <c r="Q478" s="48"/>
      <c r="R478" s="45"/>
      <c r="S478" s="114"/>
      <c r="T478" s="52"/>
      <c r="U478" s="48"/>
      <c r="V478" s="48"/>
      <c r="W478" s="27"/>
    </row>
    <row r="479" spans="1:23" ht="60" hidden="1" customHeight="1" x14ac:dyDescent="0.25">
      <c r="A479" s="45" t="str">
        <f>CONCATENATE(Tabla2[[#This Row],[id_solicitud]],Tabla2[[#This Row],[tipo]])</f>
        <v>32Resolucion</v>
      </c>
      <c r="B479" s="45">
        <f>COUNTIF($A$2:A479,A479)</f>
        <v>1</v>
      </c>
      <c r="C479" s="45" t="str">
        <f>Tabla2[[#This Row],[(id_solicitud-tipo_documento)]]&amp;B479</f>
        <v>32Resolucion1</v>
      </c>
      <c r="D479" s="45">
        <v>480</v>
      </c>
      <c r="E479" s="45">
        <v>32</v>
      </c>
      <c r="F479" s="45" t="s">
        <v>48</v>
      </c>
      <c r="G479" s="45"/>
      <c r="H479" s="50" t="s">
        <v>26</v>
      </c>
      <c r="I479" s="51">
        <v>470</v>
      </c>
      <c r="J479" s="80"/>
      <c r="K4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479" s="48">
        <v>44620</v>
      </c>
      <c r="M479" s="48"/>
      <c r="N479" s="49"/>
      <c r="O479" s="45"/>
      <c r="P479" s="80"/>
      <c r="Q479" s="48"/>
      <c r="R479" s="45"/>
      <c r="S479" s="114"/>
      <c r="T479" s="45"/>
      <c r="U479" s="48"/>
      <c r="V479" s="48"/>
      <c r="W479" s="27"/>
    </row>
    <row r="480" spans="1:23" ht="60" hidden="1" customHeight="1" x14ac:dyDescent="0.25">
      <c r="A480" s="45" t="str">
        <f>CONCATENATE(Tabla2[[#This Row],[id_solicitud]],Tabla2[[#This Row],[tipo]])</f>
        <v>385Oficio_Solicitud</v>
      </c>
      <c r="B480" s="45">
        <f>COUNTIF($A$2:A480,A480)</f>
        <v>1</v>
      </c>
      <c r="C480" s="45" t="str">
        <f>Tabla2[[#This Row],[(id_solicitud-tipo_documento)]]&amp;B480</f>
        <v>385Oficio_Solicitud1</v>
      </c>
      <c r="D480" s="45">
        <v>481</v>
      </c>
      <c r="E480" s="45">
        <v>385</v>
      </c>
      <c r="F480" s="45" t="s">
        <v>53</v>
      </c>
      <c r="G480" s="45" t="s">
        <v>1258</v>
      </c>
      <c r="H480" s="50" t="s">
        <v>544</v>
      </c>
      <c r="I480" s="51">
        <v>473</v>
      </c>
      <c r="J480" s="80"/>
      <c r="K4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473 DAP_FETCovid19</v>
      </c>
      <c r="L480" s="48">
        <v>44798</v>
      </c>
      <c r="M480" s="48">
        <v>44799</v>
      </c>
      <c r="N480" s="49" t="s">
        <v>382</v>
      </c>
      <c r="O480" s="45">
        <v>1</v>
      </c>
      <c r="P480" s="80" t="s">
        <v>494</v>
      </c>
      <c r="Q480" s="48"/>
      <c r="R480" s="45"/>
      <c r="S480" s="114"/>
      <c r="T480" s="52"/>
      <c r="U480" s="48"/>
      <c r="V480" s="48"/>
      <c r="W480" s="27"/>
    </row>
    <row r="481" spans="1:23" ht="60" hidden="1" customHeight="1" x14ac:dyDescent="0.25">
      <c r="A481" s="45" t="str">
        <f>CONCATENATE(Tabla2[[#This Row],[id_solicitud]],Tabla2[[#This Row],[tipo]])</f>
        <v>300Proposicion</v>
      </c>
      <c r="B481" s="45">
        <f>COUNTIF($A$2:A481,A481)</f>
        <v>1</v>
      </c>
      <c r="C481" s="45" t="str">
        <f>Tabla2[[#This Row],[(id_solicitud-tipo_documento)]]&amp;B481</f>
        <v>300Proposicion1</v>
      </c>
      <c r="D481" s="45">
        <v>482</v>
      </c>
      <c r="E481" s="45">
        <v>300</v>
      </c>
      <c r="F481" s="45" t="s">
        <v>46</v>
      </c>
      <c r="G481" s="45" t="s">
        <v>60</v>
      </c>
      <c r="H481" s="50" t="s">
        <v>26</v>
      </c>
      <c r="I481" s="51">
        <v>474</v>
      </c>
      <c r="J481" s="80"/>
      <c r="K4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474 DV</v>
      </c>
      <c r="L481" s="48">
        <v>44761</v>
      </c>
      <c r="M481" s="48">
        <v>44762</v>
      </c>
      <c r="N481" s="49" t="s">
        <v>313</v>
      </c>
      <c r="O481" s="45">
        <v>3</v>
      </c>
      <c r="P481" s="80" t="s">
        <v>494</v>
      </c>
      <c r="Q481" s="24"/>
      <c r="R481" s="24" t="s">
        <v>24</v>
      </c>
      <c r="S481" s="114"/>
      <c r="T481" s="45"/>
      <c r="U481" s="48"/>
      <c r="V481" s="48"/>
      <c r="W481" s="27"/>
    </row>
    <row r="482" spans="1:23" ht="60" hidden="1" customHeight="1" x14ac:dyDescent="0.25">
      <c r="A482" s="45" t="str">
        <f>CONCATENATE(Tabla2[[#This Row],[id_solicitud]],Tabla2[[#This Row],[tipo]])</f>
        <v>390Oficio_Solicitud</v>
      </c>
      <c r="B482" s="45">
        <f>COUNTIF($A$2:A482,A482)</f>
        <v>1</v>
      </c>
      <c r="C482" s="45" t="str">
        <f>Tabla2[[#This Row],[(id_solicitud-tipo_documento)]]&amp;B482</f>
        <v>390Oficio_Solicitud1</v>
      </c>
      <c r="D482" s="45">
        <v>483</v>
      </c>
      <c r="E482" s="45">
        <v>390</v>
      </c>
      <c r="F482" s="45" t="s">
        <v>53</v>
      </c>
      <c r="G482" s="45" t="s">
        <v>40</v>
      </c>
      <c r="H482" s="50" t="s">
        <v>10</v>
      </c>
      <c r="I482" s="51">
        <v>477</v>
      </c>
      <c r="J482" s="80"/>
      <c r="K4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477 DAP</v>
      </c>
      <c r="L482" s="48">
        <v>44802</v>
      </c>
      <c r="M482" s="48">
        <v>44802</v>
      </c>
      <c r="N482" s="49" t="s">
        <v>386</v>
      </c>
      <c r="O482" s="45">
        <v>0</v>
      </c>
      <c r="P482" s="80" t="s">
        <v>503</v>
      </c>
      <c r="Q482" s="48"/>
      <c r="R482" s="45"/>
      <c r="S482" s="114"/>
      <c r="T482" s="52"/>
      <c r="U482" s="48"/>
      <c r="V482" s="48"/>
      <c r="W482" s="27"/>
    </row>
    <row r="483" spans="1:23" ht="60" hidden="1" customHeight="1" x14ac:dyDescent="0.25">
      <c r="A483" s="45" t="str">
        <f>CONCATENATE(Tabla2[[#This Row],[id_solicitud]],Tabla2[[#This Row],[tipo]])</f>
        <v>393Oficio_Solicitud</v>
      </c>
      <c r="B483" s="45">
        <f>COUNTIF($A$2:A483,A483)</f>
        <v>1</v>
      </c>
      <c r="C483" s="45" t="str">
        <f>Tabla2[[#This Row],[(id_solicitud-tipo_documento)]]&amp;B483</f>
        <v>393Oficio_Solicitud1</v>
      </c>
      <c r="D483" s="45">
        <v>484</v>
      </c>
      <c r="E483" s="45">
        <v>393</v>
      </c>
      <c r="F483" s="45" t="s">
        <v>53</v>
      </c>
      <c r="G483" s="45" t="s">
        <v>1258</v>
      </c>
      <c r="H483" s="50" t="s">
        <v>10</v>
      </c>
      <c r="I483" s="51">
        <v>478</v>
      </c>
      <c r="J483" s="80"/>
      <c r="K4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478 DAP</v>
      </c>
      <c r="L483" s="48">
        <v>44803</v>
      </c>
      <c r="M483" s="48">
        <v>44804</v>
      </c>
      <c r="N483" s="49" t="s">
        <v>389</v>
      </c>
      <c r="O483" s="45">
        <v>3</v>
      </c>
      <c r="P483" s="80" t="s">
        <v>494</v>
      </c>
      <c r="Q483" s="48"/>
      <c r="R483" s="45"/>
      <c r="S483" s="114"/>
      <c r="T483" s="52"/>
      <c r="U483" s="48"/>
      <c r="V483" s="48"/>
      <c r="W483" s="27"/>
    </row>
    <row r="484" spans="1:23" ht="60" hidden="1" customHeight="1" x14ac:dyDescent="0.25">
      <c r="A484" s="45" t="str">
        <f>CONCATENATE(Tabla2[[#This Row],[id_solicitud]],Tabla2[[#This Row],[tipo]])</f>
        <v>392Oficio_Solicitud</v>
      </c>
      <c r="B484" s="45">
        <f>COUNTIF($A$2:A484,A484)</f>
        <v>1</v>
      </c>
      <c r="C484" s="45" t="str">
        <f>Tabla2[[#This Row],[(id_solicitud-tipo_documento)]]&amp;B484</f>
        <v>392Oficio_Solicitud1</v>
      </c>
      <c r="D484" s="45">
        <v>485</v>
      </c>
      <c r="E484" s="45">
        <v>392</v>
      </c>
      <c r="F484" s="45" t="s">
        <v>53</v>
      </c>
      <c r="G484" s="45" t="s">
        <v>60</v>
      </c>
      <c r="H484" s="50" t="s">
        <v>10</v>
      </c>
      <c r="I484" s="51">
        <v>479</v>
      </c>
      <c r="J484" s="80"/>
      <c r="K4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479 DAP</v>
      </c>
      <c r="L484" s="48">
        <v>44803</v>
      </c>
      <c r="M484" s="48">
        <v>44804</v>
      </c>
      <c r="N484" s="49" t="s">
        <v>388</v>
      </c>
      <c r="O484" s="45">
        <f>2+29</f>
        <v>31</v>
      </c>
      <c r="P484" s="80" t="s">
        <v>494</v>
      </c>
      <c r="Q484" s="48">
        <v>44811</v>
      </c>
      <c r="R484" s="45"/>
      <c r="S484" s="114"/>
      <c r="T484" s="52"/>
      <c r="U484" s="48"/>
      <c r="V484" s="48"/>
      <c r="W484" s="27"/>
    </row>
    <row r="485" spans="1:23" ht="60" hidden="1" customHeight="1" x14ac:dyDescent="0.25">
      <c r="A485" s="45" t="str">
        <f>CONCATENATE(Tabla2[[#This Row],[id_solicitud]],Tabla2[[#This Row],[tipo]])</f>
        <v>293Proposicion</v>
      </c>
      <c r="B485" s="45">
        <f>COUNTIF($A$2:A485,A485)</f>
        <v>1</v>
      </c>
      <c r="C485" s="45" t="str">
        <f>Tabla2[[#This Row],[(id_solicitud-tipo_documento)]]&amp;B485</f>
        <v>293Proposicion1</v>
      </c>
      <c r="D485" s="45">
        <v>486</v>
      </c>
      <c r="E485" s="45">
        <v>293</v>
      </c>
      <c r="F485" s="45" t="s">
        <v>46</v>
      </c>
      <c r="G485" s="45" t="s">
        <v>1258</v>
      </c>
      <c r="H485" s="50" t="s">
        <v>538</v>
      </c>
      <c r="I485" s="51">
        <v>481</v>
      </c>
      <c r="J485" s="80"/>
      <c r="K4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481 DV_FETCovid19</v>
      </c>
      <c r="L485" s="48">
        <v>44763</v>
      </c>
      <c r="M485" s="48">
        <v>44763</v>
      </c>
      <c r="N485" s="49" t="s">
        <v>679</v>
      </c>
      <c r="O485" s="45">
        <v>6</v>
      </c>
      <c r="P485" s="80" t="s">
        <v>494</v>
      </c>
      <c r="Q485" s="24"/>
      <c r="R485" s="24" t="s">
        <v>24</v>
      </c>
      <c r="S485" s="114"/>
      <c r="T485" s="45"/>
      <c r="U485" s="48"/>
      <c r="V485" s="48"/>
      <c r="W485" s="27"/>
    </row>
    <row r="486" spans="1:23" ht="60" hidden="1" customHeight="1" x14ac:dyDescent="0.25">
      <c r="A486" s="45" t="str">
        <f>CONCATENATE(Tabla2[[#This Row],[id_solicitud]],Tabla2[[#This Row],[tipo]])</f>
        <v>299Proposicion</v>
      </c>
      <c r="B486" s="45">
        <f>COUNTIF($A$2:A486,A486)</f>
        <v>1</v>
      </c>
      <c r="C486" s="45" t="str">
        <f>Tabla2[[#This Row],[(id_solicitud-tipo_documento)]]&amp;B486</f>
        <v>299Proposicion1</v>
      </c>
      <c r="D486" s="45">
        <v>487</v>
      </c>
      <c r="E486" s="45">
        <v>299</v>
      </c>
      <c r="F486" s="45" t="s">
        <v>46</v>
      </c>
      <c r="G486" s="45" t="s">
        <v>1258</v>
      </c>
      <c r="H486" s="50" t="s">
        <v>10</v>
      </c>
      <c r="I486" s="51">
        <v>482</v>
      </c>
      <c r="J486" s="80"/>
      <c r="K4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482 DAP</v>
      </c>
      <c r="L486" s="48">
        <v>44763</v>
      </c>
      <c r="M486" s="48">
        <v>44764</v>
      </c>
      <c r="N486" s="49" t="s">
        <v>312</v>
      </c>
      <c r="O486" s="45">
        <v>1</v>
      </c>
      <c r="P486" s="80" t="s">
        <v>494</v>
      </c>
      <c r="Q486" s="24"/>
      <c r="R486" s="24" t="s">
        <v>24</v>
      </c>
      <c r="S486" s="114"/>
      <c r="T486" s="45"/>
      <c r="U486" s="48"/>
      <c r="V486" s="48"/>
      <c r="W486" s="27"/>
    </row>
    <row r="487" spans="1:23" ht="60" hidden="1" customHeight="1" x14ac:dyDescent="0.25">
      <c r="A487" s="45" t="str">
        <f>CONCATENATE(Tabla2[[#This Row],[id_solicitud]],Tabla2[[#This Row],[tipo]])</f>
        <v>306Proposicion</v>
      </c>
      <c r="B487" s="45">
        <f>COUNTIF($A$2:A487,A487)</f>
        <v>1</v>
      </c>
      <c r="C487" s="45" t="str">
        <f>Tabla2[[#This Row],[(id_solicitud-tipo_documento)]]&amp;B487</f>
        <v>306Proposicion1</v>
      </c>
      <c r="D487" s="45">
        <v>488</v>
      </c>
      <c r="E487" s="45">
        <v>306</v>
      </c>
      <c r="F487" s="45" t="s">
        <v>46</v>
      </c>
      <c r="G487" s="45" t="s">
        <v>1258</v>
      </c>
      <c r="H487" s="50" t="s">
        <v>581</v>
      </c>
      <c r="I487" s="51">
        <v>483</v>
      </c>
      <c r="J487" s="80"/>
      <c r="K4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483 DAP-DAP_FETCovid19</v>
      </c>
      <c r="L487" s="48">
        <v>44763</v>
      </c>
      <c r="M487" s="48">
        <v>44764</v>
      </c>
      <c r="N487" s="49" t="s">
        <v>318</v>
      </c>
      <c r="O487" s="45">
        <v>1</v>
      </c>
      <c r="P487" s="80" t="s">
        <v>494</v>
      </c>
      <c r="Q487" s="24"/>
      <c r="R487" s="24" t="s">
        <v>24</v>
      </c>
      <c r="S487" s="114"/>
      <c r="T487" s="45"/>
      <c r="U487" s="48"/>
      <c r="V487" s="48"/>
      <c r="W487" s="27"/>
    </row>
    <row r="488" spans="1:23" ht="60" hidden="1" customHeight="1" x14ac:dyDescent="0.25">
      <c r="A488" s="45" t="str">
        <f>CONCATENATE(Tabla2[[#This Row],[id_solicitud]],Tabla2[[#This Row],[tipo]])</f>
        <v>292Proposicion</v>
      </c>
      <c r="B488" s="45">
        <f>COUNTIF($A$2:A488,A488)</f>
        <v>1</v>
      </c>
      <c r="C488" s="45" t="str">
        <f>Tabla2[[#This Row],[(id_solicitud-tipo_documento)]]&amp;B488</f>
        <v>292Proposicion1</v>
      </c>
      <c r="D488" s="45">
        <v>489</v>
      </c>
      <c r="E488" s="45">
        <v>292</v>
      </c>
      <c r="F488" s="45" t="s">
        <v>46</v>
      </c>
      <c r="G488" s="45" t="s">
        <v>1258</v>
      </c>
      <c r="H488" s="50" t="s">
        <v>26</v>
      </c>
      <c r="I488" s="51">
        <v>485</v>
      </c>
      <c r="J488" s="80"/>
      <c r="K4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485 DV</v>
      </c>
      <c r="L488" s="48">
        <v>44764</v>
      </c>
      <c r="M488" s="48">
        <v>44764</v>
      </c>
      <c r="N488" s="49" t="s">
        <v>309</v>
      </c>
      <c r="O488" s="45">
        <v>26</v>
      </c>
      <c r="P488" s="80" t="s">
        <v>494</v>
      </c>
      <c r="Q488" s="24"/>
      <c r="R488" s="24" t="s">
        <v>24</v>
      </c>
      <c r="S488" s="114"/>
      <c r="T488" s="45"/>
      <c r="U488" s="48"/>
      <c r="V488" s="48"/>
      <c r="W488" s="27"/>
    </row>
    <row r="489" spans="1:23" ht="60" hidden="1" customHeight="1" x14ac:dyDescent="0.25">
      <c r="A489" s="45" t="str">
        <f>CONCATENATE(Tabla2[[#This Row],[id_solicitud]],Tabla2[[#This Row],[tipo]])</f>
        <v>303Proposicion</v>
      </c>
      <c r="B489" s="45">
        <f>COUNTIF($A$2:A489,A489)</f>
        <v>1</v>
      </c>
      <c r="C489" s="45" t="str">
        <f>Tabla2[[#This Row],[(id_solicitud-tipo_documento)]]&amp;B489</f>
        <v>303Proposicion1</v>
      </c>
      <c r="D489" s="45">
        <v>490</v>
      </c>
      <c r="E489" s="45">
        <v>303</v>
      </c>
      <c r="F489" s="45" t="s">
        <v>46</v>
      </c>
      <c r="G489" s="45" t="s">
        <v>44</v>
      </c>
      <c r="H489" s="50" t="s">
        <v>565</v>
      </c>
      <c r="I489" s="51">
        <v>487</v>
      </c>
      <c r="J489" s="80"/>
      <c r="K4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487 DGA_FETCovid19</v>
      </c>
      <c r="L489" s="48">
        <v>44764</v>
      </c>
      <c r="M489" s="48">
        <v>44767</v>
      </c>
      <c r="N489" s="49" t="s">
        <v>316</v>
      </c>
      <c r="O489" s="45"/>
      <c r="P489" s="80" t="s">
        <v>498</v>
      </c>
      <c r="Q489" s="24"/>
      <c r="R489" s="24" t="s">
        <v>24</v>
      </c>
      <c r="S489" s="114"/>
      <c r="T489" s="45"/>
      <c r="U489" s="48"/>
      <c r="V489" s="48"/>
      <c r="W489" s="27"/>
    </row>
    <row r="490" spans="1:23" ht="60" hidden="1" customHeight="1" x14ac:dyDescent="0.25">
      <c r="A490" s="45" t="str">
        <f>CONCATENATE(Tabla2[[#This Row],[id_solicitud]],Tabla2[[#This Row],[tipo]])</f>
        <v>294Proposicion</v>
      </c>
      <c r="B490" s="45">
        <f>COUNTIF($A$2:A490,A490)</f>
        <v>1</v>
      </c>
      <c r="C490" s="45" t="str">
        <f>Tabla2[[#This Row],[(id_solicitud-tipo_documento)]]&amp;B490</f>
        <v>294Proposicion1</v>
      </c>
      <c r="D490" s="45">
        <v>491</v>
      </c>
      <c r="E490" s="45">
        <v>294</v>
      </c>
      <c r="F490" s="45" t="s">
        <v>46</v>
      </c>
      <c r="G490" s="45" t="s">
        <v>1258</v>
      </c>
      <c r="H490" s="50" t="s">
        <v>565</v>
      </c>
      <c r="I490" s="51">
        <v>489</v>
      </c>
      <c r="J490" s="80"/>
      <c r="K4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489 DGA_FETCovid19</v>
      </c>
      <c r="L490" s="48">
        <v>44767</v>
      </c>
      <c r="M490" s="48">
        <v>44767</v>
      </c>
      <c r="N490" s="49" t="s">
        <v>680</v>
      </c>
      <c r="O490" s="45">
        <v>3</v>
      </c>
      <c r="P490" s="80" t="s">
        <v>494</v>
      </c>
      <c r="Q490" s="24"/>
      <c r="R490" s="24" t="s">
        <v>24</v>
      </c>
      <c r="S490" s="114"/>
      <c r="T490" s="45"/>
      <c r="U490" s="48"/>
      <c r="V490" s="48"/>
      <c r="W490" s="27"/>
    </row>
    <row r="491" spans="1:23" ht="60" hidden="1" customHeight="1" x14ac:dyDescent="0.25">
      <c r="A491" s="45" t="str">
        <f>CONCATENATE(Tabla2[[#This Row],[id_solicitud]],Tabla2[[#This Row],[tipo]])</f>
        <v>367Proposicion</v>
      </c>
      <c r="B491" s="45">
        <f>COUNTIF($A$2:A491,A491)</f>
        <v>1</v>
      </c>
      <c r="C491" s="45" t="str">
        <f>Tabla2[[#This Row],[(id_solicitud-tipo_documento)]]&amp;B491</f>
        <v>367Proposicion1</v>
      </c>
      <c r="D491" s="45">
        <v>492</v>
      </c>
      <c r="E491" s="45">
        <v>367</v>
      </c>
      <c r="F491" s="45" t="s">
        <v>46</v>
      </c>
      <c r="G491" s="45" t="s">
        <v>44</v>
      </c>
      <c r="H491" s="50" t="s">
        <v>35</v>
      </c>
      <c r="I491" s="51">
        <v>492</v>
      </c>
      <c r="J491" s="80"/>
      <c r="K4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492 SOP</v>
      </c>
      <c r="L491" s="48">
        <v>44775</v>
      </c>
      <c r="M491" s="48">
        <v>44775</v>
      </c>
      <c r="N491" s="49" t="s">
        <v>701</v>
      </c>
      <c r="O491" s="45"/>
      <c r="P491" s="80" t="s">
        <v>500</v>
      </c>
      <c r="Q491" s="24"/>
      <c r="R491" s="24" t="s">
        <v>12</v>
      </c>
      <c r="S491" s="114"/>
      <c r="T491" s="45"/>
      <c r="U491" s="48"/>
      <c r="V491" s="48"/>
      <c r="W491" s="27"/>
    </row>
    <row r="492" spans="1:23" ht="60" hidden="1" customHeight="1" x14ac:dyDescent="0.25">
      <c r="A492" s="45" t="str">
        <f>CONCATENATE(Tabla2[[#This Row],[id_solicitud]],Tabla2[[#This Row],[tipo]])</f>
        <v>302Proposicion</v>
      </c>
      <c r="B492" s="45">
        <f>COUNTIF($A$2:A492,A492)</f>
        <v>1</v>
      </c>
      <c r="C492" s="45" t="str">
        <f>Tabla2[[#This Row],[(id_solicitud-tipo_documento)]]&amp;B492</f>
        <v>302Proposicion1</v>
      </c>
      <c r="D492" s="45">
        <v>493</v>
      </c>
      <c r="E492" s="45">
        <v>302</v>
      </c>
      <c r="F492" s="45" t="s">
        <v>46</v>
      </c>
      <c r="G492" s="45" t="s">
        <v>44</v>
      </c>
      <c r="H492" s="50" t="s">
        <v>8</v>
      </c>
      <c r="I492" s="51">
        <v>493</v>
      </c>
      <c r="J492" s="80"/>
      <c r="K4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493 DA</v>
      </c>
      <c r="L492" s="48">
        <v>44768</v>
      </c>
      <c r="M492" s="48">
        <v>44769</v>
      </c>
      <c r="N492" s="49" t="s">
        <v>315</v>
      </c>
      <c r="O492" s="45"/>
      <c r="P492" s="80" t="s">
        <v>494</v>
      </c>
      <c r="Q492" s="24"/>
      <c r="R492" s="24" t="s">
        <v>24</v>
      </c>
      <c r="S492" s="114"/>
      <c r="T492" s="45"/>
      <c r="U492" s="48"/>
      <c r="V492" s="48"/>
      <c r="W492" s="27"/>
    </row>
    <row r="493" spans="1:23" ht="60" hidden="1" customHeight="1" x14ac:dyDescent="0.25">
      <c r="A493" s="45" t="str">
        <f>CONCATENATE(Tabla2[[#This Row],[id_solicitud]],Tabla2[[#This Row],[tipo]])</f>
        <v>325Proposicion</v>
      </c>
      <c r="B493" s="45">
        <f>COUNTIF($A$2:A493,A493)</f>
        <v>1</v>
      </c>
      <c r="C493" s="45" t="str">
        <f>Tabla2[[#This Row],[(id_solicitud-tipo_documento)]]&amp;B493</f>
        <v>325Proposicion1</v>
      </c>
      <c r="D493" s="45">
        <v>494</v>
      </c>
      <c r="E493" s="45">
        <v>325</v>
      </c>
      <c r="F493" s="45" t="s">
        <v>46</v>
      </c>
      <c r="G493" s="45" t="s">
        <v>44</v>
      </c>
      <c r="H493" s="50" t="s">
        <v>26</v>
      </c>
      <c r="I493" s="51">
        <v>493</v>
      </c>
      <c r="J493" s="80"/>
      <c r="K4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493 DV</v>
      </c>
      <c r="L493" s="48">
        <v>44776</v>
      </c>
      <c r="M493" s="48">
        <v>44776</v>
      </c>
      <c r="N493" s="49" t="s">
        <v>335</v>
      </c>
      <c r="O493" s="45"/>
      <c r="P493" s="80" t="s">
        <v>500</v>
      </c>
      <c r="Q493" s="24"/>
      <c r="R493" s="24" t="s">
        <v>12</v>
      </c>
      <c r="S493" s="114"/>
      <c r="T493" s="45"/>
      <c r="U493" s="48"/>
      <c r="V493" s="48"/>
      <c r="W493" s="27"/>
    </row>
    <row r="494" spans="1:23" ht="60" customHeight="1" x14ac:dyDescent="0.25">
      <c r="A494" s="45" t="str">
        <f>CONCATENATE(Tabla2[[#This Row],[id_solicitud]],Tabla2[[#This Row],[tipo]])</f>
        <v>140Resolucion</v>
      </c>
      <c r="B494" s="45">
        <f>COUNTIF($A$2:A494,A494)</f>
        <v>1</v>
      </c>
      <c r="C494" s="45" t="str">
        <f>Tabla2[[#This Row],[(id_solicitud-tipo_documento)]]&amp;B494</f>
        <v>140Resolucion1</v>
      </c>
      <c r="D494" s="45">
        <v>1004</v>
      </c>
      <c r="E494" s="45">
        <v>140</v>
      </c>
      <c r="F494" s="45" t="s">
        <v>48</v>
      </c>
      <c r="G494" s="45"/>
      <c r="H494" s="50" t="s">
        <v>26</v>
      </c>
      <c r="I494" s="51">
        <v>1285</v>
      </c>
      <c r="J494" s="80"/>
      <c r="K4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494" s="48">
        <v>44712</v>
      </c>
      <c r="M494" s="48"/>
      <c r="N494" s="49"/>
      <c r="O494" s="45"/>
      <c r="P494" s="80"/>
      <c r="Q494" s="48"/>
      <c r="R494" s="45"/>
      <c r="S494" s="114"/>
      <c r="T494" s="45"/>
      <c r="U494" s="48"/>
      <c r="V494" s="48"/>
      <c r="W494" s="27"/>
    </row>
    <row r="495" spans="1:23" ht="60" hidden="1" customHeight="1" x14ac:dyDescent="0.25">
      <c r="A495" s="45" t="str">
        <f>CONCATENATE(Tabla2[[#This Row],[id_solicitud]],Tabla2[[#This Row],[tipo]])</f>
        <v>368Proposicion</v>
      </c>
      <c r="B495" s="45">
        <f>COUNTIF($A$2:A495,A495)</f>
        <v>1</v>
      </c>
      <c r="C495" s="45" t="str">
        <f>Tabla2[[#This Row],[(id_solicitud-tipo_documento)]]&amp;B495</f>
        <v>368Proposicion1</v>
      </c>
      <c r="D495" s="45">
        <v>496</v>
      </c>
      <c r="E495" s="45">
        <v>368</v>
      </c>
      <c r="F495" s="45" t="s">
        <v>46</v>
      </c>
      <c r="G495" s="45" t="s">
        <v>44</v>
      </c>
      <c r="H495" s="50" t="s">
        <v>35</v>
      </c>
      <c r="I495" s="51">
        <v>494</v>
      </c>
      <c r="J495" s="80"/>
      <c r="K4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494 SOP</v>
      </c>
      <c r="L495" s="48">
        <v>44776</v>
      </c>
      <c r="M495" s="48">
        <v>44776</v>
      </c>
      <c r="N495" s="49" t="s">
        <v>702</v>
      </c>
      <c r="O495" s="45"/>
      <c r="P495" s="80" t="s">
        <v>500</v>
      </c>
      <c r="Q495" s="24"/>
      <c r="R495" s="24" t="s">
        <v>12</v>
      </c>
      <c r="S495" s="114"/>
      <c r="T495" s="45"/>
      <c r="U495" s="48"/>
      <c r="V495" s="48"/>
      <c r="W495" s="27"/>
    </row>
    <row r="496" spans="1:23" ht="60" hidden="1" customHeight="1" x14ac:dyDescent="0.25">
      <c r="A496" s="45" t="str">
        <f>CONCATENATE(Tabla2[[#This Row],[id_solicitud]],Tabla2[[#This Row],[tipo]])</f>
        <v>78Decreto</v>
      </c>
      <c r="B496" s="45">
        <f>COUNTIF($A$2:A496,A496)</f>
        <v>1</v>
      </c>
      <c r="C496" s="45" t="str">
        <f>Tabla2[[#This Row],[(id_solicitud-tipo_documento)]]&amp;B496</f>
        <v>78Decreto1</v>
      </c>
      <c r="D496" s="45">
        <v>497</v>
      </c>
      <c r="E496" s="45">
        <v>78</v>
      </c>
      <c r="F496" s="45" t="s">
        <v>47</v>
      </c>
      <c r="G496" s="45" t="s">
        <v>60</v>
      </c>
      <c r="H496" s="50" t="s">
        <v>559</v>
      </c>
      <c r="I496" s="51">
        <v>496</v>
      </c>
      <c r="J496" s="80"/>
      <c r="K4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496 APR_FETCovid19</v>
      </c>
      <c r="L496" s="48">
        <v>44664</v>
      </c>
      <c r="M496" s="48"/>
      <c r="N496" s="49" t="s">
        <v>804</v>
      </c>
      <c r="O496" s="45"/>
      <c r="P496" s="80"/>
      <c r="Q496" s="48"/>
      <c r="R496" s="45"/>
      <c r="S496" s="115">
        <v>184</v>
      </c>
      <c r="T496" s="20">
        <v>44652</v>
      </c>
      <c r="U496" s="20">
        <v>44672</v>
      </c>
      <c r="V496" s="20">
        <v>44672</v>
      </c>
      <c r="W496" s="27"/>
    </row>
    <row r="497" spans="1:23" ht="60" hidden="1" customHeight="1" x14ac:dyDescent="0.25">
      <c r="A497" s="45" t="str">
        <f>CONCATENATE(Tabla2[[#This Row],[id_solicitud]],Tabla2[[#This Row],[tipo]])</f>
        <v>311Proposicion</v>
      </c>
      <c r="B497" s="45">
        <f>COUNTIF($A$2:A497,A497)</f>
        <v>1</v>
      </c>
      <c r="C497" s="45" t="str">
        <f>Tabla2[[#This Row],[(id_solicitud-tipo_documento)]]&amp;B497</f>
        <v>311Proposicion1</v>
      </c>
      <c r="D497" s="45">
        <v>498</v>
      </c>
      <c r="E497" s="45">
        <v>311</v>
      </c>
      <c r="F497" s="45" t="s">
        <v>46</v>
      </c>
      <c r="G497" s="45" t="s">
        <v>1258</v>
      </c>
      <c r="H497" s="50" t="s">
        <v>20</v>
      </c>
      <c r="I497" s="51">
        <v>496</v>
      </c>
      <c r="J497" s="80"/>
      <c r="K4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496 DOH</v>
      </c>
      <c r="L497" s="48">
        <v>44769</v>
      </c>
      <c r="M497" s="48">
        <v>44770</v>
      </c>
      <c r="N497" s="49" t="s">
        <v>323</v>
      </c>
      <c r="O497" s="45">
        <v>1</v>
      </c>
      <c r="P497" s="80" t="s">
        <v>494</v>
      </c>
      <c r="Q497" s="24"/>
      <c r="R497" s="24" t="s">
        <v>24</v>
      </c>
      <c r="S497" s="114"/>
      <c r="T497" s="45"/>
      <c r="U497" s="48"/>
      <c r="V497" s="48"/>
      <c r="W497" s="27"/>
    </row>
    <row r="498" spans="1:23" ht="60" hidden="1" customHeight="1" x14ac:dyDescent="0.25">
      <c r="A498" s="45" t="str">
        <f>CONCATENATE(Tabla2[[#This Row],[id_solicitud]],Tabla2[[#This Row],[tipo]])</f>
        <v>309Proposicion</v>
      </c>
      <c r="B498" s="45">
        <f>COUNTIF($A$2:A498,A498)</f>
        <v>1</v>
      </c>
      <c r="C498" s="45" t="str">
        <f>Tabla2[[#This Row],[(id_solicitud-tipo_documento)]]&amp;B498</f>
        <v>309Proposicion1</v>
      </c>
      <c r="D498" s="45">
        <v>499</v>
      </c>
      <c r="E498" s="45">
        <v>309</v>
      </c>
      <c r="F498" s="45" t="s">
        <v>46</v>
      </c>
      <c r="G498" s="45" t="s">
        <v>1258</v>
      </c>
      <c r="H498" s="50" t="s">
        <v>20</v>
      </c>
      <c r="I498" s="51">
        <v>497</v>
      </c>
      <c r="J498" s="80"/>
      <c r="K4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497 DOH</v>
      </c>
      <c r="L498" s="48">
        <v>44769</v>
      </c>
      <c r="M498" s="48">
        <v>44770</v>
      </c>
      <c r="N498" s="49" t="s">
        <v>321</v>
      </c>
      <c r="O498" s="45">
        <v>1</v>
      </c>
      <c r="P498" s="80" t="s">
        <v>494</v>
      </c>
      <c r="Q498" s="24"/>
      <c r="R498" s="24" t="s">
        <v>24</v>
      </c>
      <c r="S498" s="114"/>
      <c r="T498" s="45"/>
      <c r="U498" s="48"/>
      <c r="V498" s="48"/>
      <c r="W498" s="27"/>
    </row>
    <row r="499" spans="1:23" ht="60" hidden="1" customHeight="1" x14ac:dyDescent="0.25">
      <c r="A499" s="45" t="str">
        <f>CONCATENATE(Tabla2[[#This Row],[id_solicitud]],Tabla2[[#This Row],[tipo]])</f>
        <v>308Proposicion</v>
      </c>
      <c r="B499" s="45">
        <f>COUNTIF($A$2:A499,A499)</f>
        <v>1</v>
      </c>
      <c r="C499" s="45" t="str">
        <f>Tabla2[[#This Row],[(id_solicitud-tipo_documento)]]&amp;B499</f>
        <v>308Proposicion1</v>
      </c>
      <c r="D499" s="45">
        <v>500</v>
      </c>
      <c r="E499" s="45">
        <v>308</v>
      </c>
      <c r="F499" s="45" t="s">
        <v>46</v>
      </c>
      <c r="G499" s="45" t="s">
        <v>1258</v>
      </c>
      <c r="H499" s="50" t="s">
        <v>559</v>
      </c>
      <c r="I499" s="51">
        <v>498</v>
      </c>
      <c r="J499" s="80"/>
      <c r="K4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498 APR_FETCovid19</v>
      </c>
      <c r="L499" s="48">
        <v>44769</v>
      </c>
      <c r="M499" s="48">
        <v>44770</v>
      </c>
      <c r="N499" s="49" t="s">
        <v>320</v>
      </c>
      <c r="O499" s="45">
        <v>1</v>
      </c>
      <c r="P499" s="80" t="s">
        <v>494</v>
      </c>
      <c r="Q499" s="24"/>
      <c r="R499" s="24" t="s">
        <v>24</v>
      </c>
      <c r="S499" s="114"/>
      <c r="T499" s="45"/>
      <c r="U499" s="48"/>
      <c r="V499" s="48"/>
      <c r="W499" s="27"/>
    </row>
    <row r="500" spans="1:23" ht="60" hidden="1" customHeight="1" x14ac:dyDescent="0.25">
      <c r="A500" s="45" t="str">
        <f>CONCATENATE(Tabla2[[#This Row],[id_solicitud]],Tabla2[[#This Row],[tipo]])</f>
        <v>307Proposicion</v>
      </c>
      <c r="B500" s="45">
        <f>COUNTIF($A$2:A500,A500)</f>
        <v>1</v>
      </c>
      <c r="C500" s="45" t="str">
        <f>Tabla2[[#This Row],[(id_solicitud-tipo_documento)]]&amp;B500</f>
        <v>307Proposicion1</v>
      </c>
      <c r="D500" s="45">
        <v>501</v>
      </c>
      <c r="E500" s="45">
        <v>307</v>
      </c>
      <c r="F500" s="45" t="s">
        <v>46</v>
      </c>
      <c r="G500" s="45" t="s">
        <v>1258</v>
      </c>
      <c r="H500" s="50" t="s">
        <v>6</v>
      </c>
      <c r="I500" s="51">
        <v>499</v>
      </c>
      <c r="J500" s="80"/>
      <c r="K5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499 APR</v>
      </c>
      <c r="L500" s="48">
        <v>44769</v>
      </c>
      <c r="M500" s="48">
        <v>44770</v>
      </c>
      <c r="N500" s="49" t="s">
        <v>319</v>
      </c>
      <c r="O500" s="45">
        <v>2</v>
      </c>
      <c r="P500" s="80" t="s">
        <v>494</v>
      </c>
      <c r="Q500" s="24"/>
      <c r="R500" s="24" t="s">
        <v>24</v>
      </c>
      <c r="S500" s="114"/>
      <c r="T500" s="45"/>
      <c r="U500" s="48"/>
      <c r="V500" s="48"/>
      <c r="W500" s="27"/>
    </row>
    <row r="501" spans="1:23" ht="60" hidden="1" customHeight="1" x14ac:dyDescent="0.25">
      <c r="A501" s="45" t="str">
        <f>CONCATENATE(Tabla2[[#This Row],[id_solicitud]],Tabla2[[#This Row],[tipo]])</f>
        <v>346Proposicion</v>
      </c>
      <c r="B501" s="45">
        <f>COUNTIF($A$2:A501,A501)</f>
        <v>1</v>
      </c>
      <c r="C501" s="45" t="str">
        <f>Tabla2[[#This Row],[(id_solicitud-tipo_documento)]]&amp;B501</f>
        <v>346Proposicion1</v>
      </c>
      <c r="D501" s="45">
        <v>502</v>
      </c>
      <c r="E501" s="45">
        <v>346</v>
      </c>
      <c r="F501" s="45" t="s">
        <v>46</v>
      </c>
      <c r="G501" s="45" t="s">
        <v>42</v>
      </c>
      <c r="H501" s="50" t="s">
        <v>592</v>
      </c>
      <c r="I501" s="51">
        <v>499</v>
      </c>
      <c r="J501" s="80"/>
      <c r="K5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499 SOP-DGC</v>
      </c>
      <c r="L501" s="48">
        <v>44778</v>
      </c>
      <c r="M501" s="48">
        <v>44781</v>
      </c>
      <c r="N501" s="49" t="s">
        <v>694</v>
      </c>
      <c r="O501" s="45"/>
      <c r="P501" s="80" t="s">
        <v>500</v>
      </c>
      <c r="Q501" s="24"/>
      <c r="R501" s="24" t="s">
        <v>12</v>
      </c>
      <c r="S501" s="114"/>
      <c r="T501" s="45"/>
      <c r="U501" s="48"/>
      <c r="V501" s="48"/>
      <c r="W501" s="27"/>
    </row>
    <row r="502" spans="1:23" ht="60" hidden="1" customHeight="1" x14ac:dyDescent="0.25">
      <c r="A502" s="45" t="str">
        <f>CONCATENATE(Tabla2[[#This Row],[id_solicitud]],Tabla2[[#This Row],[tipo]])</f>
        <v>46Oficio_Solicitud</v>
      </c>
      <c r="B502" s="45">
        <f>COUNTIF($A$2:A502,A502)</f>
        <v>1</v>
      </c>
      <c r="C502" s="45" t="str">
        <f>Tabla2[[#This Row],[(id_solicitud-tipo_documento)]]&amp;B502</f>
        <v>46Oficio_Solicitud1</v>
      </c>
      <c r="D502" s="45">
        <v>503</v>
      </c>
      <c r="E502" s="45">
        <v>46</v>
      </c>
      <c r="F502" s="45" t="s">
        <v>53</v>
      </c>
      <c r="G502" s="45" t="s">
        <v>43</v>
      </c>
      <c r="H502" s="50" t="s">
        <v>26</v>
      </c>
      <c r="I502" s="51">
        <v>499</v>
      </c>
      <c r="J502" s="80"/>
      <c r="K5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499 DV</v>
      </c>
      <c r="L502" s="48">
        <v>44578</v>
      </c>
      <c r="M502" s="48">
        <v>44579</v>
      </c>
      <c r="N502" s="49" t="s">
        <v>108</v>
      </c>
      <c r="O502" s="45">
        <v>3</v>
      </c>
      <c r="P502" s="80" t="s">
        <v>494</v>
      </c>
      <c r="Q502" s="48">
        <v>44579</v>
      </c>
      <c r="R502" s="45"/>
      <c r="S502" s="114"/>
      <c r="T502" s="52"/>
      <c r="U502" s="48"/>
      <c r="V502" s="48"/>
      <c r="W502" s="27"/>
    </row>
    <row r="503" spans="1:23" ht="60" hidden="1" customHeight="1" x14ac:dyDescent="0.25">
      <c r="A503" s="45" t="str">
        <f>CONCATENATE(Tabla2[[#This Row],[id_solicitud]],Tabla2[[#This Row],[tipo]])</f>
        <v>369Proposicion</v>
      </c>
      <c r="B503" s="45">
        <f>COUNTIF($A$2:A503,A503)</f>
        <v>1</v>
      </c>
      <c r="C503" s="45" t="str">
        <f>Tabla2[[#This Row],[(id_solicitud-tipo_documento)]]&amp;B503</f>
        <v>369Proposicion1</v>
      </c>
      <c r="D503" s="45">
        <v>504</v>
      </c>
      <c r="E503" s="45">
        <v>369</v>
      </c>
      <c r="F503" s="45" t="s">
        <v>46</v>
      </c>
      <c r="G503" s="45" t="s">
        <v>44</v>
      </c>
      <c r="H503" s="50" t="s">
        <v>12</v>
      </c>
      <c r="I503" s="51">
        <v>501</v>
      </c>
      <c r="J503" s="80"/>
      <c r="K5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501 DCyF</v>
      </c>
      <c r="L503" s="48">
        <v>44781</v>
      </c>
      <c r="M503" s="48">
        <v>44781</v>
      </c>
      <c r="N503" s="49" t="s">
        <v>703</v>
      </c>
      <c r="O503" s="45"/>
      <c r="P503" s="80" t="s">
        <v>497</v>
      </c>
      <c r="Q503" s="24"/>
      <c r="R503" s="24" t="s">
        <v>12</v>
      </c>
      <c r="S503" s="114"/>
      <c r="T503" s="45"/>
      <c r="U503" s="48"/>
      <c r="V503" s="48"/>
      <c r="W503" s="27"/>
    </row>
    <row r="504" spans="1:23" ht="60" hidden="1" customHeight="1" x14ac:dyDescent="0.25">
      <c r="A504" s="45" t="str">
        <f>CONCATENATE(Tabla2[[#This Row],[id_solicitud]],Tabla2[[#This Row],[tipo]])</f>
        <v>87Decreto</v>
      </c>
      <c r="B504" s="45">
        <f>COUNTIF($A$2:A504,A504)</f>
        <v>1</v>
      </c>
      <c r="C504" s="45" t="str">
        <f>Tabla2[[#This Row],[(id_solicitud-tipo_documento)]]&amp;B504</f>
        <v>87Decreto1</v>
      </c>
      <c r="D504" s="45">
        <v>505</v>
      </c>
      <c r="E504" s="45">
        <v>87</v>
      </c>
      <c r="F504" s="45" t="s">
        <v>47</v>
      </c>
      <c r="G504" s="45" t="s">
        <v>60</v>
      </c>
      <c r="H504" s="50" t="s">
        <v>544</v>
      </c>
      <c r="I504" s="51">
        <v>503</v>
      </c>
      <c r="J504" s="80"/>
      <c r="K5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503 DAP_FETCovid19</v>
      </c>
      <c r="L504" s="48">
        <v>44664</v>
      </c>
      <c r="M504" s="48"/>
      <c r="N504" s="49" t="s">
        <v>809</v>
      </c>
      <c r="O504" s="45"/>
      <c r="P504" s="80"/>
      <c r="Q504" s="48"/>
      <c r="R504" s="45"/>
      <c r="S504" s="115">
        <v>180</v>
      </c>
      <c r="T504" s="20">
        <v>44652</v>
      </c>
      <c r="U504" s="20">
        <v>44670</v>
      </c>
      <c r="V504" s="20">
        <v>44670</v>
      </c>
      <c r="W504" s="27"/>
    </row>
    <row r="505" spans="1:23" ht="60" hidden="1" customHeight="1" x14ac:dyDescent="0.25">
      <c r="A505" s="45" t="str">
        <f>CONCATENATE(Tabla2[[#This Row],[id_solicitud]],Tabla2[[#This Row],[tipo]])</f>
        <v>148Resolucion</v>
      </c>
      <c r="B505" s="45">
        <f>COUNTIF($A$2:A505,A505)</f>
        <v>1</v>
      </c>
      <c r="C505" s="45" t="str">
        <f>Tabla2[[#This Row],[(id_solicitud-tipo_documento)]]&amp;B505</f>
        <v>148Resolucion1</v>
      </c>
      <c r="D505" s="45">
        <v>506</v>
      </c>
      <c r="E505" s="45">
        <v>148</v>
      </c>
      <c r="F505" s="45" t="s">
        <v>48</v>
      </c>
      <c r="G505" s="45"/>
      <c r="H505" s="50" t="s">
        <v>544</v>
      </c>
      <c r="I505" s="51">
        <v>504</v>
      </c>
      <c r="J505" s="80"/>
      <c r="K5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505" s="48">
        <v>44662</v>
      </c>
      <c r="M505" s="48"/>
      <c r="N505" s="49"/>
      <c r="O505" s="45"/>
      <c r="P505" s="80"/>
      <c r="Q505" s="48"/>
      <c r="R505" s="45"/>
      <c r="S505" s="114"/>
      <c r="T505" s="45"/>
      <c r="U505" s="48"/>
      <c r="V505" s="48"/>
      <c r="W505" s="27"/>
    </row>
    <row r="506" spans="1:23" ht="60" hidden="1" customHeight="1" x14ac:dyDescent="0.25">
      <c r="A506" s="45" t="str">
        <f>CONCATENATE(Tabla2[[#This Row],[id_solicitud]],Tabla2[[#This Row],[tipo]])</f>
        <v>335Proposicion</v>
      </c>
      <c r="B506" s="45">
        <f>COUNTIF($A$2:A506,A506)</f>
        <v>1</v>
      </c>
      <c r="C506" s="45" t="str">
        <f>Tabla2[[#This Row],[(id_solicitud-tipo_documento)]]&amp;B506</f>
        <v>335Proposicion1</v>
      </c>
      <c r="D506" s="45">
        <v>507</v>
      </c>
      <c r="E506" s="45">
        <v>335</v>
      </c>
      <c r="F506" s="45" t="s">
        <v>46</v>
      </c>
      <c r="G506" s="45" t="s">
        <v>44</v>
      </c>
      <c r="H506" s="50" t="s">
        <v>26</v>
      </c>
      <c r="I506" s="51">
        <v>504</v>
      </c>
      <c r="J506" s="80"/>
      <c r="K5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504 DV</v>
      </c>
      <c r="L506" s="48">
        <v>44781</v>
      </c>
      <c r="M506" s="48">
        <v>44781</v>
      </c>
      <c r="N506" s="49" t="s">
        <v>345</v>
      </c>
      <c r="O506" s="45"/>
      <c r="P506" s="80" t="s">
        <v>500</v>
      </c>
      <c r="Q506" s="24"/>
      <c r="R506" s="24" t="s">
        <v>12</v>
      </c>
      <c r="S506" s="114"/>
      <c r="T506" s="45"/>
      <c r="U506" s="48"/>
      <c r="V506" s="48"/>
      <c r="W506" s="27"/>
    </row>
    <row r="507" spans="1:23" ht="60" hidden="1" customHeight="1" x14ac:dyDescent="0.25">
      <c r="A507" s="45" t="str">
        <f>CONCATENATE(Tabla2[[#This Row],[id_solicitud]],Tabla2[[#This Row],[tipo]])</f>
        <v>202Oficio_Solicitud</v>
      </c>
      <c r="B507" s="45">
        <f>COUNTIF($A$2:A507,A507)</f>
        <v>1</v>
      </c>
      <c r="C507" s="45" t="str">
        <f>Tabla2[[#This Row],[(id_solicitud-tipo_documento)]]&amp;B507</f>
        <v>202Oficio_Solicitud1</v>
      </c>
      <c r="D507" s="45">
        <v>508</v>
      </c>
      <c r="E507" s="45">
        <v>202</v>
      </c>
      <c r="F507" s="45" t="s">
        <v>53</v>
      </c>
      <c r="G507" s="45" t="s">
        <v>40</v>
      </c>
      <c r="H507" s="50" t="s">
        <v>532</v>
      </c>
      <c r="I507" s="51">
        <v>505</v>
      </c>
      <c r="J507" s="80"/>
      <c r="K5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505 DA_FETCovid19</v>
      </c>
      <c r="L507" s="48">
        <v>44691</v>
      </c>
      <c r="M507" s="48">
        <v>44692</v>
      </c>
      <c r="N507" s="49" t="s">
        <v>231</v>
      </c>
      <c r="O507" s="45"/>
      <c r="P507" s="80" t="s">
        <v>509</v>
      </c>
      <c r="Q507" s="48"/>
      <c r="R507" s="45"/>
      <c r="S507" s="114"/>
      <c r="T507" s="52"/>
      <c r="U507" s="48"/>
      <c r="V507" s="48"/>
      <c r="W507" s="27"/>
    </row>
    <row r="508" spans="1:23" ht="60" hidden="1" customHeight="1" x14ac:dyDescent="0.25">
      <c r="A508" s="45" t="str">
        <f>CONCATENATE(Tabla2[[#This Row],[id_solicitud]],Tabla2[[#This Row],[tipo]])</f>
        <v>338Proposicion</v>
      </c>
      <c r="B508" s="45">
        <f>COUNTIF($A$2:A508,A508)</f>
        <v>1</v>
      </c>
      <c r="C508" s="45" t="str">
        <f>Tabla2[[#This Row],[(id_solicitud-tipo_documento)]]&amp;B508</f>
        <v>338Proposicion1</v>
      </c>
      <c r="D508" s="45">
        <v>509</v>
      </c>
      <c r="E508" s="45">
        <v>338</v>
      </c>
      <c r="F508" s="45" t="s">
        <v>46</v>
      </c>
      <c r="G508" s="45" t="s">
        <v>44</v>
      </c>
      <c r="H508" s="50" t="s">
        <v>22</v>
      </c>
      <c r="I508" s="51">
        <v>506</v>
      </c>
      <c r="J508" s="80"/>
      <c r="K5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506 DOP</v>
      </c>
      <c r="L508" s="48">
        <v>44781</v>
      </c>
      <c r="M508" s="48">
        <v>44782</v>
      </c>
      <c r="N508" s="49" t="s">
        <v>690</v>
      </c>
      <c r="O508" s="45"/>
      <c r="P508" s="80" t="s">
        <v>500</v>
      </c>
      <c r="Q508" s="24"/>
      <c r="R508" s="24" t="s">
        <v>12</v>
      </c>
      <c r="S508" s="114"/>
      <c r="T508" s="45"/>
      <c r="U508" s="48"/>
      <c r="V508" s="48"/>
      <c r="W508" s="27"/>
    </row>
    <row r="509" spans="1:23" ht="60" hidden="1" customHeight="1" x14ac:dyDescent="0.25">
      <c r="A509" s="45" t="str">
        <f>CONCATENATE(Tabla2[[#This Row],[id_solicitud]],Tabla2[[#This Row],[tipo]])</f>
        <v>36Resolucion</v>
      </c>
      <c r="B509" s="45">
        <f>COUNTIF($A$2:A509,A509)</f>
        <v>1</v>
      </c>
      <c r="C509" s="45" t="str">
        <f>Tabla2[[#This Row],[(id_solicitud-tipo_documento)]]&amp;B509</f>
        <v>36Resolucion1</v>
      </c>
      <c r="D509" s="45">
        <v>510</v>
      </c>
      <c r="E509" s="45">
        <v>36</v>
      </c>
      <c r="F509" s="45" t="s">
        <v>48</v>
      </c>
      <c r="G509" s="45"/>
      <c r="H509" s="50" t="s">
        <v>20</v>
      </c>
      <c r="I509" s="51">
        <v>508</v>
      </c>
      <c r="J509" s="80"/>
      <c r="K5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509" s="48">
        <v>44610</v>
      </c>
      <c r="M509" s="48"/>
      <c r="N509" s="49"/>
      <c r="O509" s="45"/>
      <c r="P509" s="80"/>
      <c r="Q509" s="48"/>
      <c r="R509" s="45"/>
      <c r="S509" s="114"/>
      <c r="T509" s="45"/>
      <c r="U509" s="48"/>
      <c r="V509" s="48"/>
      <c r="W509" s="27"/>
    </row>
    <row r="510" spans="1:23" ht="60" hidden="1" customHeight="1" x14ac:dyDescent="0.25">
      <c r="A510" s="45" t="str">
        <f>CONCATENATE(Tabla2[[#This Row],[id_solicitud]],Tabla2[[#This Row],[tipo]])</f>
        <v>436Oficio_Solicitud</v>
      </c>
      <c r="B510" s="45">
        <f>COUNTIF($A$2:A510,A510)</f>
        <v>1</v>
      </c>
      <c r="C510" s="45" t="str">
        <f>Tabla2[[#This Row],[(id_solicitud-tipo_documento)]]&amp;B510</f>
        <v>436Oficio_Solicitud1</v>
      </c>
      <c r="D510" s="45">
        <v>511</v>
      </c>
      <c r="E510" s="45">
        <v>436</v>
      </c>
      <c r="F510" s="45" t="s">
        <v>53</v>
      </c>
      <c r="G510" s="45" t="s">
        <v>44</v>
      </c>
      <c r="H510" s="50" t="s">
        <v>10</v>
      </c>
      <c r="I510" s="51">
        <v>508</v>
      </c>
      <c r="J510" s="80"/>
      <c r="K5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508 DAP</v>
      </c>
      <c r="L510" s="48">
        <v>44818</v>
      </c>
      <c r="M510" s="48">
        <v>44818</v>
      </c>
      <c r="N510" s="49" t="s">
        <v>416</v>
      </c>
      <c r="O510" s="45">
        <v>0</v>
      </c>
      <c r="P510" s="80" t="s">
        <v>497</v>
      </c>
      <c r="Q510" s="48"/>
      <c r="R510" s="45"/>
      <c r="S510" s="114"/>
      <c r="T510" s="52"/>
      <c r="U510" s="48"/>
      <c r="V510" s="48"/>
      <c r="W510" s="27"/>
    </row>
    <row r="511" spans="1:23" ht="60" hidden="1" customHeight="1" x14ac:dyDescent="0.25">
      <c r="A511" s="45" t="str">
        <f>CONCATENATE(Tabla2[[#This Row],[id_solicitud]],Tabla2[[#This Row],[tipo]])</f>
        <v>37Resolucion</v>
      </c>
      <c r="B511" s="45">
        <f>COUNTIF($A$2:A511,A511)</f>
        <v>1</v>
      </c>
      <c r="C511" s="45" t="str">
        <f>Tabla2[[#This Row],[(id_solicitud-tipo_documento)]]&amp;B511</f>
        <v>37Resolucion1</v>
      </c>
      <c r="D511" s="45">
        <v>512</v>
      </c>
      <c r="E511" s="45">
        <v>37</v>
      </c>
      <c r="F511" s="45" t="s">
        <v>48</v>
      </c>
      <c r="G511" s="45"/>
      <c r="H511" s="50" t="s">
        <v>535</v>
      </c>
      <c r="I511" s="51">
        <v>509</v>
      </c>
      <c r="J511" s="80"/>
      <c r="K5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511" s="48">
        <v>44610</v>
      </c>
      <c r="M511" s="48"/>
      <c r="N511" s="49"/>
      <c r="O511" s="45"/>
      <c r="P511" s="80"/>
      <c r="Q511" s="48"/>
      <c r="R511" s="45"/>
      <c r="S511" s="114"/>
      <c r="T511" s="45"/>
      <c r="U511" s="48"/>
      <c r="V511" s="48"/>
      <c r="W511" s="27"/>
    </row>
    <row r="512" spans="1:23" ht="60" hidden="1" customHeight="1" x14ac:dyDescent="0.25">
      <c r="A512" s="45" t="str">
        <f>CONCATENATE(Tabla2[[#This Row],[id_solicitud]],Tabla2[[#This Row],[tipo]])</f>
        <v>419Oficio_Solicitud</v>
      </c>
      <c r="B512" s="45">
        <f>COUNTIF($A$2:A512,A512)</f>
        <v>1</v>
      </c>
      <c r="C512" s="45" t="str">
        <f>Tabla2[[#This Row],[(id_solicitud-tipo_documento)]]&amp;B512</f>
        <v>419Oficio_Solicitud1</v>
      </c>
      <c r="D512" s="45">
        <v>513</v>
      </c>
      <c r="E512" s="45">
        <v>419</v>
      </c>
      <c r="F512" s="45" t="s">
        <v>53</v>
      </c>
      <c r="G512" s="45" t="s">
        <v>1258</v>
      </c>
      <c r="H512" s="50" t="s">
        <v>10</v>
      </c>
      <c r="I512" s="51">
        <v>509</v>
      </c>
      <c r="J512" s="80"/>
      <c r="K5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509 DAP</v>
      </c>
      <c r="L512" s="48">
        <v>44819</v>
      </c>
      <c r="M512" s="48">
        <v>44819</v>
      </c>
      <c r="N512" s="49" t="s">
        <v>404</v>
      </c>
      <c r="O512" s="45">
        <v>4</v>
      </c>
      <c r="P512" s="80" t="s">
        <v>494</v>
      </c>
      <c r="Q512" s="48"/>
      <c r="R512" s="45"/>
      <c r="S512" s="114"/>
      <c r="T512" s="52"/>
      <c r="U512" s="48"/>
      <c r="V512" s="48"/>
      <c r="W512" s="27"/>
    </row>
    <row r="513" spans="1:23" ht="60" hidden="1" customHeight="1" x14ac:dyDescent="0.25">
      <c r="A513" s="45" t="str">
        <f>CONCATENATE(Tabla2[[#This Row],[id_solicitud]],Tabla2[[#This Row],[tipo]])</f>
        <v>314Proposicion</v>
      </c>
      <c r="B513" s="45">
        <f>COUNTIF($A$2:A513,A513)</f>
        <v>1</v>
      </c>
      <c r="C513" s="45" t="str">
        <f>Tabla2[[#This Row],[(id_solicitud-tipo_documento)]]&amp;B513</f>
        <v>314Proposicion1</v>
      </c>
      <c r="D513" s="45">
        <v>514</v>
      </c>
      <c r="E513" s="45">
        <v>314</v>
      </c>
      <c r="F513" s="45" t="s">
        <v>46</v>
      </c>
      <c r="G513" s="45" t="s">
        <v>60</v>
      </c>
      <c r="H513" s="50" t="s">
        <v>544</v>
      </c>
      <c r="I513" s="51">
        <v>510</v>
      </c>
      <c r="J513" s="80"/>
      <c r="K5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510 DAP_FETCovid19</v>
      </c>
      <c r="L513" s="48">
        <v>44775</v>
      </c>
      <c r="M513" s="48">
        <v>44775</v>
      </c>
      <c r="N513" s="49" t="s">
        <v>326</v>
      </c>
      <c r="O513" s="45">
        <v>15</v>
      </c>
      <c r="P513" s="80" t="s">
        <v>494</v>
      </c>
      <c r="Q513" s="24"/>
      <c r="R513" s="24" t="s">
        <v>24</v>
      </c>
      <c r="S513" s="114"/>
      <c r="T513" s="45"/>
      <c r="U513" s="48"/>
      <c r="V513" s="48"/>
      <c r="W513" s="27"/>
    </row>
    <row r="514" spans="1:23" ht="60" hidden="1" customHeight="1" x14ac:dyDescent="0.25">
      <c r="A514" s="45" t="str">
        <f>CONCATENATE(Tabla2[[#This Row],[id_solicitud]],Tabla2[[#This Row],[tipo]])</f>
        <v>313Proposicion</v>
      </c>
      <c r="B514" s="45">
        <f>COUNTIF($A$2:A514,A514)</f>
        <v>1</v>
      </c>
      <c r="C514" s="45" t="str">
        <f>Tabla2[[#This Row],[(id_solicitud-tipo_documento)]]&amp;B514</f>
        <v>313Proposicion1</v>
      </c>
      <c r="D514" s="45">
        <v>515</v>
      </c>
      <c r="E514" s="45">
        <v>313</v>
      </c>
      <c r="F514" s="45" t="s">
        <v>46</v>
      </c>
      <c r="G514" s="45" t="s">
        <v>61</v>
      </c>
      <c r="H514" s="50" t="s">
        <v>10</v>
      </c>
      <c r="I514" s="51">
        <v>511</v>
      </c>
      <c r="J514" s="80"/>
      <c r="K5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511 DAP</v>
      </c>
      <c r="L514" s="48">
        <v>44775</v>
      </c>
      <c r="M514" s="48">
        <v>44775</v>
      </c>
      <c r="N514" s="49" t="s">
        <v>325</v>
      </c>
      <c r="O514" s="45">
        <f>9+1+29</f>
        <v>39</v>
      </c>
      <c r="P514" s="80" t="s">
        <v>494</v>
      </c>
      <c r="Q514" s="24"/>
      <c r="R514" s="24" t="s">
        <v>24</v>
      </c>
      <c r="S514" s="114"/>
      <c r="T514" s="45"/>
      <c r="U514" s="48"/>
      <c r="V514" s="48"/>
      <c r="W514" s="27"/>
    </row>
    <row r="515" spans="1:23" ht="60" hidden="1" customHeight="1" x14ac:dyDescent="0.25">
      <c r="A515" s="45" t="str">
        <f>CONCATENATE(Tabla2[[#This Row],[id_solicitud]],Tabla2[[#This Row],[tipo]])</f>
        <v>98Decreto</v>
      </c>
      <c r="B515" s="45">
        <f>COUNTIF($A$2:A515,A515)</f>
        <v>1</v>
      </c>
      <c r="C515" s="45" t="str">
        <f>Tabla2[[#This Row],[(id_solicitud-tipo_documento)]]&amp;B515</f>
        <v>98Decreto1</v>
      </c>
      <c r="D515" s="45">
        <v>516</v>
      </c>
      <c r="E515" s="45">
        <v>98</v>
      </c>
      <c r="F515" s="45" t="s">
        <v>47</v>
      </c>
      <c r="G515" s="45" t="s">
        <v>60</v>
      </c>
      <c r="H515" s="50" t="s">
        <v>532</v>
      </c>
      <c r="I515" s="51">
        <v>512</v>
      </c>
      <c r="J515" s="80"/>
      <c r="K5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512 DA_FETCovid19</v>
      </c>
      <c r="L515" s="48">
        <v>44665</v>
      </c>
      <c r="M515" s="48"/>
      <c r="N515" s="49">
        <f>E515</f>
        <v>98</v>
      </c>
      <c r="O515" s="45"/>
      <c r="P515" s="80"/>
      <c r="Q515" s="48"/>
      <c r="R515" s="45"/>
      <c r="S515" s="115">
        <v>216</v>
      </c>
      <c r="T515" s="20">
        <v>44658</v>
      </c>
      <c r="U515" s="20">
        <v>44673</v>
      </c>
      <c r="V515" s="20">
        <v>44673</v>
      </c>
      <c r="W515" s="27"/>
    </row>
    <row r="516" spans="1:23" ht="60" hidden="1" customHeight="1" x14ac:dyDescent="0.25">
      <c r="A516" s="45" t="str">
        <f>CONCATENATE(Tabla2[[#This Row],[id_solicitud]],Tabla2[[#This Row],[tipo]])</f>
        <v>304Proposicion</v>
      </c>
      <c r="B516" s="45">
        <f>COUNTIF($A$2:A516,A516)</f>
        <v>1</v>
      </c>
      <c r="C516" s="45" t="str">
        <f>Tabla2[[#This Row],[(id_solicitud-tipo_documento)]]&amp;B516</f>
        <v>304Proposicion1</v>
      </c>
      <c r="D516" s="45">
        <v>517</v>
      </c>
      <c r="E516" s="45">
        <v>304</v>
      </c>
      <c r="F516" s="45" t="s">
        <v>46</v>
      </c>
      <c r="G516" s="45" t="s">
        <v>60</v>
      </c>
      <c r="H516" s="50" t="s">
        <v>20</v>
      </c>
      <c r="I516" s="51">
        <v>512</v>
      </c>
      <c r="J516" s="80"/>
      <c r="K5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512 DOH</v>
      </c>
      <c r="L516" s="48">
        <v>44775</v>
      </c>
      <c r="M516" s="48">
        <v>44775</v>
      </c>
      <c r="N516" s="49" t="s">
        <v>683</v>
      </c>
      <c r="O516" s="45">
        <v>43</v>
      </c>
      <c r="P516" s="80" t="s">
        <v>494</v>
      </c>
      <c r="Q516" s="24"/>
      <c r="R516" s="24" t="s">
        <v>24</v>
      </c>
      <c r="S516" s="114"/>
      <c r="T516" s="45"/>
      <c r="U516" s="48"/>
      <c r="V516" s="48"/>
      <c r="W516" s="27"/>
    </row>
    <row r="517" spans="1:23" ht="60" hidden="1" customHeight="1" x14ac:dyDescent="0.25">
      <c r="A517" s="45" t="str">
        <f>CONCATENATE(Tabla2[[#This Row],[id_solicitud]],Tabla2[[#This Row],[tipo]])</f>
        <v>428Oficio_Solicitud</v>
      </c>
      <c r="B517" s="45">
        <f>COUNTIF($A$2:A517,A517)</f>
        <v>1</v>
      </c>
      <c r="C517" s="45" t="str">
        <f>Tabla2[[#This Row],[(id_solicitud-tipo_documento)]]&amp;B517</f>
        <v>428Oficio_Solicitud1</v>
      </c>
      <c r="D517" s="45">
        <v>518</v>
      </c>
      <c r="E517" s="45">
        <v>428</v>
      </c>
      <c r="F517" s="45" t="s">
        <v>53</v>
      </c>
      <c r="G517" s="45" t="s">
        <v>60</v>
      </c>
      <c r="H517" s="50" t="s">
        <v>10</v>
      </c>
      <c r="I517" s="51">
        <v>512</v>
      </c>
      <c r="J517" s="80"/>
      <c r="K5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512 DAP</v>
      </c>
      <c r="L517" s="48">
        <v>44824</v>
      </c>
      <c r="M517" s="48">
        <v>44824</v>
      </c>
      <c r="N517" s="49" t="s">
        <v>412</v>
      </c>
      <c r="O517" s="45">
        <v>6</v>
      </c>
      <c r="P517" s="80" t="s">
        <v>494</v>
      </c>
      <c r="Q517" s="48"/>
      <c r="R517" s="45"/>
      <c r="S517" s="114"/>
      <c r="T517" s="52"/>
      <c r="U517" s="48"/>
      <c r="V517" s="48"/>
      <c r="W517" s="27"/>
    </row>
    <row r="518" spans="1:23" ht="60" hidden="1" customHeight="1" x14ac:dyDescent="0.25">
      <c r="A518" s="45" t="str">
        <f>CONCATENATE(Tabla2[[#This Row],[id_solicitud]],Tabla2[[#This Row],[tipo]])</f>
        <v>269Oficio_Solicitud</v>
      </c>
      <c r="B518" s="45">
        <f>COUNTIF($A$2:A518,A518)</f>
        <v>1</v>
      </c>
      <c r="C518" s="45" t="str">
        <f>Tabla2[[#This Row],[(id_solicitud-tipo_documento)]]&amp;B518</f>
        <v>269Oficio_Solicitud1</v>
      </c>
      <c r="D518" s="45">
        <v>519</v>
      </c>
      <c r="E518" s="45">
        <v>269</v>
      </c>
      <c r="F518" s="45" t="s">
        <v>53</v>
      </c>
      <c r="G518" s="45" t="s">
        <v>44</v>
      </c>
      <c r="H518" s="50" t="s">
        <v>16</v>
      </c>
      <c r="I518" s="51">
        <v>513</v>
      </c>
      <c r="J518" s="80"/>
      <c r="K5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513 DGC</v>
      </c>
      <c r="L518" s="48">
        <v>44706</v>
      </c>
      <c r="M518" s="48">
        <v>44706</v>
      </c>
      <c r="N518" s="49" t="s">
        <v>291</v>
      </c>
      <c r="O518" s="45"/>
      <c r="P518" s="80" t="s">
        <v>504</v>
      </c>
      <c r="Q518" s="48"/>
      <c r="R518" s="45"/>
      <c r="S518" s="114"/>
      <c r="T518" s="52"/>
      <c r="U518" s="48"/>
      <c r="V518" s="48"/>
      <c r="W518" s="27"/>
    </row>
    <row r="519" spans="1:23" ht="60" hidden="1" customHeight="1" x14ac:dyDescent="0.25">
      <c r="A519" s="45" t="str">
        <f>CONCATENATE(Tabla2[[#This Row],[id_solicitud]],Tabla2[[#This Row],[tipo]])</f>
        <v>100Decreto</v>
      </c>
      <c r="B519" s="45">
        <f>COUNTIF($A$2:A519,A519)</f>
        <v>1</v>
      </c>
      <c r="C519" s="45" t="str">
        <f>Tabla2[[#This Row],[(id_solicitud-tipo_documento)]]&amp;B519</f>
        <v>100Decreto1</v>
      </c>
      <c r="D519" s="45">
        <v>520</v>
      </c>
      <c r="E519" s="45">
        <v>100</v>
      </c>
      <c r="F519" s="45" t="s">
        <v>47</v>
      </c>
      <c r="G519" s="45" t="s">
        <v>60</v>
      </c>
      <c r="H519" s="50" t="s">
        <v>541</v>
      </c>
      <c r="I519" s="51">
        <v>514</v>
      </c>
      <c r="J519" s="80"/>
      <c r="K5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514 DOP_FETCovid19</v>
      </c>
      <c r="L519" s="48">
        <v>44665</v>
      </c>
      <c r="M519" s="48"/>
      <c r="N519" s="49" t="s">
        <v>815</v>
      </c>
      <c r="O519" s="45"/>
      <c r="P519" s="80"/>
      <c r="Q519" s="48"/>
      <c r="R519" s="45"/>
      <c r="S519" s="115">
        <v>195</v>
      </c>
      <c r="T519" s="20">
        <v>44656</v>
      </c>
      <c r="U519" s="20">
        <v>44677</v>
      </c>
      <c r="V519" s="20">
        <v>44677</v>
      </c>
      <c r="W519" s="27"/>
    </row>
    <row r="520" spans="1:23" ht="60" hidden="1" customHeight="1" x14ac:dyDescent="0.25">
      <c r="A520" s="45" t="str">
        <f>CONCATENATE(Tabla2[[#This Row],[id_solicitud]],Tabla2[[#This Row],[tipo]])</f>
        <v>310Proposicion</v>
      </c>
      <c r="B520" s="45">
        <f>COUNTIF($A$2:A520,A520)</f>
        <v>1</v>
      </c>
      <c r="C520" s="45" t="str">
        <f>Tabla2[[#This Row],[(id_solicitud-tipo_documento)]]&amp;B520</f>
        <v>310Proposicion1</v>
      </c>
      <c r="D520" s="45">
        <v>521</v>
      </c>
      <c r="E520" s="45">
        <v>310</v>
      </c>
      <c r="F520" s="45" t="s">
        <v>46</v>
      </c>
      <c r="G520" s="45"/>
      <c r="H520" s="50" t="s">
        <v>6</v>
      </c>
      <c r="I520" s="51">
        <v>514</v>
      </c>
      <c r="J520" s="80"/>
      <c r="K5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514 APR</v>
      </c>
      <c r="L520" s="48">
        <v>44775</v>
      </c>
      <c r="M520" s="48">
        <v>44776</v>
      </c>
      <c r="N520" s="49" t="s">
        <v>322</v>
      </c>
      <c r="O520" s="45">
        <v>19</v>
      </c>
      <c r="P520" s="80" t="s">
        <v>494</v>
      </c>
      <c r="Q520" s="24"/>
      <c r="R520" s="24" t="s">
        <v>24</v>
      </c>
      <c r="S520" s="114"/>
      <c r="T520" s="45"/>
      <c r="U520" s="48"/>
      <c r="V520" s="48"/>
      <c r="W520" s="27"/>
    </row>
    <row r="521" spans="1:23" ht="60" hidden="1" customHeight="1" x14ac:dyDescent="0.25">
      <c r="A521" s="45" t="str">
        <f>CONCATENATE(Tabla2[[#This Row],[id_solicitud]],Tabla2[[#This Row],[tipo]])</f>
        <v>338Oficio_Solicitud</v>
      </c>
      <c r="B521" s="45">
        <f>COUNTIF($A$2:A521,A521)</f>
        <v>1</v>
      </c>
      <c r="C521" s="45" t="str">
        <f>Tabla2[[#This Row],[(id_solicitud-tipo_documento)]]&amp;B521</f>
        <v>338Oficio_Solicitud1</v>
      </c>
      <c r="D521" s="45">
        <v>522</v>
      </c>
      <c r="E521" s="45">
        <v>338</v>
      </c>
      <c r="F521" s="45" t="s">
        <v>53</v>
      </c>
      <c r="G521" s="45" t="s">
        <v>44</v>
      </c>
      <c r="H521" s="50" t="s">
        <v>22</v>
      </c>
      <c r="I521" s="51">
        <v>514</v>
      </c>
      <c r="J521" s="80"/>
      <c r="K5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514 DOP</v>
      </c>
      <c r="L521" s="48">
        <v>44756</v>
      </c>
      <c r="M521" s="48">
        <v>44756</v>
      </c>
      <c r="N521" s="49"/>
      <c r="O521" s="45"/>
      <c r="P521" s="80" t="s">
        <v>500</v>
      </c>
      <c r="Q521" s="48"/>
      <c r="R521" s="45"/>
      <c r="S521" s="114"/>
      <c r="T521" s="52"/>
      <c r="U521" s="48"/>
      <c r="V521" s="48"/>
      <c r="W521" s="27"/>
    </row>
    <row r="522" spans="1:23" ht="60" hidden="1" customHeight="1" x14ac:dyDescent="0.25">
      <c r="A522" s="45" t="str">
        <f>CONCATENATE(Tabla2[[#This Row],[id_solicitud]],Tabla2[[#This Row],[tipo]])</f>
        <v>312Proposicion</v>
      </c>
      <c r="B522" s="45">
        <f>COUNTIF($A$2:A522,A522)</f>
        <v>1</v>
      </c>
      <c r="C522" s="45" t="str">
        <f>Tabla2[[#This Row],[(id_solicitud-tipo_documento)]]&amp;B522</f>
        <v>312Proposicion1</v>
      </c>
      <c r="D522" s="45">
        <v>523</v>
      </c>
      <c r="E522" s="45">
        <v>312</v>
      </c>
      <c r="F522" s="45" t="s">
        <v>46</v>
      </c>
      <c r="G522" s="45" t="s">
        <v>40</v>
      </c>
      <c r="H522" s="50" t="s">
        <v>26</v>
      </c>
      <c r="I522" s="51">
        <v>515</v>
      </c>
      <c r="J522" s="80"/>
      <c r="K5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515 DV</v>
      </c>
      <c r="L522" s="48">
        <v>44775</v>
      </c>
      <c r="M522" s="48">
        <v>44776</v>
      </c>
      <c r="N522" s="49" t="s">
        <v>324</v>
      </c>
      <c r="O522" s="45"/>
      <c r="P522" s="80" t="s">
        <v>501</v>
      </c>
      <c r="Q522" s="24"/>
      <c r="R522" s="24" t="s">
        <v>24</v>
      </c>
      <c r="S522" s="114"/>
      <c r="T522" s="45"/>
      <c r="U522" s="48"/>
      <c r="V522" s="48"/>
      <c r="W522" s="27"/>
    </row>
    <row r="523" spans="1:23" ht="60" hidden="1" customHeight="1" x14ac:dyDescent="0.25">
      <c r="A523" s="45" t="str">
        <f>CONCATENATE(Tabla2[[#This Row],[id_solicitud]],Tabla2[[#This Row],[tipo]])</f>
        <v>97Decreto</v>
      </c>
      <c r="B523" s="45">
        <f>COUNTIF($A$2:A523,A523)</f>
        <v>1</v>
      </c>
      <c r="C523" s="45" t="str">
        <f>Tabla2[[#This Row],[(id_solicitud-tipo_documento)]]&amp;B523</f>
        <v>97Decreto1</v>
      </c>
      <c r="D523" s="45">
        <v>524</v>
      </c>
      <c r="E523" s="45">
        <v>97</v>
      </c>
      <c r="F523" s="45" t="s">
        <v>47</v>
      </c>
      <c r="G523" s="45" t="s">
        <v>60</v>
      </c>
      <c r="H523" s="50" t="s">
        <v>8</v>
      </c>
      <c r="I523" s="51">
        <v>516</v>
      </c>
      <c r="J523" s="80"/>
      <c r="K5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516 DA</v>
      </c>
      <c r="L523" s="48">
        <v>44665</v>
      </c>
      <c r="M523" s="48"/>
      <c r="N523" s="49"/>
      <c r="O523" s="45"/>
      <c r="P523" s="80"/>
      <c r="Q523" s="48"/>
      <c r="R523" s="45"/>
      <c r="S523" s="115">
        <v>214</v>
      </c>
      <c r="T523" s="20">
        <v>44657</v>
      </c>
      <c r="U523" s="20">
        <v>44677</v>
      </c>
      <c r="V523" s="20">
        <v>44677</v>
      </c>
      <c r="W523" s="27"/>
    </row>
    <row r="524" spans="1:23" ht="60" hidden="1" customHeight="1" x14ac:dyDescent="0.25">
      <c r="A524" s="45" t="str">
        <f>CONCATENATE(Tabla2[[#This Row],[id_solicitud]],Tabla2[[#This Row],[tipo]])</f>
        <v>430Oficio_Solicitud</v>
      </c>
      <c r="B524" s="45">
        <f>COUNTIF($A$2:A524,A524)</f>
        <v>1</v>
      </c>
      <c r="C524" s="45" t="str">
        <f>Tabla2[[#This Row],[(id_solicitud-tipo_documento)]]&amp;B524</f>
        <v>430Oficio_Solicitud1</v>
      </c>
      <c r="D524" s="45">
        <v>525</v>
      </c>
      <c r="E524" s="45">
        <v>430</v>
      </c>
      <c r="F524" s="45" t="s">
        <v>53</v>
      </c>
      <c r="G524" s="45" t="s">
        <v>1258</v>
      </c>
      <c r="H524" s="50" t="s">
        <v>544</v>
      </c>
      <c r="I524" s="51">
        <v>516</v>
      </c>
      <c r="J524" s="80"/>
      <c r="K5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516 DAP_FETCovid19</v>
      </c>
      <c r="L524" s="48">
        <v>44825</v>
      </c>
      <c r="M524" s="48">
        <v>44826</v>
      </c>
      <c r="N524" s="49" t="s">
        <v>413</v>
      </c>
      <c r="O524" s="45">
        <v>1</v>
      </c>
      <c r="P524" s="80" t="s">
        <v>494</v>
      </c>
      <c r="Q524" s="48"/>
      <c r="R524" s="45"/>
      <c r="S524" s="114"/>
      <c r="T524" s="52"/>
      <c r="U524" s="48"/>
      <c r="V524" s="48"/>
      <c r="W524" s="27"/>
    </row>
    <row r="525" spans="1:23" ht="60" hidden="1" customHeight="1" x14ac:dyDescent="0.25">
      <c r="A525" s="45" t="str">
        <f>CONCATENATE(Tabla2[[#This Row],[id_solicitud]],Tabla2[[#This Row],[tipo]])</f>
        <v>97Decreto</v>
      </c>
      <c r="B525" s="45">
        <f>COUNTIF($A$2:A525,A525)</f>
        <v>2</v>
      </c>
      <c r="C525" s="45" t="str">
        <f>Tabla2[[#This Row],[(id_solicitud-tipo_documento)]]&amp;B525</f>
        <v>97Decreto2</v>
      </c>
      <c r="D525" s="45">
        <v>526</v>
      </c>
      <c r="E525" s="45">
        <v>97</v>
      </c>
      <c r="F525" s="45" t="s">
        <v>47</v>
      </c>
      <c r="G525" s="45" t="s">
        <v>60</v>
      </c>
      <c r="H525" s="50" t="s">
        <v>8</v>
      </c>
      <c r="I525" s="51">
        <v>517</v>
      </c>
      <c r="J525" s="80"/>
      <c r="K5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517 DA</v>
      </c>
      <c r="L525" s="48">
        <v>44665</v>
      </c>
      <c r="M525" s="48"/>
      <c r="N525" s="49"/>
      <c r="O525" s="45"/>
      <c r="P525" s="80"/>
      <c r="Q525" s="48"/>
      <c r="R525" s="45"/>
      <c r="S525" s="115">
        <v>213</v>
      </c>
      <c r="T525" s="20">
        <v>44657</v>
      </c>
      <c r="U525" s="20">
        <v>44673</v>
      </c>
      <c r="V525" s="20">
        <v>44673</v>
      </c>
      <c r="W525" s="27"/>
    </row>
    <row r="526" spans="1:23" ht="60" hidden="1" customHeight="1" x14ac:dyDescent="0.25">
      <c r="A526" s="45" t="str">
        <f>CONCATENATE(Tabla2[[#This Row],[id_solicitud]],Tabla2[[#This Row],[tipo]])</f>
        <v>319Proposicion</v>
      </c>
      <c r="B526" s="45">
        <f>COUNTIF($A$2:A526,A526)</f>
        <v>1</v>
      </c>
      <c r="C526" s="45" t="str">
        <f>Tabla2[[#This Row],[(id_solicitud-tipo_documento)]]&amp;B526</f>
        <v>319Proposicion1</v>
      </c>
      <c r="D526" s="45">
        <v>527</v>
      </c>
      <c r="E526" s="45">
        <v>319</v>
      </c>
      <c r="F526" s="45" t="s">
        <v>46</v>
      </c>
      <c r="G526" s="45" t="s">
        <v>40</v>
      </c>
      <c r="H526" s="50" t="s">
        <v>589</v>
      </c>
      <c r="I526" s="51">
        <v>518</v>
      </c>
      <c r="J526" s="80"/>
      <c r="K5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518 SOP-DOH</v>
      </c>
      <c r="L526" s="48">
        <v>44777</v>
      </c>
      <c r="M526" s="48">
        <v>44778</v>
      </c>
      <c r="N526" s="49" t="s">
        <v>330</v>
      </c>
      <c r="O526" s="45"/>
      <c r="P526" s="80" t="s">
        <v>498</v>
      </c>
      <c r="Q526" s="24"/>
      <c r="R526" s="24" t="s">
        <v>24</v>
      </c>
      <c r="S526" s="114"/>
      <c r="T526" s="45"/>
      <c r="U526" s="48"/>
      <c r="V526" s="48"/>
      <c r="W526" s="27"/>
    </row>
    <row r="527" spans="1:23" ht="60" hidden="1" customHeight="1" x14ac:dyDescent="0.25">
      <c r="A527" s="45" t="str">
        <f>CONCATENATE(Tabla2[[#This Row],[id_solicitud]],Tabla2[[#This Row],[tipo]])</f>
        <v>323Proposicion</v>
      </c>
      <c r="B527" s="45">
        <f>COUNTIF($A$2:A527,A527)</f>
        <v>1</v>
      </c>
      <c r="C527" s="45" t="str">
        <f>Tabla2[[#This Row],[(id_solicitud-tipo_documento)]]&amp;B527</f>
        <v>323Proposicion1</v>
      </c>
      <c r="D527" s="45">
        <v>528</v>
      </c>
      <c r="E527" s="45">
        <v>323</v>
      </c>
      <c r="F527" s="45" t="s">
        <v>46</v>
      </c>
      <c r="G527" s="45" t="s">
        <v>40</v>
      </c>
      <c r="H527" s="50" t="s">
        <v>590</v>
      </c>
      <c r="I527" s="51">
        <v>519</v>
      </c>
      <c r="J527" s="80"/>
      <c r="K5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519 DOH-DCyF</v>
      </c>
      <c r="L527" s="48">
        <v>44777</v>
      </c>
      <c r="M527" s="48">
        <v>44778</v>
      </c>
      <c r="N527" s="49" t="s">
        <v>333</v>
      </c>
      <c r="O527" s="45"/>
      <c r="P527" s="80" t="s">
        <v>496</v>
      </c>
      <c r="Q527" s="24"/>
      <c r="R527" s="24" t="s">
        <v>24</v>
      </c>
      <c r="S527" s="114"/>
      <c r="T527" s="45"/>
      <c r="U527" s="48"/>
      <c r="V527" s="48"/>
      <c r="W527" s="27"/>
    </row>
    <row r="528" spans="1:23" ht="60" hidden="1" customHeight="1" x14ac:dyDescent="0.25">
      <c r="A528" s="45" t="str">
        <f>CONCATENATE(Tabla2[[#This Row],[id_solicitud]],Tabla2[[#This Row],[tipo]])</f>
        <v>322Proposicion</v>
      </c>
      <c r="B528" s="45">
        <f>COUNTIF($A$2:A528,A528)</f>
        <v>1</v>
      </c>
      <c r="C528" s="45" t="str">
        <f>Tabla2[[#This Row],[(id_solicitud-tipo_documento)]]&amp;B528</f>
        <v>322Proposicion1</v>
      </c>
      <c r="D528" s="45">
        <v>529</v>
      </c>
      <c r="E528" s="45">
        <v>322</v>
      </c>
      <c r="F528" s="45" t="s">
        <v>46</v>
      </c>
      <c r="G528" s="45" t="s">
        <v>40</v>
      </c>
      <c r="H528" s="50" t="s">
        <v>30</v>
      </c>
      <c r="I528" s="51">
        <v>522</v>
      </c>
      <c r="J528" s="80"/>
      <c r="K5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522 INH</v>
      </c>
      <c r="L528" s="48">
        <v>44778</v>
      </c>
      <c r="M528" s="48">
        <v>44778</v>
      </c>
      <c r="N528" s="49" t="s">
        <v>332</v>
      </c>
      <c r="O528" s="45"/>
      <c r="P528" s="80" t="s">
        <v>501</v>
      </c>
      <c r="Q528" s="24"/>
      <c r="R528" s="24" t="s">
        <v>24</v>
      </c>
      <c r="S528" s="114"/>
      <c r="T528" s="45"/>
      <c r="U528" s="48"/>
      <c r="V528" s="48"/>
      <c r="W528" s="27"/>
    </row>
    <row r="529" spans="1:23" ht="60" hidden="1" customHeight="1" x14ac:dyDescent="0.25">
      <c r="A529" s="45" t="str">
        <f>CONCATENATE(Tabla2[[#This Row],[id_solicitud]],Tabla2[[#This Row],[tipo]])</f>
        <v>345Proposicion</v>
      </c>
      <c r="B529" s="45">
        <f>COUNTIF($A$2:A529,A529)</f>
        <v>1</v>
      </c>
      <c r="C529" s="45" t="str">
        <f>Tabla2[[#This Row],[(id_solicitud-tipo_documento)]]&amp;B529</f>
        <v>345Proposicion1</v>
      </c>
      <c r="D529" s="45">
        <v>530</v>
      </c>
      <c r="E529" s="45">
        <v>345</v>
      </c>
      <c r="F529" s="45" t="s">
        <v>46</v>
      </c>
      <c r="G529" s="45" t="s">
        <v>1260</v>
      </c>
      <c r="H529" s="50" t="s">
        <v>26</v>
      </c>
      <c r="I529" s="51">
        <v>522</v>
      </c>
      <c r="J529" s="80"/>
      <c r="K5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522 DV</v>
      </c>
      <c r="L529" s="48">
        <v>44782</v>
      </c>
      <c r="M529" s="48">
        <v>44782</v>
      </c>
      <c r="N529" s="49" t="s">
        <v>693</v>
      </c>
      <c r="O529" s="45"/>
      <c r="P529" s="80" t="s">
        <v>500</v>
      </c>
      <c r="Q529" s="24"/>
      <c r="R529" s="24" t="s">
        <v>12</v>
      </c>
      <c r="S529" s="114"/>
      <c r="T529" s="45"/>
      <c r="U529" s="48"/>
      <c r="V529" s="48"/>
      <c r="W529" s="27"/>
    </row>
    <row r="530" spans="1:23" ht="60" hidden="1" customHeight="1" x14ac:dyDescent="0.25">
      <c r="A530" s="45" t="str">
        <f>CONCATENATE(Tabla2[[#This Row],[id_solicitud]],Tabla2[[#This Row],[tipo]])</f>
        <v>327Proposicion</v>
      </c>
      <c r="B530" s="45">
        <f>COUNTIF($A$2:A530,A530)</f>
        <v>1</v>
      </c>
      <c r="C530" s="45" t="str">
        <f>Tabla2[[#This Row],[(id_solicitud-tipo_documento)]]&amp;B530</f>
        <v>327Proposicion1</v>
      </c>
      <c r="D530" s="45">
        <v>531</v>
      </c>
      <c r="E530" s="45">
        <v>327</v>
      </c>
      <c r="F530" s="45" t="s">
        <v>46</v>
      </c>
      <c r="G530" s="45" t="s">
        <v>1256</v>
      </c>
      <c r="H530" s="50" t="s">
        <v>22</v>
      </c>
      <c r="I530" s="51">
        <v>523</v>
      </c>
      <c r="J530" s="80"/>
      <c r="K5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523 DOP</v>
      </c>
      <c r="L530" s="48">
        <v>44778</v>
      </c>
      <c r="M530" s="48">
        <v>44781</v>
      </c>
      <c r="N530" s="49" t="s">
        <v>337</v>
      </c>
      <c r="O530" s="45"/>
      <c r="P530" s="80" t="s">
        <v>501</v>
      </c>
      <c r="Q530" s="24"/>
      <c r="R530" s="24" t="s">
        <v>24</v>
      </c>
      <c r="S530" s="114"/>
      <c r="T530" s="45"/>
      <c r="U530" s="48"/>
      <c r="V530" s="48"/>
      <c r="W530" s="27"/>
    </row>
    <row r="531" spans="1:23" ht="60" hidden="1" customHeight="1" x14ac:dyDescent="0.25">
      <c r="A531" s="45" t="str">
        <f>CONCATENATE(Tabla2[[#This Row],[id_solicitud]],Tabla2[[#This Row],[tipo]])</f>
        <v>421Oficio_Solicitud</v>
      </c>
      <c r="B531" s="45">
        <f>COUNTIF($A$2:A531,A531)</f>
        <v>1</v>
      </c>
      <c r="C531" s="45" t="str">
        <f>Tabla2[[#This Row],[(id_solicitud-tipo_documento)]]&amp;B531</f>
        <v>421Oficio_Solicitud1</v>
      </c>
      <c r="D531" s="45">
        <v>532</v>
      </c>
      <c r="E531" s="45">
        <v>421</v>
      </c>
      <c r="F531" s="45" t="s">
        <v>53</v>
      </c>
      <c r="G531" s="45" t="s">
        <v>1259</v>
      </c>
      <c r="H531" s="50" t="s">
        <v>35</v>
      </c>
      <c r="I531" s="51">
        <v>528</v>
      </c>
      <c r="J531" s="80"/>
      <c r="K5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528 SOP</v>
      </c>
      <c r="L531" s="48">
        <v>44810</v>
      </c>
      <c r="M531" s="48">
        <v>44810</v>
      </c>
      <c r="N531" s="49" t="s">
        <v>406</v>
      </c>
      <c r="O531" s="45"/>
      <c r="P531" s="80" t="s">
        <v>522</v>
      </c>
      <c r="Q531" s="48"/>
      <c r="R531" s="45"/>
      <c r="S531" s="114"/>
      <c r="T531" s="52"/>
      <c r="U531" s="48"/>
      <c r="V531" s="48"/>
      <c r="W531" s="27"/>
    </row>
    <row r="532" spans="1:23" ht="60" hidden="1" customHeight="1" x14ac:dyDescent="0.25">
      <c r="A532" s="45" t="str">
        <f>CONCATENATE(Tabla2[[#This Row],[id_solicitud]],Tabla2[[#This Row],[tipo]])</f>
        <v>327Proposicion</v>
      </c>
      <c r="B532" s="45">
        <f>COUNTIF($A$2:A532,A532)</f>
        <v>2</v>
      </c>
      <c r="C532" s="45" t="str">
        <f>Tabla2[[#This Row],[(id_solicitud-tipo_documento)]]&amp;B532</f>
        <v>327Proposicion2</v>
      </c>
      <c r="D532" s="45">
        <v>533</v>
      </c>
      <c r="E532" s="45">
        <v>327</v>
      </c>
      <c r="F532" s="45" t="s">
        <v>46</v>
      </c>
      <c r="G532" s="45" t="s">
        <v>44</v>
      </c>
      <c r="H532" s="50" t="s">
        <v>22</v>
      </c>
      <c r="I532" s="51">
        <v>528</v>
      </c>
      <c r="J532" s="80"/>
      <c r="K5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528 DOP</v>
      </c>
      <c r="L532" s="48">
        <v>44782</v>
      </c>
      <c r="M532" s="48">
        <v>44783</v>
      </c>
      <c r="N532" s="49" t="s">
        <v>692</v>
      </c>
      <c r="O532" s="45"/>
      <c r="P532" s="80" t="s">
        <v>498</v>
      </c>
      <c r="Q532" s="24"/>
      <c r="R532" s="24" t="s">
        <v>24</v>
      </c>
      <c r="S532" s="114"/>
      <c r="T532" s="45"/>
      <c r="U532" s="48"/>
      <c r="V532" s="48"/>
      <c r="W532" s="27"/>
    </row>
    <row r="533" spans="1:23" ht="60" hidden="1" customHeight="1" x14ac:dyDescent="0.25">
      <c r="A533" s="45" t="str">
        <f>CONCATENATE(Tabla2[[#This Row],[id_solicitud]],Tabla2[[#This Row],[tipo]])</f>
        <v>324Proposicion</v>
      </c>
      <c r="B533" s="45">
        <f>COUNTIF($A$2:A533,A533)</f>
        <v>1</v>
      </c>
      <c r="C533" s="45" t="str">
        <f>Tabla2[[#This Row],[(id_solicitud-tipo_documento)]]&amp;B533</f>
        <v>324Proposicion1</v>
      </c>
      <c r="D533" s="45">
        <v>534</v>
      </c>
      <c r="E533" s="45">
        <v>324</v>
      </c>
      <c r="F533" s="45" t="s">
        <v>46</v>
      </c>
      <c r="G533" s="45" t="s">
        <v>44</v>
      </c>
      <c r="H533" s="50" t="s">
        <v>12</v>
      </c>
      <c r="I533" s="51">
        <v>529</v>
      </c>
      <c r="J533" s="80"/>
      <c r="K5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529 DCyF</v>
      </c>
      <c r="L533" s="48">
        <v>44782</v>
      </c>
      <c r="M533" s="48">
        <v>44783</v>
      </c>
      <c r="N533" s="49" t="s">
        <v>334</v>
      </c>
      <c r="O533" s="45"/>
      <c r="P533" s="80" t="s">
        <v>498</v>
      </c>
      <c r="Q533" s="24"/>
      <c r="R533" s="24" t="s">
        <v>24</v>
      </c>
      <c r="S533" s="114"/>
      <c r="T533" s="45"/>
      <c r="U533" s="48"/>
      <c r="V533" s="48"/>
      <c r="W533" s="27"/>
    </row>
    <row r="534" spans="1:23" ht="60" hidden="1" customHeight="1" x14ac:dyDescent="0.25">
      <c r="A534" s="45" t="str">
        <f>CONCATENATE(Tabla2[[#This Row],[id_solicitud]],Tabla2[[#This Row],[tipo]])</f>
        <v>5Oficio_Solicitud</v>
      </c>
      <c r="B534" s="45">
        <f>COUNTIF($A$2:A534,A534)</f>
        <v>1</v>
      </c>
      <c r="C534" s="45" t="str">
        <f>Tabla2[[#This Row],[(id_solicitud-tipo_documento)]]&amp;B534</f>
        <v>5Oficio_Solicitud1</v>
      </c>
      <c r="D534" s="45">
        <v>535</v>
      </c>
      <c r="E534" s="45">
        <v>5</v>
      </c>
      <c r="F534" s="45" t="s">
        <v>53</v>
      </c>
      <c r="G534" s="45" t="s">
        <v>43</v>
      </c>
      <c r="H534" s="50" t="s">
        <v>18</v>
      </c>
      <c r="I534" s="51">
        <v>529</v>
      </c>
      <c r="J534" s="80"/>
      <c r="K5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529 DGOP</v>
      </c>
      <c r="L534" s="48">
        <v>44532</v>
      </c>
      <c r="M534" s="48">
        <v>44533</v>
      </c>
      <c r="N534" s="49" t="s">
        <v>73</v>
      </c>
      <c r="O534" s="45">
        <v>1</v>
      </c>
      <c r="P534" s="80" t="s">
        <v>494</v>
      </c>
      <c r="Q534" s="48"/>
      <c r="R534" s="45"/>
      <c r="S534" s="114"/>
      <c r="T534" s="52"/>
      <c r="U534" s="48"/>
      <c r="V534" s="48"/>
      <c r="W534" s="27"/>
    </row>
    <row r="535" spans="1:23" ht="60" hidden="1" customHeight="1" x14ac:dyDescent="0.25">
      <c r="A535" s="45" t="str">
        <f>CONCATENATE(Tabla2[[#This Row],[id_solicitud]],Tabla2[[#This Row],[tipo]])</f>
        <v>90Decreto</v>
      </c>
      <c r="B535" s="45">
        <f>COUNTIF($A$2:A535,A535)</f>
        <v>1</v>
      </c>
      <c r="C535" s="45" t="str">
        <f>Tabla2[[#This Row],[(id_solicitud-tipo_documento)]]&amp;B535</f>
        <v>90Decreto1</v>
      </c>
      <c r="D535" s="45">
        <v>536</v>
      </c>
      <c r="E535" s="45">
        <v>90</v>
      </c>
      <c r="F535" s="45" t="s">
        <v>47</v>
      </c>
      <c r="G535" s="45" t="s">
        <v>40</v>
      </c>
      <c r="H535" s="50" t="s">
        <v>12</v>
      </c>
      <c r="I535" s="51">
        <v>530</v>
      </c>
      <c r="J535" s="80"/>
      <c r="K5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530 DCyF</v>
      </c>
      <c r="L535" s="48">
        <v>44665</v>
      </c>
      <c r="M535" s="48"/>
      <c r="N535" s="49" t="s">
        <v>810</v>
      </c>
      <c r="O535" s="45"/>
      <c r="P535" s="80"/>
      <c r="Q535" s="48"/>
      <c r="R535" s="45"/>
      <c r="S535" s="115">
        <v>203</v>
      </c>
      <c r="T535" s="20">
        <v>44656</v>
      </c>
      <c r="U535" s="20">
        <v>44677</v>
      </c>
      <c r="V535" s="20">
        <v>44677</v>
      </c>
      <c r="W535" s="27"/>
    </row>
    <row r="536" spans="1:23" ht="60" hidden="1" customHeight="1" x14ac:dyDescent="0.25">
      <c r="A536" s="45" t="str">
        <f>CONCATENATE(Tabla2[[#This Row],[id_solicitud]],Tabla2[[#This Row],[tipo]])</f>
        <v>315Proposicion</v>
      </c>
      <c r="B536" s="45">
        <f>COUNTIF($A$2:A536,A536)</f>
        <v>1</v>
      </c>
      <c r="C536" s="45" t="str">
        <f>Tabla2[[#This Row],[(id_solicitud-tipo_documento)]]&amp;B536</f>
        <v>315Proposicion1</v>
      </c>
      <c r="D536" s="45">
        <v>537</v>
      </c>
      <c r="E536" s="45">
        <v>315</v>
      </c>
      <c r="F536" s="45" t="s">
        <v>46</v>
      </c>
      <c r="G536" s="45" t="s">
        <v>61</v>
      </c>
      <c r="H536" s="50" t="s">
        <v>22</v>
      </c>
      <c r="I536" s="51">
        <v>530</v>
      </c>
      <c r="J536" s="80"/>
      <c r="K5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530 DOP</v>
      </c>
      <c r="L536" s="48">
        <v>44782</v>
      </c>
      <c r="M536" s="48">
        <v>44783</v>
      </c>
      <c r="N536" s="49" t="s">
        <v>327</v>
      </c>
      <c r="O536" s="45">
        <v>13</v>
      </c>
      <c r="P536" s="80" t="s">
        <v>494</v>
      </c>
      <c r="Q536" s="24"/>
      <c r="R536" s="24" t="s">
        <v>24</v>
      </c>
      <c r="S536" s="114"/>
      <c r="T536" s="45"/>
      <c r="U536" s="48"/>
      <c r="V536" s="48"/>
      <c r="W536" s="27"/>
    </row>
    <row r="537" spans="1:23" ht="60" hidden="1" customHeight="1" x14ac:dyDescent="0.25">
      <c r="A537" s="45" t="str">
        <f>CONCATENATE(Tabla2[[#This Row],[id_solicitud]],Tabla2[[#This Row],[tipo]])</f>
        <v>332Proposicion</v>
      </c>
      <c r="B537" s="45">
        <f>COUNTIF($A$2:A537,A537)</f>
        <v>1</v>
      </c>
      <c r="C537" s="45" t="str">
        <f>Tabla2[[#This Row],[(id_solicitud-tipo_documento)]]&amp;B537</f>
        <v>332Proposicion1</v>
      </c>
      <c r="D537" s="45">
        <v>538</v>
      </c>
      <c r="E537" s="45">
        <v>332</v>
      </c>
      <c r="F537" s="45" t="s">
        <v>46</v>
      </c>
      <c r="G537" s="45" t="s">
        <v>40</v>
      </c>
      <c r="H537" s="50" t="s">
        <v>591</v>
      </c>
      <c r="I537" s="51">
        <v>532</v>
      </c>
      <c r="J537" s="80"/>
      <c r="K5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532 DOH-SISS</v>
      </c>
      <c r="L537" s="48">
        <v>44783</v>
      </c>
      <c r="M537" s="48">
        <v>44783</v>
      </c>
      <c r="N537" s="49" t="s">
        <v>342</v>
      </c>
      <c r="O537" s="45">
        <v>0</v>
      </c>
      <c r="P537" s="80" t="s">
        <v>498</v>
      </c>
      <c r="Q537" s="24"/>
      <c r="R537" s="24" t="s">
        <v>24</v>
      </c>
      <c r="S537" s="114"/>
      <c r="T537" s="45"/>
      <c r="U537" s="48"/>
      <c r="V537" s="48"/>
      <c r="W537" s="27"/>
    </row>
    <row r="538" spans="1:23" ht="60" hidden="1" customHeight="1" x14ac:dyDescent="0.25">
      <c r="A538" s="45" t="str">
        <f>CONCATENATE(Tabla2[[#This Row],[id_solicitud]],Tabla2[[#This Row],[tipo]])</f>
        <v>326Proposicion</v>
      </c>
      <c r="B538" s="45">
        <f>COUNTIF($A$2:A538,A538)</f>
        <v>1</v>
      </c>
      <c r="C538" s="45" t="str">
        <f>Tabla2[[#This Row],[(id_solicitud-tipo_documento)]]&amp;B538</f>
        <v>326Proposicion1</v>
      </c>
      <c r="D538" s="45">
        <v>539</v>
      </c>
      <c r="E538" s="45">
        <v>326</v>
      </c>
      <c r="F538" s="45" t="s">
        <v>46</v>
      </c>
      <c r="G538" s="45" t="s">
        <v>1258</v>
      </c>
      <c r="H538" s="50" t="s">
        <v>16</v>
      </c>
      <c r="I538" s="51">
        <v>533</v>
      </c>
      <c r="J538" s="80"/>
      <c r="K5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533 DGC</v>
      </c>
      <c r="L538" s="48">
        <v>44783</v>
      </c>
      <c r="M538" s="48">
        <v>44783</v>
      </c>
      <c r="N538" s="49" t="s">
        <v>336</v>
      </c>
      <c r="O538" s="45">
        <v>17</v>
      </c>
      <c r="P538" s="80" t="s">
        <v>494</v>
      </c>
      <c r="Q538" s="24"/>
      <c r="R538" s="24" t="s">
        <v>24</v>
      </c>
      <c r="S538" s="114"/>
      <c r="T538" s="45"/>
      <c r="U538" s="48"/>
      <c r="V538" s="48"/>
      <c r="W538" s="27"/>
    </row>
    <row r="539" spans="1:23" ht="60" hidden="1" customHeight="1" x14ac:dyDescent="0.25">
      <c r="A539" s="45" t="str">
        <f>CONCATENATE(Tabla2[[#This Row],[id_solicitud]],Tabla2[[#This Row],[tipo]])</f>
        <v>331Proposicion</v>
      </c>
      <c r="B539" s="45">
        <f>COUNTIF($A$2:A539,A539)</f>
        <v>1</v>
      </c>
      <c r="C539" s="45" t="str">
        <f>Tabla2[[#This Row],[(id_solicitud-tipo_documento)]]&amp;B539</f>
        <v>331Proposicion1</v>
      </c>
      <c r="D539" s="45">
        <v>540</v>
      </c>
      <c r="E539" s="45">
        <v>331</v>
      </c>
      <c r="F539" s="45" t="s">
        <v>46</v>
      </c>
      <c r="G539" s="45" t="s">
        <v>40</v>
      </c>
      <c r="H539" s="50" t="s">
        <v>24</v>
      </c>
      <c r="I539" s="51">
        <v>534</v>
      </c>
      <c r="J539" s="80"/>
      <c r="K5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534 DP</v>
      </c>
      <c r="L539" s="48">
        <v>44783</v>
      </c>
      <c r="M539" s="48">
        <v>44784</v>
      </c>
      <c r="N539" s="49" t="s">
        <v>341</v>
      </c>
      <c r="O539" s="45">
        <v>0</v>
      </c>
      <c r="P539" s="80" t="s">
        <v>501</v>
      </c>
      <c r="Q539" s="24"/>
      <c r="R539" s="24" t="s">
        <v>24</v>
      </c>
      <c r="S539" s="114"/>
      <c r="T539" s="45"/>
      <c r="U539" s="48"/>
      <c r="V539" s="48"/>
      <c r="W539" s="27"/>
    </row>
    <row r="540" spans="1:23" ht="60" hidden="1" customHeight="1" x14ac:dyDescent="0.25">
      <c r="A540" s="45" t="str">
        <f>CONCATENATE(Tabla2[[#This Row],[id_solicitud]],Tabla2[[#This Row],[tipo]])</f>
        <v>362Proposicion</v>
      </c>
      <c r="B540" s="45">
        <f>COUNTIF($A$2:A540,A540)</f>
        <v>1</v>
      </c>
      <c r="C540" s="45" t="str">
        <f>Tabla2[[#This Row],[(id_solicitud-tipo_documento)]]&amp;B540</f>
        <v>362Proposicion1</v>
      </c>
      <c r="D540" s="45">
        <v>541</v>
      </c>
      <c r="E540" s="45">
        <v>362</v>
      </c>
      <c r="F540" s="45" t="s">
        <v>46</v>
      </c>
      <c r="G540" s="45" t="s">
        <v>44</v>
      </c>
      <c r="H540" s="50" t="s">
        <v>28</v>
      </c>
      <c r="I540" s="51">
        <v>535</v>
      </c>
      <c r="J540" s="80"/>
      <c r="K5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535 FISC</v>
      </c>
      <c r="L540" s="48">
        <v>44790</v>
      </c>
      <c r="M540" s="48">
        <v>44790</v>
      </c>
      <c r="N540" s="49" t="s">
        <v>698</v>
      </c>
      <c r="O540" s="45"/>
      <c r="P540" s="80" t="s">
        <v>497</v>
      </c>
      <c r="Q540" s="24"/>
      <c r="R540" s="24" t="s">
        <v>12</v>
      </c>
      <c r="S540" s="114"/>
      <c r="T540" s="45"/>
      <c r="U540" s="48"/>
      <c r="V540" s="48"/>
      <c r="W540" s="27"/>
    </row>
    <row r="541" spans="1:23" ht="60" customHeight="1" x14ac:dyDescent="0.25">
      <c r="A541" s="45" t="str">
        <f>CONCATENATE(Tabla2[[#This Row],[id_solicitud]],Tabla2[[#This Row],[tipo]])</f>
        <v>140Oficio_Solicitud</v>
      </c>
      <c r="B541" s="45">
        <f>COUNTIF($A$2:A541,A541)</f>
        <v>1</v>
      </c>
      <c r="C541" s="45" t="str">
        <f>Tabla2[[#This Row],[(id_solicitud-tipo_documento)]]&amp;B541</f>
        <v>140Oficio_Solicitud1</v>
      </c>
      <c r="D541" s="45">
        <v>1495</v>
      </c>
      <c r="E541" s="45">
        <v>140</v>
      </c>
      <c r="F541" s="45" t="s">
        <v>53</v>
      </c>
      <c r="G541" s="45" t="s">
        <v>60</v>
      </c>
      <c r="H541" s="50" t="s">
        <v>26</v>
      </c>
      <c r="I541" s="51">
        <v>2858</v>
      </c>
      <c r="J541" s="80" t="s">
        <v>1241</v>
      </c>
      <c r="K5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2858 DVcorreo</v>
      </c>
      <c r="L541" s="48">
        <v>44645</v>
      </c>
      <c r="M541" s="48">
        <v>44648</v>
      </c>
      <c r="N541" s="49" t="s">
        <v>185</v>
      </c>
      <c r="O541" s="45">
        <v>3</v>
      </c>
      <c r="P541" s="80" t="s">
        <v>494</v>
      </c>
      <c r="Q541" s="48">
        <v>44658</v>
      </c>
      <c r="R541" s="45"/>
      <c r="S541" s="114"/>
      <c r="T541" s="52"/>
      <c r="U541" s="48"/>
      <c r="V541" s="48"/>
      <c r="W541" s="27"/>
    </row>
    <row r="542" spans="1:23" ht="60" hidden="1" customHeight="1" x14ac:dyDescent="0.25">
      <c r="A542" s="45" t="str">
        <f>CONCATENATE(Tabla2[[#This Row],[id_solicitud]],Tabla2[[#This Row],[tipo]])</f>
        <v>353Proposicion</v>
      </c>
      <c r="B542" s="45">
        <f>COUNTIF($A$2:A542,A542)</f>
        <v>1</v>
      </c>
      <c r="C542" s="45" t="str">
        <f>Tabla2[[#This Row],[(id_solicitud-tipo_documento)]]&amp;B542</f>
        <v>353Proposicion1</v>
      </c>
      <c r="D542" s="45">
        <v>543</v>
      </c>
      <c r="E542" s="45">
        <v>353</v>
      </c>
      <c r="F542" s="45" t="s">
        <v>46</v>
      </c>
      <c r="G542" s="45" t="s">
        <v>65</v>
      </c>
      <c r="H542" s="50" t="s">
        <v>593</v>
      </c>
      <c r="I542" s="51">
        <v>537</v>
      </c>
      <c r="J542" s="80"/>
      <c r="K5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537 DOH-FISC</v>
      </c>
      <c r="L542" s="48">
        <v>44784</v>
      </c>
      <c r="M542" s="48">
        <v>44785</v>
      </c>
      <c r="N542" s="49" t="s">
        <v>357</v>
      </c>
      <c r="O542" s="45"/>
      <c r="P542" s="80" t="s">
        <v>498</v>
      </c>
      <c r="Q542" s="24"/>
      <c r="R542" s="24" t="s">
        <v>24</v>
      </c>
      <c r="S542" s="114"/>
      <c r="T542" s="45"/>
      <c r="U542" s="48"/>
      <c r="V542" s="48"/>
      <c r="W542" s="27"/>
    </row>
    <row r="543" spans="1:23" ht="60" hidden="1" customHeight="1" x14ac:dyDescent="0.25">
      <c r="A543" s="45" t="str">
        <f>CONCATENATE(Tabla2[[#This Row],[id_solicitud]],Tabla2[[#This Row],[tipo]])</f>
        <v>337Proposicion</v>
      </c>
      <c r="B543" s="45">
        <f>COUNTIF($A$2:A543,A543)</f>
        <v>1</v>
      </c>
      <c r="C543" s="45" t="str">
        <f>Tabla2[[#This Row],[(id_solicitud-tipo_documento)]]&amp;B543</f>
        <v>337Proposicion1</v>
      </c>
      <c r="D543" s="45">
        <v>544</v>
      </c>
      <c r="E543" s="45">
        <v>337</v>
      </c>
      <c r="F543" s="45" t="s">
        <v>46</v>
      </c>
      <c r="G543" s="45" t="s">
        <v>1258</v>
      </c>
      <c r="H543" s="50" t="s">
        <v>6</v>
      </c>
      <c r="I543" s="51">
        <v>538</v>
      </c>
      <c r="J543" s="80"/>
      <c r="K5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538 APR</v>
      </c>
      <c r="L543" s="48">
        <v>44784</v>
      </c>
      <c r="M543" s="48">
        <v>44784</v>
      </c>
      <c r="N543" s="49" t="s">
        <v>347</v>
      </c>
      <c r="O543" s="45">
        <v>3</v>
      </c>
      <c r="P543" s="80" t="s">
        <v>494</v>
      </c>
      <c r="Q543" s="24"/>
      <c r="R543" s="24" t="s">
        <v>24</v>
      </c>
      <c r="S543" s="114"/>
      <c r="T543" s="45"/>
      <c r="U543" s="48"/>
      <c r="V543" s="48"/>
      <c r="W543" s="27"/>
    </row>
    <row r="544" spans="1:23" ht="60" hidden="1" customHeight="1" x14ac:dyDescent="0.25">
      <c r="A544" s="45" t="str">
        <f>CONCATENATE(Tabla2[[#This Row],[id_solicitud]],Tabla2[[#This Row],[tipo]])</f>
        <v>344Proposicion</v>
      </c>
      <c r="B544" s="45">
        <f>COUNTIF($A$2:A544,A544)</f>
        <v>1</v>
      </c>
      <c r="C544" s="45" t="str">
        <f>Tabla2[[#This Row],[(id_solicitud-tipo_documento)]]&amp;B544</f>
        <v>344Proposicion1</v>
      </c>
      <c r="D544" s="45">
        <v>545</v>
      </c>
      <c r="E544" s="45">
        <v>344</v>
      </c>
      <c r="F544" s="45" t="s">
        <v>46</v>
      </c>
      <c r="G544" s="45" t="s">
        <v>1258</v>
      </c>
      <c r="H544" s="50" t="s">
        <v>22</v>
      </c>
      <c r="I544" s="51">
        <v>540</v>
      </c>
      <c r="J544" s="80"/>
      <c r="K5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540 DOP</v>
      </c>
      <c r="L544" s="48">
        <v>44784</v>
      </c>
      <c r="M544" s="48">
        <v>44784</v>
      </c>
      <c r="N544" s="49" t="s">
        <v>349</v>
      </c>
      <c r="O544" s="45">
        <v>1</v>
      </c>
      <c r="P544" s="80" t="s">
        <v>494</v>
      </c>
      <c r="Q544" s="24"/>
      <c r="R544" s="24" t="s">
        <v>24</v>
      </c>
      <c r="S544" s="114"/>
      <c r="T544" s="45"/>
      <c r="U544" s="48"/>
      <c r="V544" s="48"/>
      <c r="W544" s="27"/>
    </row>
    <row r="545" spans="1:23" ht="60" hidden="1" customHeight="1" x14ac:dyDescent="0.25">
      <c r="A545" s="45" t="str">
        <f>CONCATENATE(Tabla2[[#This Row],[id_solicitud]],Tabla2[[#This Row],[tipo]])</f>
        <v>336Proposicion</v>
      </c>
      <c r="B545" s="45">
        <f>COUNTIF($A$2:A545,A545)</f>
        <v>1</v>
      </c>
      <c r="C545" s="45" t="str">
        <f>Tabla2[[#This Row],[(id_solicitud-tipo_documento)]]&amp;B545</f>
        <v>336Proposicion1</v>
      </c>
      <c r="D545" s="45">
        <v>546</v>
      </c>
      <c r="E545" s="45">
        <v>336</v>
      </c>
      <c r="F545" s="45" t="s">
        <v>46</v>
      </c>
      <c r="G545" s="45" t="s">
        <v>1258</v>
      </c>
      <c r="H545" s="50" t="s">
        <v>20</v>
      </c>
      <c r="I545" s="51">
        <v>541</v>
      </c>
      <c r="J545" s="80"/>
      <c r="K5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541 DOH</v>
      </c>
      <c r="L545" s="48">
        <v>44784</v>
      </c>
      <c r="M545" s="48">
        <v>44784</v>
      </c>
      <c r="N545" s="49" t="s">
        <v>346</v>
      </c>
      <c r="O545" s="45">
        <v>4</v>
      </c>
      <c r="P545" s="80" t="s">
        <v>494</v>
      </c>
      <c r="Q545" s="24"/>
      <c r="R545" s="24" t="s">
        <v>24</v>
      </c>
      <c r="S545" s="114"/>
      <c r="T545" s="45"/>
      <c r="U545" s="48"/>
      <c r="V545" s="48"/>
      <c r="W545" s="27"/>
    </row>
    <row r="546" spans="1:23" ht="60" hidden="1" customHeight="1" x14ac:dyDescent="0.25">
      <c r="A546" s="45" t="str">
        <f>CONCATENATE(Tabla2[[#This Row],[id_solicitud]],Tabla2[[#This Row],[tipo]])</f>
        <v>350Proposicion</v>
      </c>
      <c r="B546" s="45">
        <f>COUNTIF($A$2:A546,A546)</f>
        <v>1</v>
      </c>
      <c r="C546" s="45" t="str">
        <f>Tabla2[[#This Row],[(id_solicitud-tipo_documento)]]&amp;B546</f>
        <v>350Proposicion1</v>
      </c>
      <c r="D546" s="45">
        <v>547</v>
      </c>
      <c r="E546" s="45">
        <v>350</v>
      </c>
      <c r="F546" s="45" t="s">
        <v>46</v>
      </c>
      <c r="G546" s="45" t="s">
        <v>60</v>
      </c>
      <c r="H546" s="50" t="s">
        <v>10</v>
      </c>
      <c r="I546" s="51">
        <v>543</v>
      </c>
      <c r="J546" s="80"/>
      <c r="K5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543 DAP</v>
      </c>
      <c r="L546" s="48">
        <v>44785</v>
      </c>
      <c r="M546" s="48">
        <v>44785</v>
      </c>
      <c r="N546" s="49" t="s">
        <v>354</v>
      </c>
      <c r="O546" s="45">
        <v>4</v>
      </c>
      <c r="P546" s="80" t="s">
        <v>494</v>
      </c>
      <c r="Q546" s="24"/>
      <c r="R546" s="24" t="s">
        <v>24</v>
      </c>
      <c r="S546" s="114"/>
      <c r="T546" s="45"/>
      <c r="U546" s="48"/>
      <c r="V546" s="48"/>
      <c r="W546" s="27"/>
    </row>
    <row r="547" spans="1:23" ht="60" hidden="1" customHeight="1" x14ac:dyDescent="0.25">
      <c r="A547" s="45" t="str">
        <f>CONCATENATE(Tabla2[[#This Row],[id_solicitud]],Tabla2[[#This Row],[tipo]])</f>
        <v>354Proposicion</v>
      </c>
      <c r="B547" s="45">
        <f>COUNTIF($A$2:A547,A547)</f>
        <v>1</v>
      </c>
      <c r="C547" s="45" t="str">
        <f>Tabla2[[#This Row],[(id_solicitud-tipo_documento)]]&amp;B547</f>
        <v>354Proposicion1</v>
      </c>
      <c r="D547" s="45">
        <v>548</v>
      </c>
      <c r="E547" s="45">
        <v>354</v>
      </c>
      <c r="F547" s="45" t="s">
        <v>46</v>
      </c>
      <c r="G547" s="45" t="s">
        <v>65</v>
      </c>
      <c r="H547" s="50" t="s">
        <v>594</v>
      </c>
      <c r="I547" s="51">
        <v>544</v>
      </c>
      <c r="J547" s="80"/>
      <c r="K5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544 DGOP-DOH</v>
      </c>
      <c r="L547" s="48">
        <v>44785</v>
      </c>
      <c r="M547" s="48">
        <v>44785</v>
      </c>
      <c r="N547" s="49" t="s">
        <v>358</v>
      </c>
      <c r="O547" s="45"/>
      <c r="P547" s="80" t="s">
        <v>498</v>
      </c>
      <c r="Q547" s="24"/>
      <c r="R547" s="24" t="s">
        <v>24</v>
      </c>
      <c r="S547" s="114"/>
      <c r="T547" s="45"/>
      <c r="U547" s="48"/>
      <c r="V547" s="48"/>
      <c r="W547" s="27"/>
    </row>
    <row r="548" spans="1:23" ht="60" hidden="1" customHeight="1" x14ac:dyDescent="0.25">
      <c r="A548" s="45" t="str">
        <f>CONCATENATE(Tabla2[[#This Row],[id_solicitud]],Tabla2[[#This Row],[tipo]])</f>
        <v>13Oficio_Solicitud</v>
      </c>
      <c r="B548" s="45">
        <f>COUNTIF($A$2:A548,A548)</f>
        <v>1</v>
      </c>
      <c r="C548" s="45" t="str">
        <f>Tabla2[[#This Row],[(id_solicitud-tipo_documento)]]&amp;B548</f>
        <v>13Oficio_Solicitud1</v>
      </c>
      <c r="D548" s="45">
        <v>549</v>
      </c>
      <c r="E548" s="45">
        <v>13</v>
      </c>
      <c r="F548" s="45" t="s">
        <v>53</v>
      </c>
      <c r="G548" s="45" t="s">
        <v>43</v>
      </c>
      <c r="H548" s="50" t="s">
        <v>18</v>
      </c>
      <c r="I548" s="51">
        <v>545</v>
      </c>
      <c r="J548" s="80"/>
      <c r="K5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545 DGOP</v>
      </c>
      <c r="L548" s="48">
        <v>44540</v>
      </c>
      <c r="M548" s="48">
        <v>44543</v>
      </c>
      <c r="N548" s="49" t="s">
        <v>81</v>
      </c>
      <c r="O548" s="45"/>
      <c r="P548" s="80" t="s">
        <v>494</v>
      </c>
      <c r="Q548" s="48"/>
      <c r="R548" s="45"/>
      <c r="S548" s="114"/>
      <c r="T548" s="52"/>
      <c r="U548" s="48"/>
      <c r="V548" s="48"/>
      <c r="W548" s="27"/>
    </row>
    <row r="549" spans="1:23" ht="60" hidden="1" customHeight="1" x14ac:dyDescent="0.25">
      <c r="A549" s="45" t="str">
        <f>CONCATENATE(Tabla2[[#This Row],[id_solicitud]],Tabla2[[#This Row],[tipo]])</f>
        <v>331Proposicion</v>
      </c>
      <c r="B549" s="45">
        <f>COUNTIF($A$2:A549,A549)</f>
        <v>2</v>
      </c>
      <c r="C549" s="45" t="str">
        <f>Tabla2[[#This Row],[(id_solicitud-tipo_documento)]]&amp;B549</f>
        <v>331Proposicion2</v>
      </c>
      <c r="D549" s="45">
        <v>550</v>
      </c>
      <c r="E549" s="45">
        <v>331</v>
      </c>
      <c r="F549" s="45" t="s">
        <v>46</v>
      </c>
      <c r="G549" s="45" t="s">
        <v>44</v>
      </c>
      <c r="H549" s="50" t="s">
        <v>24</v>
      </c>
      <c r="I549" s="51">
        <v>546</v>
      </c>
      <c r="J549" s="80"/>
      <c r="K5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546 DP</v>
      </c>
      <c r="L549" s="48">
        <v>44785</v>
      </c>
      <c r="M549" s="48">
        <v>44785</v>
      </c>
      <c r="N549" s="49" t="s">
        <v>366</v>
      </c>
      <c r="O549" s="45"/>
      <c r="P549" s="80" t="s">
        <v>498</v>
      </c>
      <c r="Q549" s="24"/>
      <c r="R549" s="24" t="s">
        <v>24</v>
      </c>
      <c r="S549" s="114"/>
      <c r="T549" s="45"/>
      <c r="U549" s="48"/>
      <c r="V549" s="48"/>
      <c r="W549" s="27"/>
    </row>
    <row r="550" spans="1:23" ht="60" hidden="1" customHeight="1" x14ac:dyDescent="0.25">
      <c r="A550" s="45" t="str">
        <f>CONCATENATE(Tabla2[[#This Row],[id_solicitud]],Tabla2[[#This Row],[tipo]])</f>
        <v>364Proposicion</v>
      </c>
      <c r="B550" s="45">
        <f>COUNTIF($A$2:A550,A550)</f>
        <v>1</v>
      </c>
      <c r="C550" s="45" t="str">
        <f>Tabla2[[#This Row],[(id_solicitud-tipo_documento)]]&amp;B550</f>
        <v>364Proposicion1</v>
      </c>
      <c r="D550" s="45">
        <v>551</v>
      </c>
      <c r="E550" s="45">
        <v>364</v>
      </c>
      <c r="F550" s="45" t="s">
        <v>46</v>
      </c>
      <c r="G550" s="45" t="s">
        <v>66</v>
      </c>
      <c r="H550" s="50" t="s">
        <v>597</v>
      </c>
      <c r="I550" s="51">
        <v>548</v>
      </c>
      <c r="J550" s="80"/>
      <c r="K5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548 DV-APR</v>
      </c>
      <c r="L550" s="48">
        <v>44790</v>
      </c>
      <c r="M550" s="48">
        <v>44790</v>
      </c>
      <c r="N550" s="49" t="s">
        <v>699</v>
      </c>
      <c r="O550" s="45"/>
      <c r="P550" s="80" t="s">
        <v>497</v>
      </c>
      <c r="Q550" s="24"/>
      <c r="R550" s="24" t="s">
        <v>12</v>
      </c>
      <c r="S550" s="114"/>
      <c r="T550" s="45"/>
      <c r="U550" s="48"/>
      <c r="V550" s="48"/>
      <c r="W550" s="27"/>
    </row>
    <row r="551" spans="1:23" ht="60" hidden="1" customHeight="1" x14ac:dyDescent="0.25">
      <c r="A551" s="45" t="str">
        <f>CONCATENATE(Tabla2[[#This Row],[id_solicitud]],Tabla2[[#This Row],[tipo]])</f>
        <v>381Oficio_Solicitud</v>
      </c>
      <c r="B551" s="45">
        <f>COUNTIF($A$2:A551,A551)</f>
        <v>1</v>
      </c>
      <c r="C551" s="45" t="str">
        <f>Tabla2[[#This Row],[(id_solicitud-tipo_documento)]]&amp;B551</f>
        <v>381Oficio_Solicitud1</v>
      </c>
      <c r="D551" s="45">
        <v>552</v>
      </c>
      <c r="E551" s="45">
        <v>381</v>
      </c>
      <c r="F551" s="45" t="s">
        <v>53</v>
      </c>
      <c r="G551" s="45" t="s">
        <v>40</v>
      </c>
      <c r="H551" s="50" t="s">
        <v>24</v>
      </c>
      <c r="I551" s="51">
        <v>548</v>
      </c>
      <c r="J551" s="80"/>
      <c r="K5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548 DP</v>
      </c>
      <c r="L551" s="48">
        <v>44785</v>
      </c>
      <c r="M551" s="48">
        <v>44785</v>
      </c>
      <c r="N551" s="49" t="s">
        <v>378</v>
      </c>
      <c r="O551" s="45"/>
      <c r="P551" s="80" t="s">
        <v>522</v>
      </c>
      <c r="Q551" s="48"/>
      <c r="R551" s="45"/>
      <c r="S551" s="114"/>
      <c r="T551" s="52"/>
      <c r="U551" s="48"/>
      <c r="V551" s="48"/>
      <c r="W551" s="27"/>
    </row>
    <row r="552" spans="1:23" ht="60" hidden="1" customHeight="1" x14ac:dyDescent="0.25">
      <c r="A552" s="45" t="str">
        <f>CONCATENATE(Tabla2[[#This Row],[id_solicitud]],Tabla2[[#This Row],[tipo]])</f>
        <v>351Proposicion</v>
      </c>
      <c r="B552" s="45">
        <f>COUNTIF($A$2:A552,A552)</f>
        <v>1</v>
      </c>
      <c r="C552" s="45" t="str">
        <f>Tabla2[[#This Row],[(id_solicitud-tipo_documento)]]&amp;B552</f>
        <v>351Proposicion1</v>
      </c>
      <c r="D552" s="45">
        <v>553</v>
      </c>
      <c r="E552" s="45">
        <v>351</v>
      </c>
      <c r="F552" s="45" t="s">
        <v>46</v>
      </c>
      <c r="G552" s="45" t="s">
        <v>1258</v>
      </c>
      <c r="H552" s="50" t="s">
        <v>544</v>
      </c>
      <c r="I552" s="51">
        <v>552</v>
      </c>
      <c r="J552" s="80"/>
      <c r="K5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552 DAP_FETCovid19</v>
      </c>
      <c r="L552" s="48">
        <v>44790</v>
      </c>
      <c r="M552" s="48">
        <v>44790</v>
      </c>
      <c r="N552" s="49" t="s">
        <v>355</v>
      </c>
      <c r="O552" s="45">
        <v>2</v>
      </c>
      <c r="P552" s="80" t="s">
        <v>494</v>
      </c>
      <c r="Q552" s="24"/>
      <c r="R552" s="24" t="s">
        <v>24</v>
      </c>
      <c r="S552" s="114"/>
      <c r="T552" s="45"/>
      <c r="U552" s="48"/>
      <c r="V552" s="48"/>
      <c r="W552" s="27"/>
    </row>
    <row r="553" spans="1:23" ht="60" hidden="1" customHeight="1" x14ac:dyDescent="0.25">
      <c r="A553" s="45" t="str">
        <f>CONCATENATE(Tabla2[[#This Row],[id_solicitud]],Tabla2[[#This Row],[tipo]])</f>
        <v>357Proposicion</v>
      </c>
      <c r="B553" s="45">
        <f>COUNTIF($A$2:A553,A553)</f>
        <v>1</v>
      </c>
      <c r="C553" s="45" t="str">
        <f>Tabla2[[#This Row],[(id_solicitud-tipo_documento)]]&amp;B553</f>
        <v>357Proposicion1</v>
      </c>
      <c r="D553" s="45">
        <v>554</v>
      </c>
      <c r="E553" s="45">
        <v>357</v>
      </c>
      <c r="F553" s="45" t="s">
        <v>46</v>
      </c>
      <c r="G553" s="45" t="s">
        <v>1258</v>
      </c>
      <c r="H553" s="50" t="s">
        <v>6</v>
      </c>
      <c r="I553" s="51">
        <v>553</v>
      </c>
      <c r="J553" s="80"/>
      <c r="K5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553 APR</v>
      </c>
      <c r="L553" s="48">
        <v>44790</v>
      </c>
      <c r="M553" s="48">
        <v>44790</v>
      </c>
      <c r="N553" s="49" t="s">
        <v>361</v>
      </c>
      <c r="O553" s="45">
        <v>1</v>
      </c>
      <c r="P553" s="80" t="s">
        <v>494</v>
      </c>
      <c r="Q553" s="24"/>
      <c r="R553" s="24" t="s">
        <v>24</v>
      </c>
      <c r="S553" s="114"/>
      <c r="T553" s="45"/>
      <c r="U553" s="48"/>
      <c r="V553" s="48"/>
      <c r="W553" s="27"/>
    </row>
    <row r="554" spans="1:23" ht="60" hidden="1" customHeight="1" x14ac:dyDescent="0.25">
      <c r="A554" s="45" t="str">
        <f>CONCATENATE(Tabla2[[#This Row],[id_solicitud]],Tabla2[[#This Row],[tipo]])</f>
        <v>377Proposicion</v>
      </c>
      <c r="B554" s="45">
        <f>COUNTIF($A$2:A554,A554)</f>
        <v>1</v>
      </c>
      <c r="C554" s="45" t="str">
        <f>Tabla2[[#This Row],[(id_solicitud-tipo_documento)]]&amp;B554</f>
        <v>377Proposicion1</v>
      </c>
      <c r="D554" s="45">
        <v>555</v>
      </c>
      <c r="E554" s="45">
        <v>377</v>
      </c>
      <c r="F554" s="45" t="s">
        <v>46</v>
      </c>
      <c r="G554" s="45" t="s">
        <v>44</v>
      </c>
      <c r="H554" s="50" t="s">
        <v>20</v>
      </c>
      <c r="I554" s="51">
        <v>553</v>
      </c>
      <c r="J554" s="80"/>
      <c r="K5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553 DOH</v>
      </c>
      <c r="L554" s="48">
        <v>44792</v>
      </c>
      <c r="M554" s="48">
        <v>44792</v>
      </c>
      <c r="N554" s="49" t="s">
        <v>704</v>
      </c>
      <c r="O554" s="45"/>
      <c r="P554" s="80" t="s">
        <v>497</v>
      </c>
      <c r="Q554" s="26">
        <v>44792</v>
      </c>
      <c r="R554" s="24" t="s">
        <v>12</v>
      </c>
      <c r="S554" s="114"/>
      <c r="T554" s="45"/>
      <c r="U554" s="48"/>
      <c r="V554" s="48"/>
      <c r="W554" s="27"/>
    </row>
    <row r="555" spans="1:23" ht="60" hidden="1" customHeight="1" x14ac:dyDescent="0.25">
      <c r="A555" s="45" t="str">
        <f>CONCATENATE(Tabla2[[#This Row],[id_solicitud]],Tabla2[[#This Row],[tipo]])</f>
        <v>352Proposicion</v>
      </c>
      <c r="B555" s="45">
        <f>COUNTIF($A$2:A555,A555)</f>
        <v>1</v>
      </c>
      <c r="C555" s="45" t="str">
        <f>Tabla2[[#This Row],[(id_solicitud-tipo_documento)]]&amp;B555</f>
        <v>352Proposicion1</v>
      </c>
      <c r="D555" s="45">
        <v>556</v>
      </c>
      <c r="E555" s="45">
        <v>352</v>
      </c>
      <c r="F555" s="45" t="s">
        <v>46</v>
      </c>
      <c r="G555" s="45" t="s">
        <v>1258</v>
      </c>
      <c r="H555" s="50" t="s">
        <v>559</v>
      </c>
      <c r="I555" s="51">
        <v>554</v>
      </c>
      <c r="J555" s="80"/>
      <c r="K5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554 APR_FETCovid19</v>
      </c>
      <c r="L555" s="48">
        <v>44790</v>
      </c>
      <c r="M555" s="48">
        <v>44790</v>
      </c>
      <c r="N555" s="49" t="s">
        <v>356</v>
      </c>
      <c r="O555" s="45">
        <v>1</v>
      </c>
      <c r="P555" s="80" t="s">
        <v>494</v>
      </c>
      <c r="Q555" s="24"/>
      <c r="R555" s="24" t="s">
        <v>24</v>
      </c>
      <c r="S555" s="114"/>
      <c r="T555" s="45"/>
      <c r="U555" s="48"/>
      <c r="V555" s="48"/>
      <c r="W555" s="27"/>
    </row>
    <row r="556" spans="1:23" ht="60" hidden="1" customHeight="1" x14ac:dyDescent="0.25">
      <c r="A556" s="45" t="str">
        <f>CONCATENATE(Tabla2[[#This Row],[id_solicitud]],Tabla2[[#This Row],[tipo]])</f>
        <v>378Proposicion</v>
      </c>
      <c r="B556" s="45">
        <f>COUNTIF($A$2:A556,A556)</f>
        <v>1</v>
      </c>
      <c r="C556" s="45" t="str">
        <f>Tabla2[[#This Row],[(id_solicitud-tipo_documento)]]&amp;B556</f>
        <v>378Proposicion1</v>
      </c>
      <c r="D556" s="45">
        <v>557</v>
      </c>
      <c r="E556" s="45">
        <v>378</v>
      </c>
      <c r="F556" s="45" t="s">
        <v>46</v>
      </c>
      <c r="G556" s="45" t="s">
        <v>44</v>
      </c>
      <c r="H556" s="50" t="s">
        <v>6</v>
      </c>
      <c r="I556" s="51">
        <v>554</v>
      </c>
      <c r="J556" s="80"/>
      <c r="K5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554 APR</v>
      </c>
      <c r="L556" s="48">
        <v>44792</v>
      </c>
      <c r="M556" s="48">
        <v>44792</v>
      </c>
      <c r="N556" s="49" t="s">
        <v>705</v>
      </c>
      <c r="O556" s="45"/>
      <c r="P556" s="80" t="s">
        <v>497</v>
      </c>
      <c r="Q556" s="26">
        <v>44792</v>
      </c>
      <c r="R556" s="24" t="s">
        <v>12</v>
      </c>
      <c r="S556" s="114"/>
      <c r="T556" s="45"/>
      <c r="U556" s="48"/>
      <c r="V556" s="48"/>
      <c r="W556" s="27"/>
    </row>
    <row r="557" spans="1:23" ht="60" hidden="1" customHeight="1" x14ac:dyDescent="0.25">
      <c r="A557" s="45" t="str">
        <f>CONCATENATE(Tabla2[[#This Row],[id_solicitud]],Tabla2[[#This Row],[tipo]])</f>
        <v>328Proposicion</v>
      </c>
      <c r="B557" s="45">
        <f>COUNTIF($A$2:A557,A557)</f>
        <v>1</v>
      </c>
      <c r="C557" s="45" t="str">
        <f>Tabla2[[#This Row],[(id_solicitud-tipo_documento)]]&amp;B557</f>
        <v>328Proposicion1</v>
      </c>
      <c r="D557" s="45">
        <v>558</v>
      </c>
      <c r="E557" s="45">
        <v>328</v>
      </c>
      <c r="F557" s="45" t="s">
        <v>46</v>
      </c>
      <c r="G557" s="45" t="s">
        <v>1258</v>
      </c>
      <c r="H557" s="50" t="s">
        <v>26</v>
      </c>
      <c r="I557" s="51">
        <v>555</v>
      </c>
      <c r="J557" s="80"/>
      <c r="K5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555 DV</v>
      </c>
      <c r="L557" s="48">
        <v>44790</v>
      </c>
      <c r="M557" s="48">
        <v>44790</v>
      </c>
      <c r="N557" s="49" t="s">
        <v>685</v>
      </c>
      <c r="O557" s="45">
        <v>12</v>
      </c>
      <c r="P557" s="80" t="s">
        <v>494</v>
      </c>
      <c r="Q557" s="24"/>
      <c r="R557" s="24" t="s">
        <v>24</v>
      </c>
      <c r="S557" s="114"/>
      <c r="T557" s="45"/>
      <c r="U557" s="48"/>
      <c r="V557" s="48"/>
      <c r="W557" s="27"/>
    </row>
    <row r="558" spans="1:23" ht="60" hidden="1" customHeight="1" x14ac:dyDescent="0.25">
      <c r="A558" s="45" t="str">
        <f>CONCATENATE(Tabla2[[#This Row],[id_solicitud]],Tabla2[[#This Row],[tipo]])</f>
        <v>87Resolucion</v>
      </c>
      <c r="B558" s="45">
        <f>COUNTIF($A$2:A558,A558)</f>
        <v>1</v>
      </c>
      <c r="C558" s="45" t="str">
        <f>Tabla2[[#This Row],[(id_solicitud-tipo_documento)]]&amp;B558</f>
        <v>87Resolucion1</v>
      </c>
      <c r="D558" s="45">
        <v>559</v>
      </c>
      <c r="E558" s="45">
        <v>87</v>
      </c>
      <c r="F558" s="45" t="s">
        <v>48</v>
      </c>
      <c r="G558" s="45"/>
      <c r="H558" s="50" t="s">
        <v>544</v>
      </c>
      <c r="I558" s="51">
        <v>556</v>
      </c>
      <c r="J558" s="80"/>
      <c r="K5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558" s="48">
        <v>44672</v>
      </c>
      <c r="M558" s="48"/>
      <c r="N558" s="49"/>
      <c r="O558" s="45"/>
      <c r="P558" s="80"/>
      <c r="Q558" s="48"/>
      <c r="R558" s="45"/>
      <c r="S558" s="114"/>
      <c r="T558" s="45"/>
      <c r="U558" s="48"/>
      <c r="V558" s="48"/>
      <c r="W558" s="27"/>
    </row>
    <row r="559" spans="1:23" ht="60" hidden="1" customHeight="1" x14ac:dyDescent="0.25">
      <c r="A559" s="45" t="str">
        <f>CONCATENATE(Tabla2[[#This Row],[id_solicitud]],Tabla2[[#This Row],[tipo]])</f>
        <v>169Resolucion</v>
      </c>
      <c r="B559" s="45">
        <f>COUNTIF($A$2:A559,A559)</f>
        <v>1</v>
      </c>
      <c r="C559" s="45" t="str">
        <f>Tabla2[[#This Row],[(id_solicitud-tipo_documento)]]&amp;B559</f>
        <v>169Resolucion1</v>
      </c>
      <c r="D559" s="45">
        <v>560</v>
      </c>
      <c r="E559" s="45">
        <v>169</v>
      </c>
      <c r="F559" s="45" t="s">
        <v>48</v>
      </c>
      <c r="G559" s="45"/>
      <c r="H559" s="50" t="s">
        <v>8</v>
      </c>
      <c r="I559" s="51">
        <v>556</v>
      </c>
      <c r="J559" s="80"/>
      <c r="K5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559" s="48">
        <v>44722</v>
      </c>
      <c r="M559" s="48"/>
      <c r="N559" s="49"/>
      <c r="O559" s="45"/>
      <c r="P559" s="80"/>
      <c r="Q559" s="48"/>
      <c r="R559" s="45"/>
      <c r="S559" s="114"/>
      <c r="T559" s="45"/>
      <c r="U559" s="48"/>
      <c r="V559" s="48"/>
      <c r="W559" s="27"/>
    </row>
    <row r="560" spans="1:23" ht="60" hidden="1" customHeight="1" x14ac:dyDescent="0.25">
      <c r="A560" s="45" t="str">
        <f>CONCATENATE(Tabla2[[#This Row],[id_solicitud]],Tabla2[[#This Row],[tipo]])</f>
        <v>329Proposicion</v>
      </c>
      <c r="B560" s="45">
        <f>COUNTIF($A$2:A560,A560)</f>
        <v>1</v>
      </c>
      <c r="C560" s="45" t="str">
        <f>Tabla2[[#This Row],[(id_solicitud-tipo_documento)]]&amp;B560</f>
        <v>329Proposicion1</v>
      </c>
      <c r="D560" s="45">
        <v>561</v>
      </c>
      <c r="E560" s="45">
        <v>329</v>
      </c>
      <c r="F560" s="45" t="s">
        <v>46</v>
      </c>
      <c r="G560" s="45" t="s">
        <v>1258</v>
      </c>
      <c r="H560" s="50" t="s">
        <v>538</v>
      </c>
      <c r="I560" s="51">
        <v>556</v>
      </c>
      <c r="J560" s="80"/>
      <c r="K5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556 DV_FETCovid19</v>
      </c>
      <c r="L560" s="48">
        <v>44790</v>
      </c>
      <c r="M560" s="48">
        <v>44790</v>
      </c>
      <c r="N560" s="49" t="s">
        <v>686</v>
      </c>
      <c r="O560" s="45">
        <v>2</v>
      </c>
      <c r="P560" s="80" t="s">
        <v>494</v>
      </c>
      <c r="Q560" s="24"/>
      <c r="R560" s="24" t="s">
        <v>24</v>
      </c>
      <c r="S560" s="114"/>
      <c r="T560" s="45"/>
      <c r="U560" s="48"/>
      <c r="V560" s="48"/>
      <c r="W560" s="27"/>
    </row>
    <row r="561" spans="1:23" ht="60" hidden="1" customHeight="1" x14ac:dyDescent="0.25">
      <c r="A561" s="45" t="str">
        <f>CONCATENATE(Tabla2[[#This Row],[id_solicitud]],Tabla2[[#This Row],[tipo]])</f>
        <v>330Proposicion</v>
      </c>
      <c r="B561" s="45">
        <f>COUNTIF($A$2:A561,A561)</f>
        <v>1</v>
      </c>
      <c r="C561" s="45" t="str">
        <f>Tabla2[[#This Row],[(id_solicitud-tipo_documento)]]&amp;B561</f>
        <v>330Proposicion1</v>
      </c>
      <c r="D561" s="45">
        <v>562</v>
      </c>
      <c r="E561" s="45">
        <v>330</v>
      </c>
      <c r="F561" s="45" t="s">
        <v>46</v>
      </c>
      <c r="G561" s="45" t="s">
        <v>40</v>
      </c>
      <c r="H561" s="50" t="s">
        <v>20</v>
      </c>
      <c r="I561" s="51">
        <v>558</v>
      </c>
      <c r="J561" s="80"/>
      <c r="K5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558 DOH</v>
      </c>
      <c r="L561" s="48">
        <v>44790</v>
      </c>
      <c r="M561" s="48">
        <v>44791</v>
      </c>
      <c r="N561" s="49" t="s">
        <v>687</v>
      </c>
      <c r="O561" s="45">
        <f>2+5+57</f>
        <v>64</v>
      </c>
      <c r="P561" s="80" t="s">
        <v>521</v>
      </c>
      <c r="Q561" s="24"/>
      <c r="R561" s="24" t="s">
        <v>24</v>
      </c>
      <c r="S561" s="114"/>
      <c r="T561" s="45"/>
      <c r="U561" s="48"/>
      <c r="V561" s="48"/>
      <c r="W561" s="27"/>
    </row>
    <row r="562" spans="1:23" ht="60" hidden="1" customHeight="1" x14ac:dyDescent="0.25">
      <c r="A562" s="45" t="str">
        <f>CONCATENATE(Tabla2[[#This Row],[id_solicitud]],Tabla2[[#This Row],[tipo]])</f>
        <v>358Proposicion</v>
      </c>
      <c r="B562" s="45">
        <f>COUNTIF($A$2:A562,A562)</f>
        <v>1</v>
      </c>
      <c r="C562" s="45" t="str">
        <f>Tabla2[[#This Row],[(id_solicitud-tipo_documento)]]&amp;B562</f>
        <v>358Proposicion1</v>
      </c>
      <c r="D562" s="45">
        <v>563</v>
      </c>
      <c r="E562" s="45">
        <v>358</v>
      </c>
      <c r="F562" s="45" t="s">
        <v>46</v>
      </c>
      <c r="G562" s="45" t="s">
        <v>1258</v>
      </c>
      <c r="H562" s="50" t="s">
        <v>10</v>
      </c>
      <c r="I562" s="51">
        <v>559</v>
      </c>
      <c r="J562" s="80"/>
      <c r="K5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559 DAP</v>
      </c>
      <c r="L562" s="48">
        <v>44790</v>
      </c>
      <c r="M562" s="48">
        <v>44790</v>
      </c>
      <c r="N562" s="49" t="s">
        <v>362</v>
      </c>
      <c r="O562" s="45">
        <v>6</v>
      </c>
      <c r="P562" s="80" t="s">
        <v>494</v>
      </c>
      <c r="Q562" s="24"/>
      <c r="R562" s="24" t="s">
        <v>24</v>
      </c>
      <c r="S562" s="114"/>
      <c r="T562" s="45"/>
      <c r="U562" s="48"/>
      <c r="V562" s="48"/>
      <c r="W562" s="27"/>
    </row>
    <row r="563" spans="1:23" ht="60" hidden="1" customHeight="1" x14ac:dyDescent="0.25">
      <c r="A563" s="45" t="str">
        <f>CONCATENATE(Tabla2[[#This Row],[id_solicitud]],Tabla2[[#This Row],[tipo]])</f>
        <v>315Oficio_Solicitud</v>
      </c>
      <c r="B563" s="45">
        <f>COUNTIF($A$2:A563,A563)</f>
        <v>1</v>
      </c>
      <c r="C563" s="45" t="str">
        <f>Tabla2[[#This Row],[(id_solicitud-tipo_documento)]]&amp;B563</f>
        <v>315Oficio_Solicitud1</v>
      </c>
      <c r="D563" s="45">
        <v>564</v>
      </c>
      <c r="E563" s="45">
        <v>315</v>
      </c>
      <c r="F563" s="45" t="s">
        <v>53</v>
      </c>
      <c r="G563" s="45" t="s">
        <v>61</v>
      </c>
      <c r="H563" s="50" t="s">
        <v>22</v>
      </c>
      <c r="I563" s="51">
        <v>560</v>
      </c>
      <c r="J563" s="80"/>
      <c r="K5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560 DOP</v>
      </c>
      <c r="L563" s="48">
        <v>44770</v>
      </c>
      <c r="M563" s="48">
        <v>44770</v>
      </c>
      <c r="N563" s="49" t="s">
        <v>327</v>
      </c>
      <c r="O563" s="45">
        <v>13</v>
      </c>
      <c r="P563" s="80" t="s">
        <v>494</v>
      </c>
      <c r="Q563" s="48">
        <v>44776</v>
      </c>
      <c r="R563" s="45"/>
      <c r="S563" s="114"/>
      <c r="T563" s="52"/>
      <c r="U563" s="48"/>
      <c r="V563" s="48"/>
      <c r="W563" s="27"/>
    </row>
    <row r="564" spans="1:23" ht="60" hidden="1" customHeight="1" x14ac:dyDescent="0.25">
      <c r="A564" s="45" t="str">
        <f>CONCATENATE(Tabla2[[#This Row],[id_solicitud]],Tabla2[[#This Row],[tipo]])</f>
        <v>343Proposicion</v>
      </c>
      <c r="B564" s="45">
        <f>COUNTIF($A$2:A564,A564)</f>
        <v>1</v>
      </c>
      <c r="C564" s="45" t="str">
        <f>Tabla2[[#This Row],[(id_solicitud-tipo_documento)]]&amp;B564</f>
        <v>343Proposicion1</v>
      </c>
      <c r="D564" s="45">
        <v>565</v>
      </c>
      <c r="E564" s="45">
        <v>343</v>
      </c>
      <c r="F564" s="45" t="s">
        <v>46</v>
      </c>
      <c r="G564" s="45" t="s">
        <v>61</v>
      </c>
      <c r="H564" s="50" t="s">
        <v>8</v>
      </c>
      <c r="I564" s="51">
        <v>560</v>
      </c>
      <c r="J564" s="80"/>
      <c r="K5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560 DA</v>
      </c>
      <c r="L564" s="48">
        <v>44790</v>
      </c>
      <c r="M564" s="48">
        <v>44791</v>
      </c>
      <c r="N564" s="49" t="s">
        <v>1014</v>
      </c>
      <c r="O564" s="45">
        <v>5</v>
      </c>
      <c r="P564" s="80" t="s">
        <v>494</v>
      </c>
      <c r="Q564" s="24"/>
      <c r="R564" s="24" t="s">
        <v>24</v>
      </c>
      <c r="S564" s="114"/>
      <c r="T564" s="45"/>
      <c r="U564" s="48"/>
      <c r="V564" s="48"/>
      <c r="W564" s="27"/>
    </row>
    <row r="565" spans="1:23" ht="60" hidden="1" customHeight="1" x14ac:dyDescent="0.25">
      <c r="A565" s="45" t="str">
        <f>CONCATENATE(Tabla2[[#This Row],[id_solicitud]],Tabla2[[#This Row],[tipo]])</f>
        <v>80Decreto</v>
      </c>
      <c r="B565" s="45">
        <f>COUNTIF($A$2:A565,A565)</f>
        <v>1</v>
      </c>
      <c r="C565" s="45" t="str">
        <f>Tabla2[[#This Row],[(id_solicitud-tipo_documento)]]&amp;B565</f>
        <v>80Decreto1</v>
      </c>
      <c r="D565" s="45">
        <v>566</v>
      </c>
      <c r="E565" s="45">
        <v>80</v>
      </c>
      <c r="F565" s="45" t="s">
        <v>47</v>
      </c>
      <c r="G565" s="45" t="s">
        <v>60</v>
      </c>
      <c r="H565" s="50" t="s">
        <v>20</v>
      </c>
      <c r="I565" s="51">
        <v>561</v>
      </c>
      <c r="J565" s="80"/>
      <c r="K5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561 DOH</v>
      </c>
      <c r="L565" s="48">
        <v>44670</v>
      </c>
      <c r="M565" s="48"/>
      <c r="N565" s="49" t="s">
        <v>806</v>
      </c>
      <c r="O565" s="45"/>
      <c r="P565" s="80"/>
      <c r="Q565" s="48"/>
      <c r="R565" s="45"/>
      <c r="S565" s="115">
        <v>228</v>
      </c>
      <c r="T565" s="20">
        <v>44663</v>
      </c>
      <c r="U565" s="20">
        <v>44685</v>
      </c>
      <c r="V565" s="20">
        <v>44685</v>
      </c>
      <c r="W565" s="27"/>
    </row>
    <row r="566" spans="1:23" ht="60" hidden="1" customHeight="1" x14ac:dyDescent="0.25">
      <c r="A566" s="45" t="str">
        <f>CONCATENATE(Tabla2[[#This Row],[id_solicitud]],Tabla2[[#This Row],[tipo]])</f>
        <v>321Proposicion</v>
      </c>
      <c r="B566" s="45">
        <f>COUNTIF($A$2:A566,A566)</f>
        <v>1</v>
      </c>
      <c r="C566" s="45" t="str">
        <f>Tabla2[[#This Row],[(id_solicitud-tipo_documento)]]&amp;B566</f>
        <v>321Proposicion1</v>
      </c>
      <c r="D566" s="45">
        <v>567</v>
      </c>
      <c r="E566" s="45">
        <v>321</v>
      </c>
      <c r="F566" s="45" t="s">
        <v>46</v>
      </c>
      <c r="G566" s="45" t="s">
        <v>60</v>
      </c>
      <c r="H566" s="50" t="s">
        <v>16</v>
      </c>
      <c r="I566" s="51">
        <v>561</v>
      </c>
      <c r="J566" s="80"/>
      <c r="K5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561 DGC</v>
      </c>
      <c r="L566" s="48">
        <v>44790</v>
      </c>
      <c r="M566" s="48">
        <v>44791</v>
      </c>
      <c r="N566" s="49" t="s">
        <v>331</v>
      </c>
      <c r="O566" s="45">
        <v>63</v>
      </c>
      <c r="P566" s="80" t="s">
        <v>494</v>
      </c>
      <c r="Q566" s="24"/>
      <c r="R566" s="24" t="s">
        <v>24</v>
      </c>
      <c r="S566" s="114"/>
      <c r="T566" s="45"/>
      <c r="U566" s="48"/>
      <c r="V566" s="48"/>
      <c r="W566" s="27"/>
    </row>
    <row r="567" spans="1:23" ht="60" hidden="1" customHeight="1" x14ac:dyDescent="0.25">
      <c r="A567" s="45" t="str">
        <f>CONCATENATE(Tabla2[[#This Row],[id_solicitud]],Tabla2[[#This Row],[tipo]])</f>
        <v>381Proposicion</v>
      </c>
      <c r="B567" s="45">
        <f>COUNTIF($A$2:A567,A567)</f>
        <v>1</v>
      </c>
      <c r="C567" s="45" t="str">
        <f>Tabla2[[#This Row],[(id_solicitud-tipo_documento)]]&amp;B567</f>
        <v>381Proposicion1</v>
      </c>
      <c r="D567" s="45">
        <v>568</v>
      </c>
      <c r="E567" s="45">
        <v>381</v>
      </c>
      <c r="F567" s="45" t="s">
        <v>46</v>
      </c>
      <c r="G567" s="45" t="s">
        <v>40</v>
      </c>
      <c r="H567" s="50" t="s">
        <v>24</v>
      </c>
      <c r="I567" s="51">
        <v>561</v>
      </c>
      <c r="J567" s="80"/>
      <c r="K5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561 DP</v>
      </c>
      <c r="L567" s="48">
        <v>44795</v>
      </c>
      <c r="M567" s="48">
        <v>44796</v>
      </c>
      <c r="N567" s="49" t="s">
        <v>378</v>
      </c>
      <c r="O567" s="45"/>
      <c r="P567" s="80" t="s">
        <v>522</v>
      </c>
      <c r="Q567" s="24"/>
      <c r="R567" s="24" t="s">
        <v>12</v>
      </c>
      <c r="S567" s="114"/>
      <c r="T567" s="45"/>
      <c r="U567" s="48"/>
      <c r="V567" s="48"/>
      <c r="W567" s="27"/>
    </row>
    <row r="568" spans="1:23" ht="60" hidden="1" customHeight="1" x14ac:dyDescent="0.25">
      <c r="A568" s="45" t="str">
        <f>CONCATENATE(Tabla2[[#This Row],[id_solicitud]],Tabla2[[#This Row],[tipo]])</f>
        <v>153Resolucion</v>
      </c>
      <c r="B568" s="45">
        <f>COUNTIF($A$2:A568,A568)</f>
        <v>1</v>
      </c>
      <c r="C568" s="45" t="str">
        <f>Tabla2[[#This Row],[(id_solicitud-tipo_documento)]]&amp;B568</f>
        <v>153Resolucion1</v>
      </c>
      <c r="D568" s="45">
        <v>569</v>
      </c>
      <c r="E568" s="45">
        <v>153</v>
      </c>
      <c r="F568" s="45" t="s">
        <v>48</v>
      </c>
      <c r="G568" s="45"/>
      <c r="H568" s="50" t="s">
        <v>8</v>
      </c>
      <c r="I568" s="51">
        <v>563</v>
      </c>
      <c r="J568" s="80"/>
      <c r="K5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568" s="48">
        <v>44721</v>
      </c>
      <c r="M568" s="48"/>
      <c r="N568" s="49"/>
      <c r="O568" s="45"/>
      <c r="P568" s="80"/>
      <c r="Q568" s="48"/>
      <c r="R568" s="45"/>
      <c r="S568" s="114"/>
      <c r="T568" s="45"/>
      <c r="U568" s="48"/>
      <c r="V568" s="48"/>
      <c r="W568" s="27"/>
    </row>
    <row r="569" spans="1:23" ht="60" hidden="1" customHeight="1" x14ac:dyDescent="0.25">
      <c r="A569" s="45" t="str">
        <f>CONCATENATE(Tabla2[[#This Row],[id_solicitud]],Tabla2[[#This Row],[tipo]])</f>
        <v>272Oficio_Solicitud</v>
      </c>
      <c r="B569" s="45">
        <f>COUNTIF($A$2:A569,A569)</f>
        <v>1</v>
      </c>
      <c r="C569" s="45" t="str">
        <f>Tabla2[[#This Row],[(id_solicitud-tipo_documento)]]&amp;B569</f>
        <v>272Oficio_Solicitud1</v>
      </c>
      <c r="D569" s="45">
        <v>570</v>
      </c>
      <c r="E569" s="45">
        <v>272</v>
      </c>
      <c r="F569" s="45" t="s">
        <v>53</v>
      </c>
      <c r="G569" s="45" t="s">
        <v>1258</v>
      </c>
      <c r="H569" s="50" t="s">
        <v>16</v>
      </c>
      <c r="I569" s="51">
        <v>564</v>
      </c>
      <c r="J569" s="80"/>
      <c r="K5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564 DGC</v>
      </c>
      <c r="L569" s="48">
        <v>44719</v>
      </c>
      <c r="M569" s="48">
        <v>44725</v>
      </c>
      <c r="N569" s="49" t="s">
        <v>294</v>
      </c>
      <c r="O569" s="45">
        <v>37</v>
      </c>
      <c r="P569" s="80" t="s">
        <v>494</v>
      </c>
      <c r="Q569" s="48"/>
      <c r="R569" s="45"/>
      <c r="S569" s="114"/>
      <c r="T569" s="52"/>
      <c r="U569" s="48"/>
      <c r="V569" s="48"/>
      <c r="W569" s="27"/>
    </row>
    <row r="570" spans="1:23" ht="60" hidden="1" customHeight="1" x14ac:dyDescent="0.25">
      <c r="A570" s="45" t="str">
        <f>CONCATENATE(Tabla2[[#This Row],[id_solicitud]],Tabla2[[#This Row],[tipo]])</f>
        <v>471Oficio_Solicitud</v>
      </c>
      <c r="B570" s="45">
        <f>COUNTIF($A$2:A570,A570)</f>
        <v>1</v>
      </c>
      <c r="C570" s="45" t="str">
        <f>Tabla2[[#This Row],[(id_solicitud-tipo_documento)]]&amp;B570</f>
        <v>471Oficio_Solicitud1</v>
      </c>
      <c r="D570" s="45">
        <v>571</v>
      </c>
      <c r="E570" s="45">
        <v>471</v>
      </c>
      <c r="F570" s="45" t="s">
        <v>53</v>
      </c>
      <c r="G570" s="45" t="s">
        <v>41</v>
      </c>
      <c r="H570" s="50" t="s">
        <v>544</v>
      </c>
      <c r="I570" s="51">
        <v>565</v>
      </c>
      <c r="J570" s="80"/>
      <c r="K5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565 DAP_FETCovid19</v>
      </c>
      <c r="L570" s="48">
        <v>44848</v>
      </c>
      <c r="M570" s="48">
        <v>44851</v>
      </c>
      <c r="N570" s="49" t="s">
        <v>441</v>
      </c>
      <c r="O570" s="45">
        <v>14</v>
      </c>
      <c r="P570" s="80" t="s">
        <v>494</v>
      </c>
      <c r="Q570" s="48"/>
      <c r="R570" s="45"/>
      <c r="S570" s="114"/>
      <c r="T570" s="52"/>
      <c r="U570" s="48"/>
      <c r="V570" s="48"/>
      <c r="W570" s="27"/>
    </row>
    <row r="571" spans="1:23" ht="60" hidden="1" customHeight="1" x14ac:dyDescent="0.25">
      <c r="A571" s="45" t="str">
        <f>CONCATENATE(Tabla2[[#This Row],[id_solicitud]],Tabla2[[#This Row],[tipo]])</f>
        <v>361Proposicion</v>
      </c>
      <c r="B571" s="45">
        <f>COUNTIF($A$2:A571,A571)</f>
        <v>1</v>
      </c>
      <c r="C571" s="45" t="str">
        <f>Tabla2[[#This Row],[(id_solicitud-tipo_documento)]]&amp;B571</f>
        <v>361Proposicion1</v>
      </c>
      <c r="D571" s="45">
        <v>572</v>
      </c>
      <c r="E571" s="45">
        <v>361</v>
      </c>
      <c r="F571" s="45" t="s">
        <v>46</v>
      </c>
      <c r="G571" s="45" t="s">
        <v>44</v>
      </c>
      <c r="H571" s="50" t="s">
        <v>565</v>
      </c>
      <c r="I571" s="51">
        <v>566</v>
      </c>
      <c r="J571" s="80"/>
      <c r="K5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566 DGA_FETCovid19</v>
      </c>
      <c r="L571" s="48">
        <v>44795</v>
      </c>
      <c r="M571" s="48">
        <v>44795</v>
      </c>
      <c r="N571" s="49" t="s">
        <v>365</v>
      </c>
      <c r="O571" s="45">
        <v>0</v>
      </c>
      <c r="P571" s="80" t="s">
        <v>498</v>
      </c>
      <c r="Q571" s="24"/>
      <c r="R571" s="24" t="s">
        <v>24</v>
      </c>
      <c r="S571" s="114"/>
      <c r="T571" s="45"/>
      <c r="U571" s="48"/>
      <c r="V571" s="48"/>
      <c r="W571" s="27"/>
    </row>
    <row r="572" spans="1:23" ht="60" hidden="1" customHeight="1" x14ac:dyDescent="0.25">
      <c r="A572" s="45" t="str">
        <f>CONCATENATE(Tabla2[[#This Row],[id_solicitud]],Tabla2[[#This Row],[tipo]])</f>
        <v>386Decreto</v>
      </c>
      <c r="B572" s="45">
        <f>COUNTIF($A$2:A572,A572)</f>
        <v>1</v>
      </c>
      <c r="C572" s="45" t="str">
        <f>Tabla2[[#This Row],[(id_solicitud-tipo_documento)]]&amp;B572</f>
        <v>386Decreto1</v>
      </c>
      <c r="D572" s="45">
        <v>573</v>
      </c>
      <c r="E572" s="45">
        <v>386</v>
      </c>
      <c r="F572" s="45" t="s">
        <v>47</v>
      </c>
      <c r="G572" s="45"/>
      <c r="H572" s="50" t="s">
        <v>26</v>
      </c>
      <c r="I572" s="51">
        <v>1527</v>
      </c>
      <c r="J572" s="80"/>
      <c r="K5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1527 DV</v>
      </c>
      <c r="L572" s="48">
        <v>44827</v>
      </c>
      <c r="M572" s="48"/>
      <c r="N572" s="49" t="s">
        <v>957</v>
      </c>
      <c r="O572" s="45"/>
      <c r="P572" s="80"/>
      <c r="Q572" s="48"/>
      <c r="R572" s="45"/>
      <c r="S572" s="115">
        <v>843</v>
      </c>
      <c r="T572" s="20">
        <v>44812</v>
      </c>
      <c r="U572" s="20">
        <v>44833</v>
      </c>
      <c r="V572" s="20">
        <v>44833</v>
      </c>
      <c r="W572" s="27"/>
    </row>
    <row r="573" spans="1:23" ht="60" hidden="1" customHeight="1" x14ac:dyDescent="0.25">
      <c r="A573" s="45" t="str">
        <f>CONCATENATE(Tabla2[[#This Row],[id_solicitud]],Tabla2[[#This Row],[tipo]])</f>
        <v>386Decreto</v>
      </c>
      <c r="B573" s="45">
        <f>COUNTIF($A$2:A573,A573)</f>
        <v>2</v>
      </c>
      <c r="C573" s="45" t="str">
        <f>Tabla2[[#This Row],[(id_solicitud-tipo_documento)]]&amp;B573</f>
        <v>386Decreto2</v>
      </c>
      <c r="D573" s="45">
        <v>574</v>
      </c>
      <c r="E573" s="45">
        <v>386</v>
      </c>
      <c r="F573" s="45" t="s">
        <v>47</v>
      </c>
      <c r="G573" s="45"/>
      <c r="H573" s="50" t="s">
        <v>26</v>
      </c>
      <c r="I573" s="51">
        <v>1528</v>
      </c>
      <c r="J573" s="80"/>
      <c r="K5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1528 DV</v>
      </c>
      <c r="L573" s="48">
        <v>44827</v>
      </c>
      <c r="M573" s="48"/>
      <c r="N573" s="49" t="s">
        <v>983</v>
      </c>
      <c r="O573" s="45"/>
      <c r="P573" s="80"/>
      <c r="Q573" s="48"/>
      <c r="R573" s="45"/>
      <c r="S573" s="115">
        <v>850</v>
      </c>
      <c r="T573" s="20">
        <v>44812</v>
      </c>
      <c r="U573" s="20">
        <v>44833</v>
      </c>
      <c r="V573" s="20">
        <v>44833</v>
      </c>
      <c r="W573" s="27"/>
    </row>
    <row r="574" spans="1:23" ht="60" hidden="1" customHeight="1" x14ac:dyDescent="0.25">
      <c r="A574" s="45" t="str">
        <f>CONCATENATE(Tabla2[[#This Row],[id_solicitud]],Tabla2[[#This Row],[tipo]])</f>
        <v>360Proposicion</v>
      </c>
      <c r="B574" s="45">
        <f>COUNTIF($A$2:A574,A574)</f>
        <v>1</v>
      </c>
      <c r="C574" s="45" t="str">
        <f>Tabla2[[#This Row],[(id_solicitud-tipo_documento)]]&amp;B574</f>
        <v>360Proposicion1</v>
      </c>
      <c r="D574" s="45">
        <v>575</v>
      </c>
      <c r="E574" s="45">
        <v>360</v>
      </c>
      <c r="F574" s="45" t="s">
        <v>46</v>
      </c>
      <c r="G574" s="45" t="s">
        <v>1267</v>
      </c>
      <c r="H574" s="50" t="s">
        <v>596</v>
      </c>
      <c r="I574" s="51">
        <v>567</v>
      </c>
      <c r="J574" s="80"/>
      <c r="K5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567 DOH-DGA</v>
      </c>
      <c r="L574" s="48">
        <v>44795</v>
      </c>
      <c r="M574" s="48">
        <v>44795</v>
      </c>
      <c r="N574" s="49" t="s">
        <v>364</v>
      </c>
      <c r="O574" s="45">
        <v>1</v>
      </c>
      <c r="P574" s="80" t="s">
        <v>496</v>
      </c>
      <c r="Q574" s="24"/>
      <c r="R574" s="24" t="s">
        <v>24</v>
      </c>
      <c r="S574" s="114"/>
      <c r="T574" s="45"/>
      <c r="U574" s="48"/>
      <c r="V574" s="48"/>
      <c r="W574" s="27"/>
    </row>
    <row r="575" spans="1:23" ht="60" hidden="1" customHeight="1" x14ac:dyDescent="0.25">
      <c r="A575" s="45" t="str">
        <f>CONCATENATE(Tabla2[[#This Row],[id_solicitud]],Tabla2[[#This Row],[tipo]])</f>
        <v>427Proposicion</v>
      </c>
      <c r="B575" s="45">
        <f>COUNTIF($A$2:A575,A575)</f>
        <v>1</v>
      </c>
      <c r="C575" s="45" t="str">
        <f>Tabla2[[#This Row],[(id_solicitud-tipo_documento)]]&amp;B575</f>
        <v>427Proposicion1</v>
      </c>
      <c r="D575" s="45">
        <v>576</v>
      </c>
      <c r="E575" s="45">
        <v>427</v>
      </c>
      <c r="F575" s="45" t="s">
        <v>46</v>
      </c>
      <c r="G575" s="45" t="s">
        <v>40</v>
      </c>
      <c r="H575" s="50" t="s">
        <v>16</v>
      </c>
      <c r="I575" s="51">
        <v>567</v>
      </c>
      <c r="J575" s="80"/>
      <c r="K5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567 DGC</v>
      </c>
      <c r="L575" s="48">
        <v>44799</v>
      </c>
      <c r="M575" s="48">
        <v>44799</v>
      </c>
      <c r="N575" s="49" t="s">
        <v>411</v>
      </c>
      <c r="O575" s="45"/>
      <c r="P575" s="80" t="s">
        <v>497</v>
      </c>
      <c r="Q575" s="24"/>
      <c r="R575" s="24" t="s">
        <v>12</v>
      </c>
      <c r="S575" s="114"/>
      <c r="T575" s="45"/>
      <c r="U575" s="48"/>
      <c r="V575" s="48"/>
      <c r="W575" s="27"/>
    </row>
    <row r="576" spans="1:23" ht="60" hidden="1" customHeight="1" x14ac:dyDescent="0.25">
      <c r="A576" s="45" t="str">
        <f>CONCATENATE(Tabla2[[#This Row],[id_solicitud]],Tabla2[[#This Row],[tipo]])</f>
        <v>474Oficio_Solicitud</v>
      </c>
      <c r="B576" s="45">
        <f>COUNTIF($A$2:A576,A576)</f>
        <v>1</v>
      </c>
      <c r="C576" s="45" t="str">
        <f>Tabla2[[#This Row],[(id_solicitud-tipo_documento)]]&amp;B576</f>
        <v>474Oficio_Solicitud1</v>
      </c>
      <c r="D576" s="45">
        <v>577</v>
      </c>
      <c r="E576" s="45">
        <v>474</v>
      </c>
      <c r="F576" s="45" t="s">
        <v>53</v>
      </c>
      <c r="G576" s="45" t="s">
        <v>41</v>
      </c>
      <c r="H576" s="50" t="s">
        <v>10</v>
      </c>
      <c r="I576" s="51">
        <v>568</v>
      </c>
      <c r="J576" s="80"/>
      <c r="K5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568 DAP</v>
      </c>
      <c r="L576" s="48">
        <v>44851</v>
      </c>
      <c r="M576" s="48">
        <v>44852</v>
      </c>
      <c r="N576" s="49" t="s">
        <v>444</v>
      </c>
      <c r="O576" s="45">
        <f>2+1+33</f>
        <v>36</v>
      </c>
      <c r="P576" s="80" t="s">
        <v>494</v>
      </c>
      <c r="Q576" s="48"/>
      <c r="R576" s="45"/>
      <c r="S576" s="114"/>
      <c r="T576" s="52"/>
      <c r="U576" s="48"/>
      <c r="V576" s="48"/>
      <c r="W576" s="27"/>
    </row>
    <row r="577" spans="1:23" ht="60" hidden="1" customHeight="1" x14ac:dyDescent="0.25">
      <c r="A577" s="45" t="str">
        <f>CONCATENATE(Tabla2[[#This Row],[id_solicitud]],Tabla2[[#This Row],[tipo]])</f>
        <v>154Resolucion</v>
      </c>
      <c r="B577" s="45">
        <f>COUNTIF($A$2:A577,A577)</f>
        <v>1</v>
      </c>
      <c r="C577" s="45" t="str">
        <f>Tabla2[[#This Row],[(id_solicitud-tipo_documento)]]&amp;B577</f>
        <v>154Resolucion1</v>
      </c>
      <c r="D577" s="45">
        <v>578</v>
      </c>
      <c r="E577" s="45">
        <v>154</v>
      </c>
      <c r="F577" s="45" t="s">
        <v>48</v>
      </c>
      <c r="G577" s="45"/>
      <c r="H577" s="50" t="s">
        <v>541</v>
      </c>
      <c r="I577" s="51">
        <v>569</v>
      </c>
      <c r="J577" s="80"/>
      <c r="K5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577" s="48">
        <v>44700</v>
      </c>
      <c r="M577" s="48"/>
      <c r="N577" s="49"/>
      <c r="O577" s="45"/>
      <c r="P577" s="80"/>
      <c r="Q577" s="48"/>
      <c r="R577" s="45"/>
      <c r="S577" s="114"/>
      <c r="T577" s="45"/>
      <c r="U577" s="48"/>
      <c r="V577" s="48"/>
      <c r="W577" s="27"/>
    </row>
    <row r="578" spans="1:23" ht="60" hidden="1" customHeight="1" x14ac:dyDescent="0.25">
      <c r="A578" s="45" t="str">
        <f>CONCATENATE(Tabla2[[#This Row],[id_solicitud]],Tabla2[[#This Row],[tipo]])</f>
        <v>391Proposicion</v>
      </c>
      <c r="B578" s="45">
        <f>COUNTIF($A$2:A578,A578)</f>
        <v>1</v>
      </c>
      <c r="C578" s="45" t="str">
        <f>Tabla2[[#This Row],[(id_solicitud-tipo_documento)]]&amp;B578</f>
        <v>391Proposicion1</v>
      </c>
      <c r="D578" s="45">
        <v>579</v>
      </c>
      <c r="E578" s="45">
        <v>391</v>
      </c>
      <c r="F578" s="45" t="s">
        <v>46</v>
      </c>
      <c r="G578" s="45" t="s">
        <v>42</v>
      </c>
      <c r="H578" s="50" t="s">
        <v>8</v>
      </c>
      <c r="I578" s="51">
        <v>569</v>
      </c>
      <c r="J578" s="80"/>
      <c r="K5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569 DA</v>
      </c>
      <c r="L578" s="48">
        <v>44802</v>
      </c>
      <c r="M578" s="48">
        <v>44802</v>
      </c>
      <c r="N578" s="49" t="s">
        <v>387</v>
      </c>
      <c r="O578" s="45"/>
      <c r="P578" s="80" t="s">
        <v>497</v>
      </c>
      <c r="Q578" s="24"/>
      <c r="R578" s="24" t="s">
        <v>12</v>
      </c>
      <c r="S578" s="114"/>
      <c r="T578" s="45"/>
      <c r="U578" s="48"/>
      <c r="V578" s="48"/>
      <c r="W578" s="27"/>
    </row>
    <row r="579" spans="1:23" ht="60" hidden="1" customHeight="1" x14ac:dyDescent="0.25">
      <c r="A579" s="45" t="str">
        <f>CONCATENATE(Tabla2[[#This Row],[id_solicitud]],Tabla2[[#This Row],[tipo]])</f>
        <v>334Proposicion</v>
      </c>
      <c r="B579" s="45">
        <f>COUNTIF($A$2:A579,A579)</f>
        <v>1</v>
      </c>
      <c r="C579" s="45" t="str">
        <f>Tabla2[[#This Row],[(id_solicitud-tipo_documento)]]&amp;B579</f>
        <v>334Proposicion1</v>
      </c>
      <c r="D579" s="45">
        <v>580</v>
      </c>
      <c r="E579" s="45">
        <v>334</v>
      </c>
      <c r="F579" s="45" t="s">
        <v>46</v>
      </c>
      <c r="G579" s="45" t="s">
        <v>60</v>
      </c>
      <c r="H579" s="50" t="s">
        <v>538</v>
      </c>
      <c r="I579" s="51">
        <v>570</v>
      </c>
      <c r="J579" s="80"/>
      <c r="K5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570 DV_FETCovid19</v>
      </c>
      <c r="L579" s="48">
        <v>44797</v>
      </c>
      <c r="M579" s="48">
        <v>44797</v>
      </c>
      <c r="N579" s="49" t="s">
        <v>689</v>
      </c>
      <c r="O579" s="45">
        <v>31</v>
      </c>
      <c r="P579" s="80" t="s">
        <v>494</v>
      </c>
      <c r="Q579" s="24"/>
      <c r="R579" s="24" t="s">
        <v>24</v>
      </c>
      <c r="S579" s="114"/>
      <c r="T579" s="45"/>
      <c r="U579" s="48"/>
      <c r="V579" s="48"/>
      <c r="W579" s="27"/>
    </row>
    <row r="580" spans="1:23" ht="60" hidden="1" customHeight="1" x14ac:dyDescent="0.25">
      <c r="A580" s="45" t="str">
        <f>CONCATENATE(Tabla2[[#This Row],[id_solicitud]],Tabla2[[#This Row],[tipo]])</f>
        <v>461Decreto</v>
      </c>
      <c r="B580" s="45">
        <f>COUNTIF($A$2:A580,A580)</f>
        <v>1</v>
      </c>
      <c r="C580" s="45" t="str">
        <f>Tabla2[[#This Row],[(id_solicitud-tipo_documento)]]&amp;B580</f>
        <v>461Decreto1</v>
      </c>
      <c r="D580" s="45">
        <v>581</v>
      </c>
      <c r="E580" s="45">
        <v>461</v>
      </c>
      <c r="F580" s="45" t="s">
        <v>47</v>
      </c>
      <c r="G580" s="45" t="s">
        <v>60</v>
      </c>
      <c r="H580" s="50" t="s">
        <v>26</v>
      </c>
      <c r="I580" s="51">
        <v>1717</v>
      </c>
      <c r="J580" s="80"/>
      <c r="K5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1717 DV</v>
      </c>
      <c r="L580" s="48">
        <v>44846</v>
      </c>
      <c r="M580" s="48"/>
      <c r="N580" s="49" t="s">
        <v>991</v>
      </c>
      <c r="O580" s="45"/>
      <c r="P580" s="80"/>
      <c r="Q580" s="48"/>
      <c r="R580" s="45"/>
      <c r="S580" s="115">
        <v>997</v>
      </c>
      <c r="T580" s="20">
        <v>44837</v>
      </c>
      <c r="U580" s="20">
        <v>44854</v>
      </c>
      <c r="V580" s="20">
        <v>44854</v>
      </c>
      <c r="W580" s="27"/>
    </row>
    <row r="581" spans="1:23" ht="60" hidden="1" customHeight="1" x14ac:dyDescent="0.25">
      <c r="A581" s="45" t="str">
        <f>CONCATENATE(Tabla2[[#This Row],[id_solicitud]],Tabla2[[#This Row],[tipo]])</f>
        <v>522Oficio_Solicitud</v>
      </c>
      <c r="B581" s="45">
        <f>COUNTIF($A$2:A581,A581)</f>
        <v>1</v>
      </c>
      <c r="C581" s="45" t="str">
        <f>Tabla2[[#This Row],[(id_solicitud-tipo_documento)]]&amp;B581</f>
        <v>522Oficio_Solicitud1</v>
      </c>
      <c r="D581" s="45">
        <v>582</v>
      </c>
      <c r="E581" s="45">
        <v>522</v>
      </c>
      <c r="F581" s="45" t="s">
        <v>53</v>
      </c>
      <c r="G581" s="45" t="s">
        <v>44</v>
      </c>
      <c r="H581" s="50" t="s">
        <v>10</v>
      </c>
      <c r="I581" s="51">
        <v>571</v>
      </c>
      <c r="J581" s="80"/>
      <c r="K5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571 DAP</v>
      </c>
      <c r="L581" s="48">
        <v>44851</v>
      </c>
      <c r="M581" s="48">
        <v>44851</v>
      </c>
      <c r="N581" s="49" t="s">
        <v>485</v>
      </c>
      <c r="O581" s="45">
        <v>0</v>
      </c>
      <c r="P581" s="80" t="s">
        <v>497</v>
      </c>
      <c r="Q581" s="48"/>
      <c r="R581" s="45"/>
      <c r="S581" s="114"/>
      <c r="T581" s="52"/>
      <c r="U581" s="48"/>
      <c r="V581" s="48"/>
      <c r="W581" s="27"/>
    </row>
    <row r="582" spans="1:23" ht="60" hidden="1" customHeight="1" x14ac:dyDescent="0.25">
      <c r="A582" s="45" t="str">
        <f>CONCATENATE(Tabla2[[#This Row],[id_solicitud]],Tabla2[[#This Row],[tipo]])</f>
        <v>355Proposicion</v>
      </c>
      <c r="B582" s="45">
        <f>COUNTIF($A$2:A582,A582)</f>
        <v>1</v>
      </c>
      <c r="C582" s="45" t="str">
        <f>Tabla2[[#This Row],[(id_solicitud-tipo_documento)]]&amp;B582</f>
        <v>355Proposicion1</v>
      </c>
      <c r="D582" s="45">
        <v>583</v>
      </c>
      <c r="E582" s="45">
        <v>355</v>
      </c>
      <c r="F582" s="45" t="s">
        <v>46</v>
      </c>
      <c r="G582" s="45" t="s">
        <v>44</v>
      </c>
      <c r="H582" s="50" t="s">
        <v>35</v>
      </c>
      <c r="I582" s="51">
        <v>572</v>
      </c>
      <c r="J582" s="80"/>
      <c r="K5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572 SOP</v>
      </c>
      <c r="L582" s="48">
        <v>44797</v>
      </c>
      <c r="M582" s="48">
        <v>44798</v>
      </c>
      <c r="N582" s="49" t="s">
        <v>697</v>
      </c>
      <c r="O582" s="45"/>
      <c r="P582" s="80" t="s">
        <v>498</v>
      </c>
      <c r="Q582" s="24"/>
      <c r="R582" s="24" t="s">
        <v>24</v>
      </c>
      <c r="S582" s="114"/>
      <c r="T582" s="45"/>
      <c r="U582" s="48"/>
      <c r="V582" s="48"/>
      <c r="W582" s="27"/>
    </row>
    <row r="583" spans="1:23" ht="60" hidden="1" customHeight="1" x14ac:dyDescent="0.25">
      <c r="A583" s="45" t="str">
        <f>CONCATENATE(Tabla2[[#This Row],[id_solicitud]],Tabla2[[#This Row],[tipo]])</f>
        <v>394Proposicion</v>
      </c>
      <c r="B583" s="45">
        <f>COUNTIF($A$2:A583,A583)</f>
        <v>1</v>
      </c>
      <c r="C583" s="45" t="str">
        <f>Tabla2[[#This Row],[(id_solicitud-tipo_documento)]]&amp;B583</f>
        <v>394Proposicion1</v>
      </c>
      <c r="D583" s="45">
        <v>584</v>
      </c>
      <c r="E583" s="45">
        <v>394</v>
      </c>
      <c r="F583" s="45" t="s">
        <v>46</v>
      </c>
      <c r="G583" s="45" t="s">
        <v>40</v>
      </c>
      <c r="H583" s="50" t="s">
        <v>600</v>
      </c>
      <c r="I583" s="51">
        <v>572</v>
      </c>
      <c r="J583" s="80"/>
      <c r="K5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572 DOP-DGA-SISS</v>
      </c>
      <c r="L583" s="48">
        <v>44804</v>
      </c>
      <c r="M583" s="48">
        <v>44804</v>
      </c>
      <c r="N583" s="49" t="s">
        <v>708</v>
      </c>
      <c r="O583" s="45">
        <v>0</v>
      </c>
      <c r="P583" s="80" t="s">
        <v>523</v>
      </c>
      <c r="Q583" s="24"/>
      <c r="R583" s="24" t="s">
        <v>12</v>
      </c>
      <c r="S583" s="114"/>
      <c r="T583" s="45"/>
      <c r="U583" s="48"/>
      <c r="V583" s="48"/>
      <c r="W583" s="27"/>
    </row>
    <row r="584" spans="1:23" ht="60" hidden="1" customHeight="1" x14ac:dyDescent="0.25">
      <c r="A584" s="45" t="str">
        <f>CONCATENATE(Tabla2[[#This Row],[id_solicitud]],Tabla2[[#This Row],[tipo]])</f>
        <v>371Proposicion</v>
      </c>
      <c r="B584" s="45">
        <f>COUNTIF($A$2:A584,A584)</f>
        <v>1</v>
      </c>
      <c r="C584" s="45" t="str">
        <f>Tabla2[[#This Row],[(id_solicitud-tipo_documento)]]&amp;B584</f>
        <v>371Proposicion1</v>
      </c>
      <c r="D584" s="45">
        <v>585</v>
      </c>
      <c r="E584" s="45">
        <v>371</v>
      </c>
      <c r="F584" s="45" t="s">
        <v>46</v>
      </c>
      <c r="G584" s="45" t="s">
        <v>44</v>
      </c>
      <c r="H584" s="50" t="s">
        <v>14</v>
      </c>
      <c r="I584" s="51">
        <v>573</v>
      </c>
      <c r="J584" s="80"/>
      <c r="K5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573 DGA</v>
      </c>
      <c r="L584" s="48">
        <v>44797</v>
      </c>
      <c r="M584" s="48">
        <v>44798</v>
      </c>
      <c r="N584" s="49" t="s">
        <v>370</v>
      </c>
      <c r="O584" s="45"/>
      <c r="P584" s="80" t="s">
        <v>498</v>
      </c>
      <c r="Q584" s="24"/>
      <c r="R584" s="24" t="s">
        <v>24</v>
      </c>
      <c r="S584" s="114"/>
      <c r="T584" s="45"/>
      <c r="U584" s="48"/>
      <c r="V584" s="48"/>
      <c r="W584" s="27"/>
    </row>
    <row r="585" spans="1:23" ht="60" hidden="1" customHeight="1" x14ac:dyDescent="0.25">
      <c r="A585" s="45" t="str">
        <f>CONCATENATE(Tabla2[[#This Row],[id_solicitud]],Tabla2[[#This Row],[tipo]])</f>
        <v>359Proposicion</v>
      </c>
      <c r="B585" s="45">
        <f>COUNTIF($A$2:A585,A585)</f>
        <v>1</v>
      </c>
      <c r="C585" s="45" t="str">
        <f>Tabla2[[#This Row],[(id_solicitud-tipo_documento)]]&amp;B585</f>
        <v>359Proposicion1</v>
      </c>
      <c r="D585" s="45">
        <v>586</v>
      </c>
      <c r="E585" s="45">
        <v>359</v>
      </c>
      <c r="F585" s="45" t="s">
        <v>46</v>
      </c>
      <c r="G585" s="45" t="s">
        <v>40</v>
      </c>
      <c r="H585" s="50" t="s">
        <v>595</v>
      </c>
      <c r="I585" s="51">
        <v>574</v>
      </c>
      <c r="J585" s="80"/>
      <c r="K5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574 DGC-DOH</v>
      </c>
      <c r="L585" s="48">
        <v>44797</v>
      </c>
      <c r="M585" s="48">
        <v>44798</v>
      </c>
      <c r="N585" s="49" t="s">
        <v>363</v>
      </c>
      <c r="O585" s="45"/>
      <c r="P585" s="80" t="s">
        <v>501</v>
      </c>
      <c r="Q585" s="24"/>
      <c r="R585" s="24" t="s">
        <v>24</v>
      </c>
      <c r="S585" s="114"/>
      <c r="T585" s="45"/>
      <c r="U585" s="48"/>
      <c r="V585" s="48"/>
      <c r="W585" s="27"/>
    </row>
    <row r="586" spans="1:23" ht="60" hidden="1" customHeight="1" x14ac:dyDescent="0.25">
      <c r="A586" s="45" t="str">
        <f>CONCATENATE(Tabla2[[#This Row],[id_solicitud]],Tabla2[[#This Row],[tipo]])</f>
        <v>167Resolucion</v>
      </c>
      <c r="B586" s="45">
        <f>COUNTIF($A$2:A586,A586)</f>
        <v>1</v>
      </c>
      <c r="C586" s="45" t="str">
        <f>Tabla2[[#This Row],[(id_solicitud-tipo_documento)]]&amp;B586</f>
        <v>167Resolucion1</v>
      </c>
      <c r="D586" s="45">
        <v>587</v>
      </c>
      <c r="E586" s="45">
        <v>167</v>
      </c>
      <c r="F586" s="45" t="s">
        <v>48</v>
      </c>
      <c r="G586" s="45"/>
      <c r="H586" s="50" t="s">
        <v>10</v>
      </c>
      <c r="I586" s="51">
        <v>575</v>
      </c>
      <c r="J586" s="80"/>
      <c r="K5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586" s="48">
        <v>44676</v>
      </c>
      <c r="M586" s="48"/>
      <c r="N586" s="49"/>
      <c r="O586" s="45"/>
      <c r="P586" s="80"/>
      <c r="Q586" s="48"/>
      <c r="R586" s="45"/>
      <c r="S586" s="114"/>
      <c r="T586" s="45"/>
      <c r="U586" s="48"/>
      <c r="V586" s="48"/>
      <c r="W586" s="27"/>
    </row>
    <row r="587" spans="1:23" ht="60" hidden="1" customHeight="1" x14ac:dyDescent="0.25">
      <c r="A587" s="45" t="str">
        <f>CONCATENATE(Tabla2[[#This Row],[id_solicitud]],Tabla2[[#This Row],[tipo]])</f>
        <v>341Proposicion</v>
      </c>
      <c r="B587" s="45">
        <f>COUNTIF($A$2:A587,A587)</f>
        <v>1</v>
      </c>
      <c r="C587" s="45" t="str">
        <f>Tabla2[[#This Row],[(id_solicitud-tipo_documento)]]&amp;B587</f>
        <v>341Proposicion1</v>
      </c>
      <c r="D587" s="45">
        <v>588</v>
      </c>
      <c r="E587" s="45">
        <v>341</v>
      </c>
      <c r="F587" s="45" t="s">
        <v>46</v>
      </c>
      <c r="G587" s="45" t="s">
        <v>60</v>
      </c>
      <c r="H587" s="50" t="s">
        <v>535</v>
      </c>
      <c r="I587" s="51">
        <v>575</v>
      </c>
      <c r="J587" s="80"/>
      <c r="K5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575 DOH_FETCovid19</v>
      </c>
      <c r="L587" s="48">
        <v>44797</v>
      </c>
      <c r="M587" s="48">
        <v>44798</v>
      </c>
      <c r="N587" s="49" t="s">
        <v>691</v>
      </c>
      <c r="O587" s="45">
        <v>17</v>
      </c>
      <c r="P587" s="80" t="s">
        <v>494</v>
      </c>
      <c r="Q587" s="24"/>
      <c r="R587" s="24" t="s">
        <v>24</v>
      </c>
      <c r="S587" s="114"/>
      <c r="T587" s="45"/>
      <c r="U587" s="48"/>
      <c r="V587" s="48"/>
      <c r="W587" s="27"/>
    </row>
    <row r="588" spans="1:23" ht="60" hidden="1" customHeight="1" x14ac:dyDescent="0.25">
      <c r="A588" s="45" t="str">
        <f>CONCATENATE(Tabla2[[#This Row],[id_solicitud]],Tabla2[[#This Row],[tipo]])</f>
        <v>435Proposicion</v>
      </c>
      <c r="B588" s="45">
        <f>COUNTIF($A$2:A588,A588)</f>
        <v>1</v>
      </c>
      <c r="C588" s="45" t="str">
        <f>Tabla2[[#This Row],[(id_solicitud-tipo_documento)]]&amp;B588</f>
        <v>435Proposicion1</v>
      </c>
      <c r="D588" s="45">
        <v>589</v>
      </c>
      <c r="E588" s="45">
        <v>435</v>
      </c>
      <c r="F588" s="45" t="s">
        <v>46</v>
      </c>
      <c r="G588" s="45" t="s">
        <v>60</v>
      </c>
      <c r="H588" s="50" t="s">
        <v>535</v>
      </c>
      <c r="I588" s="51">
        <v>575</v>
      </c>
      <c r="J588" s="80"/>
      <c r="K5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575 DOH_FETCovid19</v>
      </c>
      <c r="L588" s="48">
        <v>44797</v>
      </c>
      <c r="M588" s="48">
        <v>44798</v>
      </c>
      <c r="N588" s="49" t="s">
        <v>691</v>
      </c>
      <c r="O588" s="45">
        <v>17</v>
      </c>
      <c r="P588" s="80" t="s">
        <v>494</v>
      </c>
      <c r="Q588" s="24"/>
      <c r="R588" s="24" t="s">
        <v>24</v>
      </c>
      <c r="S588" s="114"/>
      <c r="T588" s="45"/>
      <c r="U588" s="48"/>
      <c r="V588" s="48"/>
      <c r="W588" s="27"/>
    </row>
    <row r="589" spans="1:23" ht="60" hidden="1" customHeight="1" x14ac:dyDescent="0.25">
      <c r="A589" s="45" t="str">
        <f>CONCATENATE(Tabla2[[#This Row],[id_solicitud]],Tabla2[[#This Row],[tipo]])</f>
        <v>492Oficio_Solicitud</v>
      </c>
      <c r="B589" s="45">
        <f>COUNTIF($A$2:A589,A589)</f>
        <v>1</v>
      </c>
      <c r="C589" s="45" t="str">
        <f>Tabla2[[#This Row],[(id_solicitud-tipo_documento)]]&amp;B589</f>
        <v>492Oficio_Solicitud1</v>
      </c>
      <c r="D589" s="45">
        <v>590</v>
      </c>
      <c r="E589" s="45">
        <v>492</v>
      </c>
      <c r="F589" s="45" t="s">
        <v>53</v>
      </c>
      <c r="G589" s="45" t="s">
        <v>65</v>
      </c>
      <c r="H589" s="50" t="s">
        <v>605</v>
      </c>
      <c r="I589" s="51">
        <v>575</v>
      </c>
      <c r="J589" s="80"/>
      <c r="K5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575 SOP-DOP</v>
      </c>
      <c r="L589" s="48">
        <v>44851</v>
      </c>
      <c r="M589" s="48">
        <v>44853</v>
      </c>
      <c r="N589" s="49" t="s">
        <v>460</v>
      </c>
      <c r="O589" s="45"/>
      <c r="P589" s="80" t="s">
        <v>500</v>
      </c>
      <c r="Q589" s="48"/>
      <c r="R589" s="45"/>
      <c r="S589" s="114"/>
      <c r="T589" s="52"/>
      <c r="U589" s="48"/>
      <c r="V589" s="48"/>
      <c r="W589" s="27"/>
    </row>
    <row r="590" spans="1:23" ht="60" hidden="1" customHeight="1" x14ac:dyDescent="0.25">
      <c r="A590" s="45" t="str">
        <f>CONCATENATE(Tabla2[[#This Row],[id_solicitud]],Tabla2[[#This Row],[tipo]])</f>
        <v>166Resolucion</v>
      </c>
      <c r="B590" s="45">
        <f>COUNTIF($A$2:A590,A590)</f>
        <v>1</v>
      </c>
      <c r="C590" s="45" t="str">
        <f>Tabla2[[#This Row],[(id_solicitud-tipo_documento)]]&amp;B590</f>
        <v>166Resolucion1</v>
      </c>
      <c r="D590" s="45">
        <v>591</v>
      </c>
      <c r="E590" s="45">
        <v>166</v>
      </c>
      <c r="F590" s="45" t="s">
        <v>48</v>
      </c>
      <c r="G590" s="45"/>
      <c r="H590" s="50" t="s">
        <v>544</v>
      </c>
      <c r="I590" s="51">
        <v>576</v>
      </c>
      <c r="J590" s="80"/>
      <c r="K5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590" s="48">
        <v>44676</v>
      </c>
      <c r="M590" s="48"/>
      <c r="N590" s="49"/>
      <c r="O590" s="45"/>
      <c r="P590" s="80"/>
      <c r="Q590" s="48"/>
      <c r="R590" s="45"/>
      <c r="S590" s="114"/>
      <c r="T590" s="45"/>
      <c r="U590" s="48"/>
      <c r="V590" s="48"/>
      <c r="W590" s="27"/>
    </row>
    <row r="591" spans="1:23" ht="60" hidden="1" customHeight="1" x14ac:dyDescent="0.25">
      <c r="A591" s="45" t="str">
        <f>CONCATENATE(Tabla2[[#This Row],[id_solicitud]],Tabla2[[#This Row],[tipo]])</f>
        <v>349Proposicion</v>
      </c>
      <c r="B591" s="45">
        <f>COUNTIF($A$2:A591,A591)</f>
        <v>1</v>
      </c>
      <c r="C591" s="45" t="str">
        <f>Tabla2[[#This Row],[(id_solicitud-tipo_documento)]]&amp;B591</f>
        <v>349Proposicion1</v>
      </c>
      <c r="D591" s="45">
        <v>592</v>
      </c>
      <c r="E591" s="45">
        <v>349</v>
      </c>
      <c r="F591" s="45" t="s">
        <v>46</v>
      </c>
      <c r="G591" s="45" t="s">
        <v>61</v>
      </c>
      <c r="H591" s="50" t="s">
        <v>559</v>
      </c>
      <c r="I591" s="51">
        <v>576</v>
      </c>
      <c r="J591" s="80"/>
      <c r="K5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576 APR_FETCovid19</v>
      </c>
      <c r="L591" s="48">
        <v>44797</v>
      </c>
      <c r="M591" s="48">
        <v>44798</v>
      </c>
      <c r="N591" s="49" t="s">
        <v>696</v>
      </c>
      <c r="O591" s="45">
        <f>6+31</f>
        <v>37</v>
      </c>
      <c r="P591" s="80" t="s">
        <v>494</v>
      </c>
      <c r="Q591" s="24"/>
      <c r="R591" s="24" t="s">
        <v>24</v>
      </c>
      <c r="S591" s="114"/>
      <c r="T591" s="45"/>
      <c r="U591" s="48"/>
      <c r="V591" s="48"/>
      <c r="W591" s="27"/>
    </row>
    <row r="592" spans="1:23" ht="60" hidden="1" customHeight="1" x14ac:dyDescent="0.25">
      <c r="A592" s="45" t="str">
        <f>CONCATENATE(Tabla2[[#This Row],[id_solicitud]],Tabla2[[#This Row],[tipo]])</f>
        <v>500Oficio_Solicitud</v>
      </c>
      <c r="B592" s="45">
        <f>COUNTIF($A$2:A592,A592)</f>
        <v>1</v>
      </c>
      <c r="C592" s="45" t="str">
        <f>Tabla2[[#This Row],[(id_solicitud-tipo_documento)]]&amp;B592</f>
        <v>500Oficio_Solicitud1</v>
      </c>
      <c r="D592" s="45">
        <v>593</v>
      </c>
      <c r="E592" s="45">
        <v>500</v>
      </c>
      <c r="F592" s="45" t="s">
        <v>53</v>
      </c>
      <c r="G592" s="45" t="s">
        <v>44</v>
      </c>
      <c r="H592" s="50" t="s">
        <v>607</v>
      </c>
      <c r="I592" s="51">
        <v>576</v>
      </c>
      <c r="J592" s="80"/>
      <c r="K5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576 DV-SOP</v>
      </c>
      <c r="L592" s="48">
        <v>44852</v>
      </c>
      <c r="M592" s="48">
        <v>44852</v>
      </c>
      <c r="N592" s="49" t="s">
        <v>468</v>
      </c>
      <c r="O592" s="45"/>
      <c r="P592" s="80" t="s">
        <v>497</v>
      </c>
      <c r="Q592" s="48"/>
      <c r="R592" s="45"/>
      <c r="S592" s="114"/>
      <c r="T592" s="52"/>
      <c r="U592" s="48"/>
      <c r="V592" s="48"/>
      <c r="W592" s="27"/>
    </row>
    <row r="593" spans="1:23" ht="60" hidden="1" customHeight="1" x14ac:dyDescent="0.25">
      <c r="A593" s="45" t="str">
        <f>CONCATENATE(Tabla2[[#This Row],[id_solicitud]],Tabla2[[#This Row],[tipo]])</f>
        <v>498Oficio_Solicitud</v>
      </c>
      <c r="B593" s="45">
        <f>COUNTIF($A$2:A593,A593)</f>
        <v>1</v>
      </c>
      <c r="C593" s="45" t="str">
        <f>Tabla2[[#This Row],[(id_solicitud-tipo_documento)]]&amp;B593</f>
        <v>498Oficio_Solicitud1</v>
      </c>
      <c r="D593" s="45">
        <v>594</v>
      </c>
      <c r="E593" s="45">
        <v>498</v>
      </c>
      <c r="F593" s="45" t="s">
        <v>53</v>
      </c>
      <c r="G593" s="45" t="s">
        <v>1258</v>
      </c>
      <c r="H593" s="50" t="s">
        <v>10</v>
      </c>
      <c r="I593" s="51">
        <v>577</v>
      </c>
      <c r="J593" s="80"/>
      <c r="K5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577 DAP</v>
      </c>
      <c r="L593" s="48">
        <v>44855</v>
      </c>
      <c r="M593" s="48">
        <v>44858</v>
      </c>
      <c r="N593" s="49" t="s">
        <v>466</v>
      </c>
      <c r="O593" s="45">
        <v>6</v>
      </c>
      <c r="P593" s="80" t="s">
        <v>494</v>
      </c>
      <c r="Q593" s="48"/>
      <c r="R593" s="45"/>
      <c r="S593" s="114"/>
      <c r="T593" s="52"/>
      <c r="U593" s="48"/>
      <c r="V593" s="48"/>
      <c r="W593" s="27"/>
    </row>
    <row r="594" spans="1:23" ht="60" hidden="1" customHeight="1" x14ac:dyDescent="0.25">
      <c r="A594" s="45" t="str">
        <f>CONCATENATE(Tabla2[[#This Row],[id_solicitud]],Tabla2[[#This Row],[tipo]])</f>
        <v>496Oficio_Solicitud</v>
      </c>
      <c r="B594" s="45">
        <f>COUNTIF($A$2:A594,A594)</f>
        <v>1</v>
      </c>
      <c r="C594" s="45" t="str">
        <f>Tabla2[[#This Row],[(id_solicitud-tipo_documento)]]&amp;B594</f>
        <v>496Oficio_Solicitud1</v>
      </c>
      <c r="D594" s="45">
        <v>595</v>
      </c>
      <c r="E594" s="45">
        <v>496</v>
      </c>
      <c r="F594" s="45" t="s">
        <v>53</v>
      </c>
      <c r="G594" s="45" t="s">
        <v>1258</v>
      </c>
      <c r="H594" s="50" t="s">
        <v>544</v>
      </c>
      <c r="I594" s="51">
        <v>578</v>
      </c>
      <c r="J594" s="80"/>
      <c r="K5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578 DAP_FETCovid19</v>
      </c>
      <c r="L594" s="48">
        <v>44855</v>
      </c>
      <c r="M594" s="48">
        <v>44858</v>
      </c>
      <c r="N594" s="49" t="s">
        <v>464</v>
      </c>
      <c r="O594" s="45">
        <v>4</v>
      </c>
      <c r="P594" s="80" t="s">
        <v>494</v>
      </c>
      <c r="Q594" s="48">
        <v>44868</v>
      </c>
      <c r="R594" s="45"/>
      <c r="S594" s="114"/>
      <c r="T594" s="52"/>
      <c r="U594" s="48"/>
      <c r="V594" s="48"/>
      <c r="W594" s="27"/>
    </row>
    <row r="595" spans="1:23" ht="60" hidden="1" customHeight="1" x14ac:dyDescent="0.25">
      <c r="A595" s="45" t="str">
        <f>CONCATENATE(Tabla2[[#This Row],[id_solicitud]],Tabla2[[#This Row],[tipo]])</f>
        <v>51Oficio_Solicitud</v>
      </c>
      <c r="B595" s="45">
        <f>COUNTIF($A$2:A595,A595)</f>
        <v>1</v>
      </c>
      <c r="C595" s="45" t="str">
        <f>Tabla2[[#This Row],[(id_solicitud-tipo_documento)]]&amp;B595</f>
        <v>51Oficio_Solicitud1</v>
      </c>
      <c r="D595" s="45">
        <v>596</v>
      </c>
      <c r="E595" s="45">
        <v>51</v>
      </c>
      <c r="F595" s="45" t="s">
        <v>53</v>
      </c>
      <c r="G595" s="45" t="s">
        <v>59</v>
      </c>
      <c r="H595" s="50" t="s">
        <v>26</v>
      </c>
      <c r="I595" s="51">
        <v>579</v>
      </c>
      <c r="J595" s="80"/>
      <c r="K5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579 DV</v>
      </c>
      <c r="L595" s="48">
        <v>44579</v>
      </c>
      <c r="M595" s="48">
        <v>44581</v>
      </c>
      <c r="N595" s="49" t="s">
        <v>111</v>
      </c>
      <c r="O595" s="45"/>
      <c r="P595" s="80" t="s">
        <v>494</v>
      </c>
      <c r="Q595" s="48">
        <v>44581</v>
      </c>
      <c r="R595" s="45"/>
      <c r="S595" s="114"/>
      <c r="T595" s="52"/>
      <c r="U595" s="48"/>
      <c r="V595" s="48"/>
      <c r="W595" s="27"/>
    </row>
    <row r="596" spans="1:23" ht="60" hidden="1" customHeight="1" x14ac:dyDescent="0.25">
      <c r="A596" s="45" t="str">
        <f>CONCATENATE(Tabla2[[#This Row],[id_solicitud]],Tabla2[[#This Row],[tipo]])</f>
        <v>387Oficio_Solicitud</v>
      </c>
      <c r="B596" s="45">
        <f>COUNTIF($A$2:A596,A596)</f>
        <v>1</v>
      </c>
      <c r="C596" s="45" t="str">
        <f>Tabla2[[#This Row],[(id_solicitud-tipo_documento)]]&amp;B596</f>
        <v>387Oficio_Solicitud1</v>
      </c>
      <c r="D596" s="45">
        <v>597</v>
      </c>
      <c r="E596" s="45">
        <v>387</v>
      </c>
      <c r="F596" s="45" t="s">
        <v>53</v>
      </c>
      <c r="G596" s="45" t="s">
        <v>40</v>
      </c>
      <c r="H596" s="50" t="s">
        <v>24</v>
      </c>
      <c r="I596" s="51">
        <v>579</v>
      </c>
      <c r="J596" s="80"/>
      <c r="K5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579 DP</v>
      </c>
      <c r="L596" s="48">
        <v>44799</v>
      </c>
      <c r="M596" s="48">
        <v>44799</v>
      </c>
      <c r="N596" s="49" t="s">
        <v>384</v>
      </c>
      <c r="O596" s="45"/>
      <c r="P596" s="80" t="s">
        <v>494</v>
      </c>
      <c r="Q596" s="48"/>
      <c r="R596" s="45"/>
      <c r="S596" s="114"/>
      <c r="T596" s="52"/>
      <c r="U596" s="48"/>
      <c r="V596" s="48"/>
      <c r="W596" s="27"/>
    </row>
    <row r="597" spans="1:23" ht="60" hidden="1" customHeight="1" x14ac:dyDescent="0.25">
      <c r="A597" s="45" t="str">
        <f>CONCATENATE(Tabla2[[#This Row],[id_solicitud]],Tabla2[[#This Row],[tipo]])</f>
        <v>385Proposicion</v>
      </c>
      <c r="B597" s="45">
        <f>COUNTIF($A$2:A597,A597)</f>
        <v>1</v>
      </c>
      <c r="C597" s="45" t="str">
        <f>Tabla2[[#This Row],[(id_solicitud-tipo_documento)]]&amp;B597</f>
        <v>385Proposicion1</v>
      </c>
      <c r="D597" s="45">
        <v>598</v>
      </c>
      <c r="E597" s="45">
        <v>385</v>
      </c>
      <c r="F597" s="45" t="s">
        <v>46</v>
      </c>
      <c r="G597" s="45" t="s">
        <v>1258</v>
      </c>
      <c r="H597" s="50" t="s">
        <v>544</v>
      </c>
      <c r="I597" s="51">
        <v>580</v>
      </c>
      <c r="J597" s="80"/>
      <c r="K5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580 DAP_FETCovid19</v>
      </c>
      <c r="L597" s="48">
        <v>44799</v>
      </c>
      <c r="M597" s="48">
        <v>44799</v>
      </c>
      <c r="N597" s="49" t="s">
        <v>382</v>
      </c>
      <c r="O597" s="45">
        <v>1</v>
      </c>
      <c r="P597" s="80" t="s">
        <v>494</v>
      </c>
      <c r="Q597" s="24"/>
      <c r="R597" s="24" t="s">
        <v>24</v>
      </c>
      <c r="S597" s="114"/>
      <c r="T597" s="45"/>
      <c r="U597" s="48"/>
      <c r="V597" s="48"/>
      <c r="W597" s="27"/>
    </row>
    <row r="598" spans="1:23" ht="60" customHeight="1" x14ac:dyDescent="0.25">
      <c r="A598" s="45" t="str">
        <f>CONCATENATE(Tabla2[[#This Row],[id_solicitud]],Tabla2[[#This Row],[tipo]])</f>
        <v>240Oficio_Solicitud</v>
      </c>
      <c r="B598" s="45">
        <f>COUNTIF($A$2:A598,A598)</f>
        <v>1</v>
      </c>
      <c r="C598" s="45" t="str">
        <f>Tabla2[[#This Row],[(id_solicitud-tipo_documento)]]&amp;B598</f>
        <v>240Oficio_Solicitud1</v>
      </c>
      <c r="D598" s="45">
        <v>347</v>
      </c>
      <c r="E598" s="45">
        <v>240</v>
      </c>
      <c r="F598" s="45" t="s">
        <v>53</v>
      </c>
      <c r="G598" s="45" t="s">
        <v>40</v>
      </c>
      <c r="H598" s="50" t="s">
        <v>553</v>
      </c>
      <c r="I598" s="51">
        <v>346</v>
      </c>
      <c r="J598" s="80"/>
      <c r="K5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346 DCyF_FETCovid19</v>
      </c>
      <c r="L598" s="48">
        <v>44707</v>
      </c>
      <c r="M598" s="48">
        <v>44708</v>
      </c>
      <c r="N598" s="49" t="s">
        <v>268</v>
      </c>
      <c r="O598" s="45"/>
      <c r="P598" s="80" t="s">
        <v>510</v>
      </c>
      <c r="Q598" s="48"/>
      <c r="R598" s="45"/>
      <c r="S598" s="114"/>
      <c r="T598" s="52"/>
      <c r="U598" s="48"/>
      <c r="V598" s="48"/>
      <c r="W598" s="27"/>
    </row>
    <row r="599" spans="1:23" ht="60" hidden="1" customHeight="1" x14ac:dyDescent="0.25">
      <c r="A599" s="45" t="str">
        <f>CONCATENATE(Tabla2[[#This Row],[id_solicitud]],Tabla2[[#This Row],[tipo]])</f>
        <v>460Proposicion</v>
      </c>
      <c r="B599" s="45">
        <f>COUNTIF($A$2:A599,A599)</f>
        <v>1</v>
      </c>
      <c r="C599" s="45" t="str">
        <f>Tabla2[[#This Row],[(id_solicitud-tipo_documento)]]&amp;B599</f>
        <v>460Proposicion1</v>
      </c>
      <c r="D599" s="45">
        <v>600</v>
      </c>
      <c r="E599" s="45">
        <v>460</v>
      </c>
      <c r="F599" s="45" t="s">
        <v>46</v>
      </c>
      <c r="G599" s="45" t="s">
        <v>40</v>
      </c>
      <c r="H599" s="50" t="s">
        <v>604</v>
      </c>
      <c r="I599" s="51">
        <v>580</v>
      </c>
      <c r="J599" s="80"/>
      <c r="K5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580 DA-DV</v>
      </c>
      <c r="L599" s="48">
        <v>44806</v>
      </c>
      <c r="M599" s="48">
        <v>44809</v>
      </c>
      <c r="N599" s="49" t="s">
        <v>724</v>
      </c>
      <c r="O599" s="45"/>
      <c r="P599" s="80" t="s">
        <v>522</v>
      </c>
      <c r="Q599" s="24"/>
      <c r="R599" s="24" t="s">
        <v>12</v>
      </c>
      <c r="S599" s="114"/>
      <c r="T599" s="45"/>
      <c r="U599" s="48"/>
      <c r="V599" s="48"/>
      <c r="W599" s="27"/>
    </row>
    <row r="600" spans="1:23" ht="60" hidden="1" customHeight="1" x14ac:dyDescent="0.25">
      <c r="A600" s="45" t="str">
        <f>CONCATENATE(Tabla2[[#This Row],[id_solicitud]],Tabla2[[#This Row],[tipo]])</f>
        <v>236Oficio_Solicitud</v>
      </c>
      <c r="B600" s="45">
        <f>COUNTIF($A$2:A600,A600)</f>
        <v>1</v>
      </c>
      <c r="C600" s="45" t="str">
        <f>Tabla2[[#This Row],[(id_solicitud-tipo_documento)]]&amp;B600</f>
        <v>236Oficio_Solicitud1</v>
      </c>
      <c r="D600" s="45">
        <v>601</v>
      </c>
      <c r="E600" s="45">
        <v>236</v>
      </c>
      <c r="F600" s="45" t="s">
        <v>53</v>
      </c>
      <c r="G600" s="45" t="s">
        <v>40</v>
      </c>
      <c r="H600" s="50" t="s">
        <v>8</v>
      </c>
      <c r="I600" s="51">
        <v>580</v>
      </c>
      <c r="J600" s="80"/>
      <c r="K6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580 DA</v>
      </c>
      <c r="L600" s="48">
        <v>44706</v>
      </c>
      <c r="M600" s="48">
        <v>44706</v>
      </c>
      <c r="N600" s="49" t="s">
        <v>264</v>
      </c>
      <c r="O600" s="45"/>
      <c r="P600" s="80" t="s">
        <v>514</v>
      </c>
      <c r="Q600" s="48"/>
      <c r="R600" s="45"/>
      <c r="S600" s="114"/>
      <c r="T600" s="52"/>
      <c r="U600" s="48"/>
      <c r="V600" s="48"/>
      <c r="W600" s="27"/>
    </row>
    <row r="601" spans="1:23" ht="60" hidden="1" customHeight="1" x14ac:dyDescent="0.25">
      <c r="A601" s="45" t="str">
        <f>CONCATENATE(Tabla2[[#This Row],[id_solicitud]],Tabla2[[#This Row],[tipo]])</f>
        <v>333Proposicion</v>
      </c>
      <c r="B601" s="45">
        <f>COUNTIF($A$2:A601,A601)</f>
        <v>1</v>
      </c>
      <c r="C601" s="45" t="str">
        <f>Tabla2[[#This Row],[(id_solicitud-tipo_documento)]]&amp;B601</f>
        <v>333Proposicion1</v>
      </c>
      <c r="D601" s="45">
        <v>602</v>
      </c>
      <c r="E601" s="45">
        <v>333</v>
      </c>
      <c r="F601" s="45" t="s">
        <v>46</v>
      </c>
      <c r="G601" s="45" t="s">
        <v>60</v>
      </c>
      <c r="H601" s="50" t="s">
        <v>26</v>
      </c>
      <c r="I601" s="51">
        <v>582</v>
      </c>
      <c r="J601" s="80"/>
      <c r="K6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582 DV</v>
      </c>
      <c r="L601" s="48">
        <v>44799</v>
      </c>
      <c r="M601" s="48">
        <v>44802</v>
      </c>
      <c r="N601" s="49" t="s">
        <v>688</v>
      </c>
      <c r="O601" s="45">
        <f>67+202</f>
        <v>269</v>
      </c>
      <c r="P601" s="80" t="s">
        <v>494</v>
      </c>
      <c r="Q601" s="24"/>
      <c r="R601" s="24" t="s">
        <v>24</v>
      </c>
      <c r="S601" s="114"/>
      <c r="T601" s="45"/>
      <c r="U601" s="48"/>
      <c r="V601" s="48"/>
      <c r="W601" s="27"/>
    </row>
    <row r="602" spans="1:23" ht="60" hidden="1" customHeight="1" x14ac:dyDescent="0.25">
      <c r="A602" s="45" t="str">
        <f>CONCATENATE(Tabla2[[#This Row],[id_solicitud]],Tabla2[[#This Row],[tipo]])</f>
        <v>462Decreto</v>
      </c>
      <c r="B602" s="45">
        <f>COUNTIF($A$2:A602,A602)</f>
        <v>1</v>
      </c>
      <c r="C602" s="45" t="str">
        <f>Tabla2[[#This Row],[(id_solicitud-tipo_documento)]]&amp;B602</f>
        <v>462Decreto1</v>
      </c>
      <c r="D602" s="45">
        <v>603</v>
      </c>
      <c r="E602" s="45">
        <v>462</v>
      </c>
      <c r="F602" s="45" t="s">
        <v>47</v>
      </c>
      <c r="G602" s="45" t="s">
        <v>60</v>
      </c>
      <c r="H602" s="50" t="s">
        <v>26</v>
      </c>
      <c r="I602" s="51">
        <v>1730</v>
      </c>
      <c r="J602" s="80"/>
      <c r="K6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1730 DV</v>
      </c>
      <c r="L602" s="48">
        <v>44846</v>
      </c>
      <c r="M602" s="48"/>
      <c r="N602" s="49" t="s">
        <v>992</v>
      </c>
      <c r="O602" s="45"/>
      <c r="P602" s="80"/>
      <c r="Q602" s="48"/>
      <c r="R602" s="45"/>
      <c r="S602" s="115">
        <v>1028</v>
      </c>
      <c r="T602" s="20">
        <v>44837</v>
      </c>
      <c r="U602" s="20">
        <v>44852</v>
      </c>
      <c r="V602" s="20">
        <v>44852</v>
      </c>
      <c r="W602" s="27"/>
    </row>
    <row r="603" spans="1:23" ht="60" hidden="1" customHeight="1" x14ac:dyDescent="0.25">
      <c r="A603" s="45" t="str">
        <f>CONCATENATE(Tabla2[[#This Row],[id_solicitud]],Tabla2[[#This Row],[tipo]])</f>
        <v>235Oficio_Solicitud</v>
      </c>
      <c r="B603" s="45">
        <f>COUNTIF($A$2:A603,A603)</f>
        <v>1</v>
      </c>
      <c r="C603" s="45" t="str">
        <f>Tabla2[[#This Row],[(id_solicitud-tipo_documento)]]&amp;B603</f>
        <v>235Oficio_Solicitud1</v>
      </c>
      <c r="D603" s="45">
        <v>604</v>
      </c>
      <c r="E603" s="45">
        <v>235</v>
      </c>
      <c r="F603" s="45" t="s">
        <v>53</v>
      </c>
      <c r="G603" s="45" t="s">
        <v>40</v>
      </c>
      <c r="H603" s="50" t="s">
        <v>8</v>
      </c>
      <c r="I603" s="51">
        <v>582</v>
      </c>
      <c r="J603" s="80"/>
      <c r="K6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582 DA</v>
      </c>
      <c r="L603" s="48">
        <v>44706</v>
      </c>
      <c r="M603" s="48">
        <v>44707</v>
      </c>
      <c r="N603" s="49" t="s">
        <v>263</v>
      </c>
      <c r="O603" s="45"/>
      <c r="P603" s="80" t="s">
        <v>513</v>
      </c>
      <c r="Q603" s="48"/>
      <c r="R603" s="45"/>
      <c r="S603" s="114"/>
      <c r="T603" s="52"/>
      <c r="U603" s="48"/>
      <c r="V603" s="48"/>
      <c r="W603" s="27"/>
    </row>
    <row r="604" spans="1:23" ht="60" hidden="1" customHeight="1" x14ac:dyDescent="0.25">
      <c r="A604" s="45" t="str">
        <f>CONCATENATE(Tabla2[[#This Row],[id_solicitud]],Tabla2[[#This Row],[tipo]])</f>
        <v>528Oficio_Solicitud</v>
      </c>
      <c r="B604" s="45">
        <f>COUNTIF($A$2:A604,A604)</f>
        <v>1</v>
      </c>
      <c r="C604" s="45" t="str">
        <f>Tabla2[[#This Row],[(id_solicitud-tipo_documento)]]&amp;B604</f>
        <v>528Oficio_Solicitud1</v>
      </c>
      <c r="D604" s="45">
        <v>605</v>
      </c>
      <c r="E604" s="45">
        <v>528</v>
      </c>
      <c r="F604" s="45" t="s">
        <v>53</v>
      </c>
      <c r="G604" s="45" t="s">
        <v>44</v>
      </c>
      <c r="H604" s="50" t="s">
        <v>35</v>
      </c>
      <c r="I604" s="51">
        <v>582</v>
      </c>
      <c r="J604" s="80"/>
      <c r="K6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582 SOP</v>
      </c>
      <c r="L604" s="48">
        <v>44860</v>
      </c>
      <c r="M604" s="48">
        <v>44860</v>
      </c>
      <c r="N604" s="49" t="s">
        <v>488</v>
      </c>
      <c r="O604" s="45"/>
      <c r="P604" s="80" t="s">
        <v>497</v>
      </c>
      <c r="Q604" s="48"/>
      <c r="R604" s="45"/>
      <c r="S604" s="114"/>
      <c r="T604" s="52"/>
      <c r="U604" s="48"/>
      <c r="V604" s="48"/>
      <c r="W604" s="27"/>
    </row>
    <row r="605" spans="1:23" ht="60" hidden="1" customHeight="1" x14ac:dyDescent="0.25">
      <c r="A605" s="45" t="str">
        <f>CONCATENATE(Tabla2[[#This Row],[id_solicitud]],Tabla2[[#This Row],[tipo]])</f>
        <v>356Proposicion</v>
      </c>
      <c r="B605" s="45">
        <f>COUNTIF($A$2:A605,A605)</f>
        <v>1</v>
      </c>
      <c r="C605" s="45" t="str">
        <f>Tabla2[[#This Row],[(id_solicitud-tipo_documento)]]&amp;B605</f>
        <v>356Proposicion1</v>
      </c>
      <c r="D605" s="45">
        <v>606</v>
      </c>
      <c r="E605" s="45">
        <v>356</v>
      </c>
      <c r="F605" s="45" t="s">
        <v>46</v>
      </c>
      <c r="G605" s="45" t="s">
        <v>60</v>
      </c>
      <c r="H605" s="50" t="s">
        <v>26</v>
      </c>
      <c r="I605" s="51">
        <v>583</v>
      </c>
      <c r="J605" s="80"/>
      <c r="K6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583 DV</v>
      </c>
      <c r="L605" s="48">
        <v>44799</v>
      </c>
      <c r="M605" s="48">
        <v>44802</v>
      </c>
      <c r="N605" s="49" t="s">
        <v>360</v>
      </c>
      <c r="O605" s="45">
        <v>1</v>
      </c>
      <c r="P605" s="80" t="s">
        <v>494</v>
      </c>
      <c r="Q605" s="24"/>
      <c r="R605" s="24" t="s">
        <v>24</v>
      </c>
      <c r="S605" s="114"/>
      <c r="T605" s="45"/>
      <c r="U605" s="48"/>
      <c r="V605" s="48"/>
      <c r="W605" s="27"/>
    </row>
    <row r="606" spans="1:23" ht="60" hidden="1" customHeight="1" x14ac:dyDescent="0.25">
      <c r="A606" s="45" t="str">
        <f>CONCATENATE(Tabla2[[#This Row],[id_solicitud]],Tabla2[[#This Row],[tipo]])</f>
        <v>348Proposicion</v>
      </c>
      <c r="B606" s="45">
        <f>COUNTIF($A$2:A606,A606)</f>
        <v>1</v>
      </c>
      <c r="C606" s="45" t="str">
        <f>Tabla2[[#This Row],[(id_solicitud-tipo_documento)]]&amp;B606</f>
        <v>348Proposicion1</v>
      </c>
      <c r="D606" s="45">
        <v>607</v>
      </c>
      <c r="E606" s="45">
        <v>348</v>
      </c>
      <c r="F606" s="45" t="s">
        <v>46</v>
      </c>
      <c r="G606" s="45" t="s">
        <v>61</v>
      </c>
      <c r="H606" s="50" t="s">
        <v>6</v>
      </c>
      <c r="I606" s="51">
        <v>584</v>
      </c>
      <c r="J606" s="80"/>
      <c r="K6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584 APR</v>
      </c>
      <c r="L606" s="48">
        <v>44799</v>
      </c>
      <c r="M606" s="48">
        <v>44802</v>
      </c>
      <c r="N606" s="49" t="s">
        <v>695</v>
      </c>
      <c r="O606" s="45">
        <f>3+38</f>
        <v>41</v>
      </c>
      <c r="P606" s="80" t="s">
        <v>494</v>
      </c>
      <c r="Q606" s="24"/>
      <c r="R606" s="24" t="s">
        <v>24</v>
      </c>
      <c r="S606" s="114"/>
      <c r="T606" s="45"/>
      <c r="U606" s="48"/>
      <c r="V606" s="48"/>
      <c r="W606" s="27"/>
    </row>
    <row r="607" spans="1:23" ht="60" hidden="1" customHeight="1" x14ac:dyDescent="0.25">
      <c r="A607" s="45" t="str">
        <f>CONCATENATE(Tabla2[[#This Row],[id_solicitud]],Tabla2[[#This Row],[tipo]])</f>
        <v>457Proposicion</v>
      </c>
      <c r="B607" s="45">
        <f>COUNTIF($A$2:A607,A607)</f>
        <v>1</v>
      </c>
      <c r="C607" s="45" t="str">
        <f>Tabla2[[#This Row],[(id_solicitud-tipo_documento)]]&amp;B607</f>
        <v>457Proposicion1</v>
      </c>
      <c r="D607" s="45">
        <v>608</v>
      </c>
      <c r="E607" s="45">
        <v>457</v>
      </c>
      <c r="F607" s="45" t="s">
        <v>46</v>
      </c>
      <c r="G607" s="45" t="s">
        <v>40</v>
      </c>
      <c r="H607" s="50" t="s">
        <v>6</v>
      </c>
      <c r="I607" s="51">
        <v>584</v>
      </c>
      <c r="J607" s="80"/>
      <c r="K6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584 APR</v>
      </c>
      <c r="L607" s="48">
        <v>44799</v>
      </c>
      <c r="M607" s="48">
        <v>44799</v>
      </c>
      <c r="N607" s="49"/>
      <c r="O607" s="45"/>
      <c r="P607" s="80" t="s">
        <v>498</v>
      </c>
      <c r="Q607" s="24"/>
      <c r="R607" s="24" t="s">
        <v>24</v>
      </c>
      <c r="S607" s="114"/>
      <c r="T607" s="45"/>
      <c r="U607" s="48"/>
      <c r="V607" s="48"/>
      <c r="W607" s="27"/>
    </row>
    <row r="608" spans="1:23" ht="60" hidden="1" customHeight="1" x14ac:dyDescent="0.25">
      <c r="A608" s="45" t="str">
        <f>CONCATENATE(Tabla2[[#This Row],[id_solicitud]],Tabla2[[#This Row],[tipo]])</f>
        <v>327Oficio_Solicitud</v>
      </c>
      <c r="B608" s="45">
        <f>COUNTIF($A$2:A608,A608)</f>
        <v>1</v>
      </c>
      <c r="C608" s="45" t="str">
        <f>Tabla2[[#This Row],[(id_solicitud-tipo_documento)]]&amp;B608</f>
        <v>327Oficio_Solicitud1</v>
      </c>
      <c r="D608" s="45">
        <v>609</v>
      </c>
      <c r="E608" s="45">
        <v>327</v>
      </c>
      <c r="F608" s="45" t="s">
        <v>53</v>
      </c>
      <c r="G608" s="45" t="s">
        <v>1261</v>
      </c>
      <c r="H608" s="50" t="s">
        <v>22</v>
      </c>
      <c r="I608" s="51">
        <v>584</v>
      </c>
      <c r="J608" s="80"/>
      <c r="K6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584 DOP</v>
      </c>
      <c r="L608" s="48">
        <v>44777</v>
      </c>
      <c r="M608" s="48">
        <v>44777</v>
      </c>
      <c r="N608" s="49" t="s">
        <v>337</v>
      </c>
      <c r="O608" s="45"/>
      <c r="P608" s="80" t="s">
        <v>501</v>
      </c>
      <c r="Q608" s="48"/>
      <c r="R608" s="45"/>
      <c r="S608" s="114"/>
      <c r="T608" s="52"/>
      <c r="U608" s="48"/>
      <c r="V608" s="48"/>
      <c r="W608" s="27"/>
    </row>
    <row r="609" spans="1:23" ht="60" hidden="1" customHeight="1" x14ac:dyDescent="0.25">
      <c r="A609" s="45" t="str">
        <f>CONCATENATE(Tabla2[[#This Row],[id_solicitud]],Tabla2[[#This Row],[tipo]])</f>
        <v>374Proposicion</v>
      </c>
      <c r="B609" s="45">
        <f>COUNTIF($A$2:A609,A609)</f>
        <v>1</v>
      </c>
      <c r="C609" s="45" t="str">
        <f>Tabla2[[#This Row],[(id_solicitud-tipo_documento)]]&amp;B609</f>
        <v>374Proposicion1</v>
      </c>
      <c r="D609" s="45">
        <v>610</v>
      </c>
      <c r="E609" s="45">
        <v>374</v>
      </c>
      <c r="F609" s="45" t="s">
        <v>46</v>
      </c>
      <c r="G609" s="45" t="s">
        <v>61</v>
      </c>
      <c r="H609" s="50" t="s">
        <v>544</v>
      </c>
      <c r="I609" s="51">
        <v>585</v>
      </c>
      <c r="J609" s="80"/>
      <c r="K6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585 DAP_FETCovid19</v>
      </c>
      <c r="L609" s="48">
        <v>44799</v>
      </c>
      <c r="M609" s="48">
        <v>44799</v>
      </c>
      <c r="N609" s="49" t="s">
        <v>373</v>
      </c>
      <c r="O609" s="45">
        <f>1+9</f>
        <v>10</v>
      </c>
      <c r="P609" s="80" t="s">
        <v>494</v>
      </c>
      <c r="Q609" s="24"/>
      <c r="R609" s="24" t="s">
        <v>24</v>
      </c>
      <c r="S609" s="114"/>
      <c r="T609" s="45"/>
      <c r="U609" s="48"/>
      <c r="V609" s="48"/>
      <c r="W609" s="27"/>
    </row>
    <row r="610" spans="1:23" ht="60" hidden="1" customHeight="1" x14ac:dyDescent="0.25">
      <c r="A610" s="45" t="str">
        <f>CONCATENATE(Tabla2[[#This Row],[id_solicitud]],Tabla2[[#This Row],[tipo]])</f>
        <v>58Oficio_Autorizacion</v>
      </c>
      <c r="B610" s="45">
        <f>COUNTIF($A$2:A610,A610)</f>
        <v>1</v>
      </c>
      <c r="C610" s="45" t="str">
        <f>Tabla2[[#This Row],[(id_solicitud-tipo_documento)]]&amp;B610</f>
        <v>58Oficio_Autorizacion1</v>
      </c>
      <c r="D610" s="45">
        <v>611</v>
      </c>
      <c r="E610" s="45">
        <v>58</v>
      </c>
      <c r="F610" s="45" t="s">
        <v>1272</v>
      </c>
      <c r="G610" s="45" t="s">
        <v>44</v>
      </c>
      <c r="H610" s="50" t="s">
        <v>24</v>
      </c>
      <c r="I610" s="51">
        <v>586</v>
      </c>
      <c r="J610" s="80"/>
      <c r="K6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610" s="48">
        <v>44621</v>
      </c>
      <c r="M610" s="48"/>
      <c r="N610" s="49" t="s">
        <v>788</v>
      </c>
      <c r="O610" s="45"/>
      <c r="P610" s="80"/>
      <c r="Q610" s="48"/>
      <c r="R610" s="45"/>
      <c r="S610" s="115">
        <v>143</v>
      </c>
      <c r="T610" s="20">
        <v>44613</v>
      </c>
      <c r="U610" s="20"/>
      <c r="V610" s="20"/>
      <c r="W610" s="27"/>
    </row>
    <row r="611" spans="1:23" ht="60" hidden="1" customHeight="1" x14ac:dyDescent="0.25">
      <c r="A611" s="45" t="str">
        <f>CONCATENATE(Tabla2[[#This Row],[id_solicitud]],Tabla2[[#This Row],[tipo]])</f>
        <v>375Proposicion</v>
      </c>
      <c r="B611" s="45">
        <f>COUNTIF($A$2:A611,A611)</f>
        <v>1</v>
      </c>
      <c r="C611" s="45" t="str">
        <f>Tabla2[[#This Row],[(id_solicitud-tipo_documento)]]&amp;B611</f>
        <v>375Proposicion1</v>
      </c>
      <c r="D611" s="45">
        <v>612</v>
      </c>
      <c r="E611" s="45">
        <v>375</v>
      </c>
      <c r="F611" s="45" t="s">
        <v>46</v>
      </c>
      <c r="G611" s="45" t="s">
        <v>1258</v>
      </c>
      <c r="H611" s="50" t="s">
        <v>10</v>
      </c>
      <c r="I611" s="51">
        <v>586</v>
      </c>
      <c r="J611" s="80"/>
      <c r="K6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586 DAP</v>
      </c>
      <c r="L611" s="48">
        <v>44799</v>
      </c>
      <c r="M611" s="48">
        <v>44799</v>
      </c>
      <c r="N611" s="49" t="s">
        <v>374</v>
      </c>
      <c r="O611" s="45">
        <v>2</v>
      </c>
      <c r="P611" s="80" t="s">
        <v>494</v>
      </c>
      <c r="Q611" s="24"/>
      <c r="R611" s="24" t="s">
        <v>24</v>
      </c>
      <c r="S611" s="114"/>
      <c r="T611" s="45"/>
      <c r="U611" s="48"/>
      <c r="V611" s="48"/>
      <c r="W611" s="27"/>
    </row>
    <row r="612" spans="1:23" ht="60" customHeight="1" x14ac:dyDescent="0.25">
      <c r="A612" s="45" t="str">
        <f>CONCATENATE(Tabla2[[#This Row],[id_solicitud]],Tabla2[[#This Row],[tipo]])</f>
        <v>240Proposicion</v>
      </c>
      <c r="B612" s="45">
        <f>COUNTIF($A$2:A612,A612)</f>
        <v>1</v>
      </c>
      <c r="C612" s="45" t="str">
        <f>Tabla2[[#This Row],[(id_solicitud-tipo_documento)]]&amp;B612</f>
        <v>240Proposicion1</v>
      </c>
      <c r="D612" s="45">
        <v>388</v>
      </c>
      <c r="E612" s="45">
        <v>240</v>
      </c>
      <c r="F612" s="45" t="s">
        <v>46</v>
      </c>
      <c r="G612" s="45" t="s">
        <v>40</v>
      </c>
      <c r="H612" s="50" t="s">
        <v>553</v>
      </c>
      <c r="I612" s="51">
        <v>373</v>
      </c>
      <c r="J612" s="80"/>
      <c r="K6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373 DCyF_FETCovid19</v>
      </c>
      <c r="L612" s="48">
        <v>44714</v>
      </c>
      <c r="M612" s="48">
        <v>44715</v>
      </c>
      <c r="N612" s="49" t="s">
        <v>663</v>
      </c>
      <c r="O612" s="45"/>
      <c r="P612" s="80" t="s">
        <v>510</v>
      </c>
      <c r="Q612" s="24"/>
      <c r="R612" s="24" t="s">
        <v>24</v>
      </c>
      <c r="S612" s="114"/>
      <c r="T612" s="45"/>
      <c r="U612" s="48"/>
      <c r="V612" s="48"/>
      <c r="W612" s="27"/>
    </row>
    <row r="613" spans="1:23" ht="60" hidden="1" customHeight="1" x14ac:dyDescent="0.25">
      <c r="A613" s="45" t="str">
        <f>CONCATENATE(Tabla2[[#This Row],[id_solicitud]],Tabla2[[#This Row],[tipo]])</f>
        <v>527Proposicion</v>
      </c>
      <c r="B613" s="45">
        <f>COUNTIF($A$2:A613,A613)</f>
        <v>1</v>
      </c>
      <c r="C613" s="45" t="str">
        <f>Tabla2[[#This Row],[(id_solicitud-tipo_documento)]]&amp;B613</f>
        <v>527Proposicion1</v>
      </c>
      <c r="D613" s="45">
        <v>614</v>
      </c>
      <c r="E613" s="45">
        <v>527</v>
      </c>
      <c r="F613" s="45" t="s">
        <v>46</v>
      </c>
      <c r="G613" s="45" t="s">
        <v>40</v>
      </c>
      <c r="H613" s="50" t="s">
        <v>26</v>
      </c>
      <c r="I613" s="51">
        <v>586</v>
      </c>
      <c r="J613" s="80"/>
      <c r="K6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586 DV</v>
      </c>
      <c r="L613" s="48">
        <v>44812</v>
      </c>
      <c r="M613" s="48">
        <v>44812</v>
      </c>
      <c r="N613" s="49" t="s">
        <v>714</v>
      </c>
      <c r="O613" s="45"/>
      <c r="P613" s="80" t="s">
        <v>494</v>
      </c>
      <c r="Q613" s="24"/>
      <c r="R613" s="24" t="s">
        <v>12</v>
      </c>
      <c r="S613" s="114"/>
      <c r="T613" s="45"/>
      <c r="U613" s="48"/>
      <c r="V613" s="48"/>
      <c r="W613" s="27"/>
    </row>
    <row r="614" spans="1:23" ht="60" hidden="1" customHeight="1" x14ac:dyDescent="0.25">
      <c r="A614" s="45" t="str">
        <f>CONCATENATE(Tabla2[[#This Row],[id_solicitud]],Tabla2[[#This Row],[tipo]])</f>
        <v>344Oficio_Solicitud</v>
      </c>
      <c r="B614" s="45">
        <f>COUNTIF($A$2:A614,A614)</f>
        <v>1</v>
      </c>
      <c r="C614" s="45" t="str">
        <f>Tabla2[[#This Row],[(id_solicitud-tipo_documento)]]&amp;B614</f>
        <v>344Oficio_Solicitud1</v>
      </c>
      <c r="D614" s="45">
        <v>615</v>
      </c>
      <c r="E614" s="45">
        <v>344</v>
      </c>
      <c r="F614" s="45" t="s">
        <v>53</v>
      </c>
      <c r="G614" s="45" t="s">
        <v>1258</v>
      </c>
      <c r="H614" s="50" t="s">
        <v>22</v>
      </c>
      <c r="I614" s="51">
        <v>589</v>
      </c>
      <c r="J614" s="80"/>
      <c r="K6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589 DOP</v>
      </c>
      <c r="L614" s="48">
        <v>44778</v>
      </c>
      <c r="M614" s="48">
        <v>44781</v>
      </c>
      <c r="N614" s="49" t="s">
        <v>349</v>
      </c>
      <c r="O614" s="45">
        <v>1</v>
      </c>
      <c r="P614" s="80" t="s">
        <v>494</v>
      </c>
      <c r="Q614" s="48"/>
      <c r="R614" s="45"/>
      <c r="S614" s="114"/>
      <c r="T614" s="52"/>
      <c r="U614" s="48"/>
      <c r="V614" s="48"/>
      <c r="W614" s="27"/>
    </row>
    <row r="615" spans="1:23" ht="60" hidden="1" customHeight="1" x14ac:dyDescent="0.25">
      <c r="A615" s="45" t="str">
        <f>CONCATENATE(Tabla2[[#This Row],[id_solicitud]],Tabla2[[#This Row],[tipo]])</f>
        <v>380Proposicion</v>
      </c>
      <c r="B615" s="45">
        <f>COUNTIF($A$2:A615,A615)</f>
        <v>1</v>
      </c>
      <c r="C615" s="45" t="str">
        <f>Tabla2[[#This Row],[(id_solicitud-tipo_documento)]]&amp;B615</f>
        <v>380Proposicion1</v>
      </c>
      <c r="D615" s="45">
        <v>616</v>
      </c>
      <c r="E615" s="45">
        <v>380</v>
      </c>
      <c r="F615" s="45" t="s">
        <v>46</v>
      </c>
      <c r="G615" s="45" t="s">
        <v>44</v>
      </c>
      <c r="H615" s="50" t="s">
        <v>16</v>
      </c>
      <c r="I615" s="51">
        <v>591</v>
      </c>
      <c r="J615" s="80"/>
      <c r="K6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591 DGC</v>
      </c>
      <c r="L615" s="48">
        <v>44803</v>
      </c>
      <c r="M615" s="48">
        <v>44803</v>
      </c>
      <c r="N615" s="49" t="s">
        <v>377</v>
      </c>
      <c r="O615" s="45"/>
      <c r="P615" s="80" t="s">
        <v>498</v>
      </c>
      <c r="Q615" s="24"/>
      <c r="R615" s="24" t="s">
        <v>24</v>
      </c>
      <c r="S615" s="114"/>
      <c r="T615" s="45"/>
      <c r="U615" s="48"/>
      <c r="V615" s="48"/>
      <c r="W615" s="27"/>
    </row>
    <row r="616" spans="1:23" ht="60" hidden="1" customHeight="1" x14ac:dyDescent="0.25">
      <c r="A616" s="45" t="str">
        <f>CONCATENATE(Tabla2[[#This Row],[id_solicitud]],Tabla2[[#This Row],[tipo]])</f>
        <v>1Oficio_Solicitud</v>
      </c>
      <c r="B616" s="45">
        <f>COUNTIF($A$2:A616,A616)</f>
        <v>1</v>
      </c>
      <c r="C616" s="45" t="str">
        <f>Tabla2[[#This Row],[(id_solicitud-tipo_documento)]]&amp;B616</f>
        <v>1Oficio_Solicitud1</v>
      </c>
      <c r="D616" s="45">
        <v>617</v>
      </c>
      <c r="E616" s="45">
        <v>1</v>
      </c>
      <c r="F616" s="45" t="s">
        <v>53</v>
      </c>
      <c r="G616" s="45" t="s">
        <v>43</v>
      </c>
      <c r="H616" s="50" t="s">
        <v>544</v>
      </c>
      <c r="I616" s="51">
        <v>594</v>
      </c>
      <c r="J616" s="80"/>
      <c r="K6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594 DAP_FETCovid19</v>
      </c>
      <c r="L616" s="48">
        <v>44524</v>
      </c>
      <c r="M616" s="48">
        <v>44524</v>
      </c>
      <c r="N616" s="49" t="s">
        <v>69</v>
      </c>
      <c r="O616" s="45">
        <f>5+28</f>
        <v>33</v>
      </c>
      <c r="P616" s="80" t="s">
        <v>494</v>
      </c>
      <c r="Q616" s="20"/>
      <c r="R616" s="45"/>
      <c r="S616" s="114"/>
      <c r="T616" s="52"/>
      <c r="U616" s="48"/>
      <c r="V616" s="48"/>
      <c r="W616" s="27"/>
    </row>
    <row r="617" spans="1:23" ht="60" hidden="1" customHeight="1" x14ac:dyDescent="0.25">
      <c r="A617" s="45" t="str">
        <f>CONCATENATE(Tabla2[[#This Row],[id_solicitud]],Tabla2[[#This Row],[tipo]])</f>
        <v>53Oficio_Solicitud</v>
      </c>
      <c r="B617" s="45">
        <f>COUNTIF($A$2:A617,A617)</f>
        <v>1</v>
      </c>
      <c r="C617" s="45" t="str">
        <f>Tabla2[[#This Row],[(id_solicitud-tipo_documento)]]&amp;B617</f>
        <v>53Oficio_Solicitud1</v>
      </c>
      <c r="D617" s="45">
        <v>618</v>
      </c>
      <c r="E617" s="45">
        <v>53</v>
      </c>
      <c r="F617" s="45" t="s">
        <v>53</v>
      </c>
      <c r="G617" s="45" t="s">
        <v>43</v>
      </c>
      <c r="H617" s="50" t="s">
        <v>544</v>
      </c>
      <c r="I617" s="51">
        <v>591</v>
      </c>
      <c r="J617" s="80"/>
      <c r="K6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591 DAP_FETCovid19</v>
      </c>
      <c r="L617" s="48">
        <v>44524</v>
      </c>
      <c r="M617" s="48">
        <v>44524</v>
      </c>
      <c r="N617" s="49" t="s">
        <v>69</v>
      </c>
      <c r="O617" s="45">
        <f>5+28</f>
        <v>33</v>
      </c>
      <c r="P617" s="80" t="s">
        <v>494</v>
      </c>
      <c r="Q617" s="48"/>
      <c r="R617" s="45"/>
      <c r="S617" s="114"/>
      <c r="T617" s="52"/>
      <c r="U617" s="48"/>
      <c r="V617" s="48"/>
      <c r="W617" s="27"/>
    </row>
    <row r="618" spans="1:23" ht="60" hidden="1" customHeight="1" x14ac:dyDescent="0.25">
      <c r="A618" s="45" t="str">
        <f>CONCATENATE(Tabla2[[#This Row],[id_solicitud]],Tabla2[[#This Row],[tipo]])</f>
        <v>54Oficio_Solicitud</v>
      </c>
      <c r="B618" s="45">
        <f>COUNTIF($A$2:A618,A618)</f>
        <v>1</v>
      </c>
      <c r="C618" s="45" t="str">
        <f>Tabla2[[#This Row],[(id_solicitud-tipo_documento)]]&amp;B618</f>
        <v>54Oficio_Solicitud1</v>
      </c>
      <c r="D618" s="45">
        <v>619</v>
      </c>
      <c r="E618" s="45">
        <v>54</v>
      </c>
      <c r="F618" s="45" t="s">
        <v>53</v>
      </c>
      <c r="G618" s="45" t="s">
        <v>43</v>
      </c>
      <c r="H618" s="50" t="s">
        <v>10</v>
      </c>
      <c r="I618" s="51">
        <v>591</v>
      </c>
      <c r="J618" s="80"/>
      <c r="K6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591 DAP</v>
      </c>
      <c r="L618" s="48">
        <v>44524</v>
      </c>
      <c r="M618" s="48">
        <v>44524</v>
      </c>
      <c r="N618" s="49" t="s">
        <v>69</v>
      </c>
      <c r="O618" s="45">
        <v>1</v>
      </c>
      <c r="P618" s="80" t="s">
        <v>494</v>
      </c>
      <c r="Q618" s="48"/>
      <c r="R618" s="45"/>
      <c r="S618" s="114"/>
      <c r="T618" s="52"/>
      <c r="U618" s="48"/>
      <c r="V618" s="48"/>
      <c r="W618" s="27"/>
    </row>
    <row r="619" spans="1:23" ht="60" hidden="1" customHeight="1" x14ac:dyDescent="0.25">
      <c r="A619" s="45" t="str">
        <f>CONCATENATE(Tabla2[[#This Row],[id_solicitud]],Tabla2[[#This Row],[tipo]])</f>
        <v>2Oficio_Solicitud</v>
      </c>
      <c r="B619" s="45">
        <f>COUNTIF($A$2:A619,A619)</f>
        <v>1</v>
      </c>
      <c r="C619" s="45" t="str">
        <f>Tabla2[[#This Row],[(id_solicitud-tipo_documento)]]&amp;B619</f>
        <v>2Oficio_Solicitud1</v>
      </c>
      <c r="D619" s="45">
        <v>620</v>
      </c>
      <c r="E619" s="45">
        <v>2</v>
      </c>
      <c r="F619" s="45" t="s">
        <v>53</v>
      </c>
      <c r="G619" s="45" t="s">
        <v>43</v>
      </c>
      <c r="H619" s="50" t="s">
        <v>10</v>
      </c>
      <c r="I619" s="51">
        <v>592</v>
      </c>
      <c r="J619" s="80"/>
      <c r="K6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592 DAP</v>
      </c>
      <c r="L619" s="48">
        <v>44524</v>
      </c>
      <c r="M619" s="48">
        <v>44524</v>
      </c>
      <c r="N619" s="49" t="s">
        <v>70</v>
      </c>
      <c r="O619" s="45">
        <f>1+44</f>
        <v>45</v>
      </c>
      <c r="P619" s="80" t="s">
        <v>494</v>
      </c>
      <c r="Q619" s="48"/>
      <c r="R619" s="45"/>
      <c r="S619" s="114"/>
      <c r="T619" s="52"/>
      <c r="U619" s="48"/>
      <c r="V619" s="48"/>
      <c r="W619" s="27"/>
    </row>
    <row r="620" spans="1:23" ht="60" hidden="1" customHeight="1" x14ac:dyDescent="0.25">
      <c r="A620" s="45" t="str">
        <f>CONCATENATE(Tabla2[[#This Row],[id_solicitud]],Tabla2[[#This Row],[tipo]])</f>
        <v>347Decreto</v>
      </c>
      <c r="B620" s="45">
        <f>COUNTIF($A$2:A620,A620)</f>
        <v>1</v>
      </c>
      <c r="C620" s="45" t="str">
        <f>Tabla2[[#This Row],[(id_solicitud-tipo_documento)]]&amp;B620</f>
        <v>347Decreto1</v>
      </c>
      <c r="D620" s="45">
        <v>621</v>
      </c>
      <c r="E620" s="45">
        <v>347</v>
      </c>
      <c r="F620" s="45" t="s">
        <v>47</v>
      </c>
      <c r="G620" s="45" t="s">
        <v>64</v>
      </c>
      <c r="H620" s="50" t="s">
        <v>6</v>
      </c>
      <c r="I620" s="51">
        <v>1672</v>
      </c>
      <c r="J620" s="80"/>
      <c r="K6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1672 APR</v>
      </c>
      <c r="L620" s="48">
        <v>44846</v>
      </c>
      <c r="M620" s="48"/>
      <c r="N620" s="49" t="s">
        <v>930</v>
      </c>
      <c r="O620" s="45"/>
      <c r="P620" s="80"/>
      <c r="Q620" s="48"/>
      <c r="R620" s="45"/>
      <c r="S620" s="115">
        <v>944</v>
      </c>
      <c r="T620" s="20">
        <v>44826</v>
      </c>
      <c r="U620" s="20">
        <v>44861</v>
      </c>
      <c r="V620" s="20">
        <v>44861</v>
      </c>
      <c r="W620" s="27"/>
    </row>
    <row r="621" spans="1:23" ht="60" hidden="1" customHeight="1" x14ac:dyDescent="0.25">
      <c r="A621" s="45" t="str">
        <f>CONCATENATE(Tabla2[[#This Row],[id_solicitud]],Tabla2[[#This Row],[tipo]])</f>
        <v>347Decreto</v>
      </c>
      <c r="B621" s="45">
        <f>COUNTIF($A$2:A621,A621)</f>
        <v>2</v>
      </c>
      <c r="C621" s="45" t="str">
        <f>Tabla2[[#This Row],[(id_solicitud-tipo_documento)]]&amp;B621</f>
        <v>347Decreto2</v>
      </c>
      <c r="D621" s="45">
        <v>622</v>
      </c>
      <c r="E621" s="45">
        <v>347</v>
      </c>
      <c r="F621" s="45" t="s">
        <v>47</v>
      </c>
      <c r="G621" s="45" t="s">
        <v>64</v>
      </c>
      <c r="H621" s="50" t="s">
        <v>6</v>
      </c>
      <c r="I621" s="51">
        <v>1676</v>
      </c>
      <c r="J621" s="80"/>
      <c r="K6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1676 APR</v>
      </c>
      <c r="L621" s="48">
        <v>44846</v>
      </c>
      <c r="M621" s="48"/>
      <c r="N621" s="49" t="s">
        <v>993</v>
      </c>
      <c r="O621" s="45"/>
      <c r="P621" s="80"/>
      <c r="Q621" s="48"/>
      <c r="R621" s="45"/>
      <c r="S621" s="115">
        <v>945</v>
      </c>
      <c r="T621" s="20">
        <v>44826</v>
      </c>
      <c r="U621" s="20">
        <v>44852</v>
      </c>
      <c r="V621" s="20">
        <v>44852</v>
      </c>
      <c r="W621" s="27"/>
    </row>
    <row r="622" spans="1:23" ht="60" hidden="1" customHeight="1" x14ac:dyDescent="0.25">
      <c r="A622" s="45" t="str">
        <f>CONCATENATE(Tabla2[[#This Row],[id_solicitud]],Tabla2[[#This Row],[tipo]])</f>
        <v>92Decreto</v>
      </c>
      <c r="B622" s="45">
        <f>COUNTIF($A$2:A622,A622)</f>
        <v>1</v>
      </c>
      <c r="C622" s="45" t="str">
        <f>Tabla2[[#This Row],[(id_solicitud-tipo_documento)]]&amp;B622</f>
        <v>92Decreto1</v>
      </c>
      <c r="D622" s="45">
        <v>623</v>
      </c>
      <c r="E622" s="45">
        <v>92</v>
      </c>
      <c r="F622" s="45" t="s">
        <v>47</v>
      </c>
      <c r="G622" s="45" t="s">
        <v>40</v>
      </c>
      <c r="H622" s="50" t="s">
        <v>28</v>
      </c>
      <c r="I622" s="51">
        <v>595</v>
      </c>
      <c r="J622" s="80"/>
      <c r="K6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595 FISC</v>
      </c>
      <c r="L622" s="48">
        <v>44677</v>
      </c>
      <c r="M622" s="48"/>
      <c r="N622" s="49" t="s">
        <v>812</v>
      </c>
      <c r="O622" s="45"/>
      <c r="P622" s="80"/>
      <c r="Q622" s="48"/>
      <c r="R622" s="45"/>
      <c r="S622" s="115">
        <v>223</v>
      </c>
      <c r="T622" s="20">
        <v>44659</v>
      </c>
      <c r="U622" s="20">
        <v>44685</v>
      </c>
      <c r="V622" s="20">
        <v>44685</v>
      </c>
      <c r="W622" s="27"/>
    </row>
    <row r="623" spans="1:23" ht="60" hidden="1" customHeight="1" x14ac:dyDescent="0.25">
      <c r="A623" s="45" t="str">
        <f>CONCATENATE(Tabla2[[#This Row],[id_solicitud]],Tabla2[[#This Row],[tipo]])</f>
        <v>372Proposicion</v>
      </c>
      <c r="B623" s="45">
        <f>COUNTIF($A$2:A623,A623)</f>
        <v>1</v>
      </c>
      <c r="C623" s="45" t="str">
        <f>Tabla2[[#This Row],[(id_solicitud-tipo_documento)]]&amp;B623</f>
        <v>372Proposicion1</v>
      </c>
      <c r="D623" s="45">
        <v>624</v>
      </c>
      <c r="E623" s="45">
        <v>372</v>
      </c>
      <c r="F623" s="45" t="s">
        <v>46</v>
      </c>
      <c r="G623" s="45" t="s">
        <v>40</v>
      </c>
      <c r="H623" s="50" t="s">
        <v>8</v>
      </c>
      <c r="I623" s="51">
        <v>595</v>
      </c>
      <c r="J623" s="80"/>
      <c r="K6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595 DA</v>
      </c>
      <c r="L623" s="48">
        <v>44803</v>
      </c>
      <c r="M623" s="48">
        <v>44803</v>
      </c>
      <c r="N623" s="49" t="s">
        <v>371</v>
      </c>
      <c r="O623" s="45"/>
      <c r="P623" s="80" t="s">
        <v>501</v>
      </c>
      <c r="Q623" s="24"/>
      <c r="R623" s="24" t="s">
        <v>24</v>
      </c>
      <c r="S623" s="114"/>
      <c r="T623" s="45"/>
      <c r="U623" s="48"/>
      <c r="V623" s="48"/>
      <c r="W623" s="27"/>
    </row>
    <row r="624" spans="1:23" ht="60" hidden="1" customHeight="1" x14ac:dyDescent="0.25">
      <c r="A624" s="45" t="str">
        <f>CONCATENATE(Tabla2[[#This Row],[id_solicitud]],Tabla2[[#This Row],[tipo]])</f>
        <v>118Oficio_Solicitud</v>
      </c>
      <c r="B624" s="45">
        <f>COUNTIF($A$2:A624,A624)</f>
        <v>1</v>
      </c>
      <c r="C624" s="45" t="str">
        <f>Tabla2[[#This Row],[(id_solicitud-tipo_documento)]]&amp;B624</f>
        <v>118Oficio_Solicitud1</v>
      </c>
      <c r="D624" s="45">
        <v>625</v>
      </c>
      <c r="E624" s="45">
        <v>118</v>
      </c>
      <c r="F624" s="45" t="s">
        <v>53</v>
      </c>
      <c r="G624" s="45" t="s">
        <v>1258</v>
      </c>
      <c r="H624" s="50" t="s">
        <v>20</v>
      </c>
      <c r="I624" s="51">
        <v>595</v>
      </c>
      <c r="J624" s="80"/>
      <c r="K6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595 DOH</v>
      </c>
      <c r="L624" s="48">
        <v>44634</v>
      </c>
      <c r="M624" s="48">
        <v>44634</v>
      </c>
      <c r="N624" s="49" t="s">
        <v>165</v>
      </c>
      <c r="O624" s="45">
        <v>1</v>
      </c>
      <c r="P624" s="80" t="s">
        <v>494</v>
      </c>
      <c r="Q624" s="48"/>
      <c r="R624" s="45"/>
      <c r="S624" s="114"/>
      <c r="T624" s="52"/>
      <c r="U624" s="48"/>
      <c r="V624" s="48"/>
      <c r="W624" s="27"/>
    </row>
    <row r="625" spans="1:23" ht="60" hidden="1" customHeight="1" x14ac:dyDescent="0.25">
      <c r="A625" s="45" t="str">
        <f>CONCATENATE(Tabla2[[#This Row],[id_solicitud]],Tabla2[[#This Row],[tipo]])</f>
        <v>373Proposicion</v>
      </c>
      <c r="B625" s="45">
        <f>COUNTIF($A$2:A625,A625)</f>
        <v>1</v>
      </c>
      <c r="C625" s="45" t="str">
        <f>Tabla2[[#This Row],[(id_solicitud-tipo_documento)]]&amp;B625</f>
        <v>373Proposicion1</v>
      </c>
      <c r="D625" s="45">
        <v>626</v>
      </c>
      <c r="E625" s="45">
        <v>373</v>
      </c>
      <c r="F625" s="45" t="s">
        <v>46</v>
      </c>
      <c r="G625" s="45" t="s">
        <v>60</v>
      </c>
      <c r="H625" s="50" t="s">
        <v>595</v>
      </c>
      <c r="I625" s="51">
        <v>596</v>
      </c>
      <c r="J625" s="80"/>
      <c r="K6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596 DGC-DOH</v>
      </c>
      <c r="L625" s="48">
        <v>44803</v>
      </c>
      <c r="M625" s="48">
        <v>44803</v>
      </c>
      <c r="N625" s="49" t="s">
        <v>372</v>
      </c>
      <c r="O625" s="45">
        <v>56</v>
      </c>
      <c r="P625" s="80" t="s">
        <v>494</v>
      </c>
      <c r="Q625" s="24"/>
      <c r="R625" s="24" t="s">
        <v>24</v>
      </c>
      <c r="S625" s="114"/>
      <c r="T625" s="45"/>
      <c r="U625" s="48"/>
      <c r="V625" s="48"/>
      <c r="W625" s="27"/>
    </row>
    <row r="626" spans="1:23" ht="60" hidden="1" customHeight="1" x14ac:dyDescent="0.25">
      <c r="A626" s="45" t="str">
        <f>CONCATENATE(Tabla2[[#This Row],[id_solicitud]],Tabla2[[#This Row],[tipo]])</f>
        <v>119Oficio_Solicitud</v>
      </c>
      <c r="B626" s="45">
        <f>COUNTIF($A$2:A626,A626)</f>
        <v>1</v>
      </c>
      <c r="C626" s="45" t="str">
        <f>Tabla2[[#This Row],[(id_solicitud-tipo_documento)]]&amp;B626</f>
        <v>119Oficio_Solicitud1</v>
      </c>
      <c r="D626" s="45">
        <v>627</v>
      </c>
      <c r="E626" s="45">
        <v>119</v>
      </c>
      <c r="F626" s="45" t="s">
        <v>53</v>
      </c>
      <c r="G626" s="45" t="s">
        <v>1258</v>
      </c>
      <c r="H626" s="50" t="s">
        <v>535</v>
      </c>
      <c r="I626" s="51">
        <v>596</v>
      </c>
      <c r="J626" s="80"/>
      <c r="K6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596 DOH_FETCovid19</v>
      </c>
      <c r="L626" s="48">
        <v>44634</v>
      </c>
      <c r="M626" s="48">
        <v>44634</v>
      </c>
      <c r="N626" s="49" t="s">
        <v>166</v>
      </c>
      <c r="O626" s="45">
        <v>2</v>
      </c>
      <c r="P626" s="80" t="s">
        <v>494</v>
      </c>
      <c r="Q626" s="48"/>
      <c r="R626" s="45"/>
      <c r="S626" s="114"/>
      <c r="T626" s="52"/>
      <c r="U626" s="48"/>
      <c r="V626" s="48"/>
      <c r="W626" s="27"/>
    </row>
    <row r="627" spans="1:23" ht="60" hidden="1" customHeight="1" x14ac:dyDescent="0.25">
      <c r="A627" s="45" t="str">
        <f>CONCATENATE(Tabla2[[#This Row],[id_solicitud]],Tabla2[[#This Row],[tipo]])</f>
        <v>117Oficio_Solicitud</v>
      </c>
      <c r="B627" s="45">
        <f>COUNTIF($A$2:A627,A627)</f>
        <v>1</v>
      </c>
      <c r="C627" s="45" t="str">
        <f>Tabla2[[#This Row],[(id_solicitud-tipo_documento)]]&amp;B627</f>
        <v>117Oficio_Solicitud1</v>
      </c>
      <c r="D627" s="45">
        <v>628</v>
      </c>
      <c r="E627" s="45">
        <v>117</v>
      </c>
      <c r="F627" s="45" t="s">
        <v>53</v>
      </c>
      <c r="G627" s="45" t="s">
        <v>1258</v>
      </c>
      <c r="H627" s="50" t="s">
        <v>559</v>
      </c>
      <c r="I627" s="51">
        <v>597</v>
      </c>
      <c r="J627" s="80"/>
      <c r="K6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597 APR_FETCovid19</v>
      </c>
      <c r="L627" s="48">
        <v>44634</v>
      </c>
      <c r="M627" s="48">
        <v>44634</v>
      </c>
      <c r="N627" s="49" t="s">
        <v>164</v>
      </c>
      <c r="O627" s="45">
        <v>3</v>
      </c>
      <c r="P627" s="80" t="s">
        <v>494</v>
      </c>
      <c r="Q627" s="48"/>
      <c r="R627" s="45"/>
      <c r="S627" s="114"/>
      <c r="T627" s="52"/>
      <c r="U627" s="48"/>
      <c r="V627" s="48"/>
      <c r="W627" s="27"/>
    </row>
    <row r="628" spans="1:23" ht="60" hidden="1" customHeight="1" x14ac:dyDescent="0.25">
      <c r="A628" s="45" t="str">
        <f>CONCATENATE(Tabla2[[#This Row],[id_solicitud]],Tabla2[[#This Row],[tipo]])</f>
        <v>413Proposicion</v>
      </c>
      <c r="B628" s="45">
        <f>COUNTIF($A$2:A628,A628)</f>
        <v>1</v>
      </c>
      <c r="C628" s="45" t="str">
        <f>Tabla2[[#This Row],[(id_solicitud-tipo_documento)]]&amp;B628</f>
        <v>413Proposicion1</v>
      </c>
      <c r="D628" s="45">
        <v>629</v>
      </c>
      <c r="E628" s="45">
        <v>413</v>
      </c>
      <c r="F628" s="45" t="s">
        <v>46</v>
      </c>
      <c r="G628" s="45" t="s">
        <v>59</v>
      </c>
      <c r="H628" s="50" t="s">
        <v>601</v>
      </c>
      <c r="I628" s="51">
        <v>602</v>
      </c>
      <c r="J628" s="80"/>
      <c r="K6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602 DGOP-DP</v>
      </c>
      <c r="L628" s="48">
        <v>44813</v>
      </c>
      <c r="M628" s="48">
        <v>44814</v>
      </c>
      <c r="N628" s="49" t="s">
        <v>716</v>
      </c>
      <c r="O628" s="45"/>
      <c r="P628" s="80" t="s">
        <v>522</v>
      </c>
      <c r="Q628" s="24"/>
      <c r="R628" s="24" t="s">
        <v>12</v>
      </c>
      <c r="S628" s="114"/>
      <c r="T628" s="45"/>
      <c r="U628" s="48"/>
      <c r="V628" s="48"/>
      <c r="W628" s="27"/>
    </row>
    <row r="629" spans="1:23" ht="60" hidden="1" customHeight="1" x14ac:dyDescent="0.25">
      <c r="A629" s="45" t="str">
        <f>CONCATENATE(Tabla2[[#This Row],[id_solicitud]],Tabla2[[#This Row],[tipo]])</f>
        <v>412Proposicion</v>
      </c>
      <c r="B629" s="45">
        <f>COUNTIF($A$2:A629,A629)</f>
        <v>1</v>
      </c>
      <c r="C629" s="45" t="str">
        <f>Tabla2[[#This Row],[(id_solicitud-tipo_documento)]]&amp;B629</f>
        <v>412Proposicion1</v>
      </c>
      <c r="D629" s="45">
        <v>630</v>
      </c>
      <c r="E629" s="45">
        <v>412</v>
      </c>
      <c r="F629" s="45" t="s">
        <v>46</v>
      </c>
      <c r="G629" s="45"/>
      <c r="H629" s="50" t="s">
        <v>26</v>
      </c>
      <c r="I629" s="51">
        <v>604</v>
      </c>
      <c r="J629" s="80"/>
      <c r="K6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604 DV</v>
      </c>
      <c r="L629" s="48">
        <v>44817</v>
      </c>
      <c r="M629" s="48">
        <v>44817</v>
      </c>
      <c r="N629" s="49" t="s">
        <v>715</v>
      </c>
      <c r="O629" s="45"/>
      <c r="P629" s="80" t="s">
        <v>497</v>
      </c>
      <c r="Q629" s="24"/>
      <c r="R629" s="24" t="s">
        <v>12</v>
      </c>
      <c r="S629" s="114"/>
      <c r="T629" s="45"/>
      <c r="U629" s="48"/>
      <c r="V629" s="48"/>
      <c r="W629" s="27"/>
    </row>
    <row r="630" spans="1:23" ht="60" hidden="1" customHeight="1" x14ac:dyDescent="0.25">
      <c r="A630" s="45" t="str">
        <f>CONCATENATE(Tabla2[[#This Row],[id_solicitud]],Tabla2[[#This Row],[tipo]])</f>
        <v>64Decreto</v>
      </c>
      <c r="B630" s="45">
        <f>COUNTIF($A$2:A630,A630)</f>
        <v>1</v>
      </c>
      <c r="C630" s="45" t="str">
        <f>Tabla2[[#This Row],[(id_solicitud-tipo_documento)]]&amp;B630</f>
        <v>64Decreto1</v>
      </c>
      <c r="D630" s="45">
        <v>631</v>
      </c>
      <c r="E630" s="45">
        <v>64</v>
      </c>
      <c r="F630" s="45" t="s">
        <v>47</v>
      </c>
      <c r="G630" s="45" t="s">
        <v>60</v>
      </c>
      <c r="H630" s="50" t="s">
        <v>6</v>
      </c>
      <c r="I630" s="51">
        <v>605</v>
      </c>
      <c r="J630" s="80"/>
      <c r="K6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605 APR</v>
      </c>
      <c r="L630" s="48">
        <v>44677</v>
      </c>
      <c r="M630" s="48"/>
      <c r="N630" s="49" t="s">
        <v>793</v>
      </c>
      <c r="O630" s="45"/>
      <c r="P630" s="80"/>
      <c r="Q630" s="48"/>
      <c r="R630" s="45"/>
      <c r="S630" s="115">
        <v>211</v>
      </c>
      <c r="T630" s="20">
        <v>44669</v>
      </c>
      <c r="U630" s="20">
        <v>44691</v>
      </c>
      <c r="V630" s="20">
        <v>44691</v>
      </c>
      <c r="W630" s="27"/>
    </row>
    <row r="631" spans="1:23" ht="60" hidden="1" customHeight="1" x14ac:dyDescent="0.25">
      <c r="A631" s="45" t="str">
        <f>CONCATENATE(Tabla2[[#This Row],[id_solicitud]],Tabla2[[#This Row],[tipo]])</f>
        <v>165Resolucion</v>
      </c>
      <c r="B631" s="45">
        <f>COUNTIF($A$2:A631,A631)</f>
        <v>1</v>
      </c>
      <c r="C631" s="45" t="str">
        <f>Tabla2[[#This Row],[(id_solicitud-tipo_documento)]]&amp;B631</f>
        <v>165Resolucion1</v>
      </c>
      <c r="D631" s="45">
        <v>632</v>
      </c>
      <c r="E631" s="45">
        <v>165</v>
      </c>
      <c r="F631" s="45" t="s">
        <v>48</v>
      </c>
      <c r="G631" s="45"/>
      <c r="H631" s="50" t="s">
        <v>22</v>
      </c>
      <c r="I631" s="51">
        <v>605</v>
      </c>
      <c r="J631" s="80"/>
      <c r="K6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631" s="48">
        <v>44707</v>
      </c>
      <c r="M631" s="48"/>
      <c r="N631" s="49"/>
      <c r="O631" s="45"/>
      <c r="P631" s="80"/>
      <c r="Q631" s="48"/>
      <c r="R631" s="45"/>
      <c r="S631" s="114"/>
      <c r="T631" s="45"/>
      <c r="U631" s="48"/>
      <c r="V631" s="48"/>
      <c r="W631" s="27"/>
    </row>
    <row r="632" spans="1:23" ht="60" hidden="1" customHeight="1" x14ac:dyDescent="0.25">
      <c r="A632" s="45" t="str">
        <f>CONCATENATE(Tabla2[[#This Row],[id_solicitud]],Tabla2[[#This Row],[tipo]])</f>
        <v>395Proposicion</v>
      </c>
      <c r="B632" s="45">
        <f>COUNTIF($A$2:A632,A632)</f>
        <v>1</v>
      </c>
      <c r="C632" s="45" t="str">
        <f>Tabla2[[#This Row],[(id_solicitud-tipo_documento)]]&amp;B632</f>
        <v>395Proposicion1</v>
      </c>
      <c r="D632" s="45">
        <v>633</v>
      </c>
      <c r="E632" s="45">
        <v>395</v>
      </c>
      <c r="F632" s="45" t="s">
        <v>46</v>
      </c>
      <c r="G632" s="45" t="s">
        <v>44</v>
      </c>
      <c r="H632" s="50" t="s">
        <v>22</v>
      </c>
      <c r="I632" s="51">
        <v>605</v>
      </c>
      <c r="J632" s="80"/>
      <c r="K6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605 DOP</v>
      </c>
      <c r="L632" s="48">
        <v>44774</v>
      </c>
      <c r="M632" s="48">
        <v>44775</v>
      </c>
      <c r="N632" s="49" t="s">
        <v>709</v>
      </c>
      <c r="O632" s="45"/>
      <c r="P632" s="80" t="s">
        <v>498</v>
      </c>
      <c r="Q632" s="24"/>
      <c r="R632" s="24" t="s">
        <v>24</v>
      </c>
      <c r="S632" s="114"/>
      <c r="T632" s="45"/>
      <c r="U632" s="48"/>
      <c r="V632" s="48"/>
      <c r="W632" s="27"/>
    </row>
    <row r="633" spans="1:23" ht="60" hidden="1" customHeight="1" x14ac:dyDescent="0.25">
      <c r="A633" s="45" t="str">
        <f>CONCATENATE(Tabla2[[#This Row],[id_solicitud]],Tabla2[[#This Row],[tipo]])</f>
        <v>6Oficio_Solicitud</v>
      </c>
      <c r="B633" s="45">
        <f>COUNTIF($A$2:A633,A633)</f>
        <v>1</v>
      </c>
      <c r="C633" s="45" t="str">
        <f>Tabla2[[#This Row],[(id_solicitud-tipo_documento)]]&amp;B633</f>
        <v>6Oficio_Solicitud1</v>
      </c>
      <c r="D633" s="45">
        <v>634</v>
      </c>
      <c r="E633" s="45">
        <v>6</v>
      </c>
      <c r="F633" s="45" t="s">
        <v>53</v>
      </c>
      <c r="G633" s="45" t="s">
        <v>43</v>
      </c>
      <c r="H633" s="50" t="s">
        <v>10</v>
      </c>
      <c r="I633" s="51">
        <v>606</v>
      </c>
      <c r="J633" s="80"/>
      <c r="K6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606 DAP</v>
      </c>
      <c r="L633" s="48">
        <v>44531</v>
      </c>
      <c r="M633" s="48">
        <v>44532</v>
      </c>
      <c r="N633" s="49" t="s">
        <v>74</v>
      </c>
      <c r="O633" s="45">
        <v>1</v>
      </c>
      <c r="P633" s="80" t="s">
        <v>494</v>
      </c>
      <c r="Q633" s="48"/>
      <c r="R633" s="45"/>
      <c r="S633" s="114"/>
      <c r="T633" s="52"/>
      <c r="U633" s="48"/>
      <c r="V633" s="48"/>
      <c r="W633" s="27"/>
    </row>
    <row r="634" spans="1:23" ht="60" hidden="1" customHeight="1" x14ac:dyDescent="0.25">
      <c r="A634" s="45" t="str">
        <f>CONCATENATE(Tabla2[[#This Row],[id_solicitud]],Tabla2[[#This Row],[tipo]])</f>
        <v>64Decreto</v>
      </c>
      <c r="B634" s="45">
        <f>COUNTIF($A$2:A634,A634)</f>
        <v>2</v>
      </c>
      <c r="C634" s="45" t="str">
        <f>Tabla2[[#This Row],[(id_solicitud-tipo_documento)]]&amp;B634</f>
        <v>64Decreto2</v>
      </c>
      <c r="D634" s="45">
        <v>635</v>
      </c>
      <c r="E634" s="45">
        <v>64</v>
      </c>
      <c r="F634" s="45" t="s">
        <v>47</v>
      </c>
      <c r="G634" s="45" t="s">
        <v>40</v>
      </c>
      <c r="H634" s="50" t="s">
        <v>6</v>
      </c>
      <c r="I634" s="51">
        <v>607</v>
      </c>
      <c r="J634" s="80"/>
      <c r="K6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607 APR</v>
      </c>
      <c r="L634" s="48">
        <v>44677</v>
      </c>
      <c r="M634" s="48"/>
      <c r="N634" s="49" t="s">
        <v>252</v>
      </c>
      <c r="O634" s="45"/>
      <c r="P634" s="80"/>
      <c r="Q634" s="48"/>
      <c r="R634" s="45"/>
      <c r="S634" s="115">
        <v>210</v>
      </c>
      <c r="T634" s="20">
        <v>44669</v>
      </c>
      <c r="U634" s="20">
        <v>44691</v>
      </c>
      <c r="V634" s="20">
        <v>44691</v>
      </c>
      <c r="W634" s="27"/>
    </row>
    <row r="635" spans="1:23" ht="60" hidden="1" customHeight="1" x14ac:dyDescent="0.25">
      <c r="A635" s="45" t="str">
        <f>CONCATENATE(Tabla2[[#This Row],[id_solicitud]],Tabla2[[#This Row],[tipo]])</f>
        <v>376Proposicion</v>
      </c>
      <c r="B635" s="45">
        <f>COUNTIF($A$2:A635,A635)</f>
        <v>1</v>
      </c>
      <c r="C635" s="45" t="str">
        <f>Tabla2[[#This Row],[(id_solicitud-tipo_documento)]]&amp;B635</f>
        <v>376Proposicion1</v>
      </c>
      <c r="D635" s="45">
        <v>636</v>
      </c>
      <c r="E635" s="45">
        <v>376</v>
      </c>
      <c r="F635" s="45" t="s">
        <v>46</v>
      </c>
      <c r="G635" s="45" t="s">
        <v>60</v>
      </c>
      <c r="H635" s="50" t="s">
        <v>541</v>
      </c>
      <c r="I635" s="51">
        <v>607</v>
      </c>
      <c r="J635" s="80"/>
      <c r="K6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607 DOP_FETCovid19</v>
      </c>
      <c r="L635" s="48">
        <v>44806</v>
      </c>
      <c r="M635" s="48">
        <v>44809</v>
      </c>
      <c r="N635" s="49" t="s">
        <v>375</v>
      </c>
      <c r="O635" s="45">
        <v>8</v>
      </c>
      <c r="P635" s="80" t="s">
        <v>494</v>
      </c>
      <c r="Q635" s="24"/>
      <c r="R635" s="24" t="s">
        <v>24</v>
      </c>
      <c r="S635" s="114"/>
      <c r="T635" s="45"/>
      <c r="U635" s="48"/>
      <c r="V635" s="48"/>
      <c r="W635" s="27"/>
    </row>
    <row r="636" spans="1:23" ht="60" hidden="1" customHeight="1" x14ac:dyDescent="0.25">
      <c r="A636" s="45" t="str">
        <f>CONCATENATE(Tabla2[[#This Row],[id_solicitud]],Tabla2[[#This Row],[tipo]])</f>
        <v>421Proposicion</v>
      </c>
      <c r="B636" s="45">
        <f>COUNTIF($A$2:A636,A636)</f>
        <v>1</v>
      </c>
      <c r="C636" s="45" t="str">
        <f>Tabla2[[#This Row],[(id_solicitud-tipo_documento)]]&amp;B636</f>
        <v>421Proposicion1</v>
      </c>
      <c r="D636" s="45">
        <v>637</v>
      </c>
      <c r="E636" s="45">
        <v>421</v>
      </c>
      <c r="F636" s="45" t="s">
        <v>46</v>
      </c>
      <c r="G636" s="45" t="s">
        <v>1259</v>
      </c>
      <c r="H636" s="50" t="s">
        <v>35</v>
      </c>
      <c r="I636" s="51">
        <v>607</v>
      </c>
      <c r="J636" s="80"/>
      <c r="K6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607 SOP</v>
      </c>
      <c r="L636" s="48">
        <v>44817</v>
      </c>
      <c r="M636" s="48">
        <v>44817</v>
      </c>
      <c r="N636" s="49" t="s">
        <v>406</v>
      </c>
      <c r="O636" s="45"/>
      <c r="P636" s="80" t="s">
        <v>522</v>
      </c>
      <c r="Q636" s="24"/>
      <c r="R636" s="24" t="s">
        <v>12</v>
      </c>
      <c r="S636" s="114"/>
      <c r="T636" s="45"/>
      <c r="U636" s="48"/>
      <c r="V636" s="48"/>
      <c r="W636" s="27"/>
    </row>
    <row r="637" spans="1:23" ht="60" hidden="1" customHeight="1" x14ac:dyDescent="0.25">
      <c r="A637" s="45" t="str">
        <f>CONCATENATE(Tabla2[[#This Row],[id_solicitud]],Tabla2[[#This Row],[tipo]])</f>
        <v>105Decreto</v>
      </c>
      <c r="B637" s="45">
        <f>COUNTIF($A$2:A637,A637)</f>
        <v>1</v>
      </c>
      <c r="C637" s="45" t="str">
        <f>Tabla2[[#This Row],[(id_solicitud-tipo_documento)]]&amp;B637</f>
        <v>105Decreto1</v>
      </c>
      <c r="D637" s="45">
        <v>638</v>
      </c>
      <c r="E637" s="45">
        <v>105</v>
      </c>
      <c r="F637" s="45" t="s">
        <v>47</v>
      </c>
      <c r="G637" s="45" t="s">
        <v>61</v>
      </c>
      <c r="H637" s="50" t="s">
        <v>10</v>
      </c>
      <c r="I637" s="51">
        <v>610</v>
      </c>
      <c r="J637" s="80"/>
      <c r="K6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610 DAP</v>
      </c>
      <c r="L637" s="48">
        <v>44677</v>
      </c>
      <c r="M637" s="48"/>
      <c r="N637" s="49" t="s">
        <v>847</v>
      </c>
      <c r="O637" s="45"/>
      <c r="P637" s="80"/>
      <c r="Q637" s="48"/>
      <c r="R637" s="45"/>
      <c r="S637" s="115">
        <v>205</v>
      </c>
      <c r="T637" s="20">
        <v>44658</v>
      </c>
      <c r="U637" s="20">
        <v>44685</v>
      </c>
      <c r="V637" s="20">
        <v>44685</v>
      </c>
      <c r="W637" s="27"/>
    </row>
    <row r="638" spans="1:23" ht="60" customHeight="1" x14ac:dyDescent="0.25">
      <c r="A638" s="45" t="str">
        <f>CONCATENATE(Tabla2[[#This Row],[id_solicitud]],Tabla2[[#This Row],[tipo]])</f>
        <v>240Decreto</v>
      </c>
      <c r="B638" s="45">
        <f>COUNTIF($A$2:A638,A638)</f>
        <v>1</v>
      </c>
      <c r="C638" s="45" t="str">
        <f>Tabla2[[#This Row],[(id_solicitud-tipo_documento)]]&amp;B638</f>
        <v>240Decreto1</v>
      </c>
      <c r="D638" s="45">
        <v>1068</v>
      </c>
      <c r="E638" s="45">
        <v>240</v>
      </c>
      <c r="F638" s="45" t="s">
        <v>47</v>
      </c>
      <c r="G638" s="45" t="s">
        <v>40</v>
      </c>
      <c r="H638" s="50" t="s">
        <v>553</v>
      </c>
      <c r="I638" s="51">
        <v>1574</v>
      </c>
      <c r="J638" s="80"/>
      <c r="K6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1574 DCyF_FETCovid19</v>
      </c>
      <c r="L638" s="48">
        <v>44742</v>
      </c>
      <c r="M638" s="48"/>
      <c r="N638" s="49" t="s">
        <v>881</v>
      </c>
      <c r="O638" s="45"/>
      <c r="P638" s="80"/>
      <c r="Q638" s="48"/>
      <c r="R638" s="45"/>
      <c r="S638" s="115">
        <v>490</v>
      </c>
      <c r="T638" s="20">
        <v>44732</v>
      </c>
      <c r="U638" s="20"/>
      <c r="V638" s="20"/>
      <c r="W638" s="27"/>
    </row>
    <row r="639" spans="1:23" ht="60" hidden="1" customHeight="1" x14ac:dyDescent="0.25">
      <c r="A639" s="45" t="str">
        <f>CONCATENATE(Tabla2[[#This Row],[id_solicitud]],Tabla2[[#This Row],[tipo]])</f>
        <v>532Oficio_Solicitud</v>
      </c>
      <c r="B639" s="45">
        <f>COUNTIF($A$2:A639,A639)</f>
        <v>1</v>
      </c>
      <c r="C639" s="45" t="str">
        <f>Tabla2[[#This Row],[(id_solicitud-tipo_documento)]]&amp;B639</f>
        <v>532Oficio_Solicitud1</v>
      </c>
      <c r="D639" s="45">
        <v>640</v>
      </c>
      <c r="E639" s="45">
        <v>532</v>
      </c>
      <c r="F639" s="45" t="s">
        <v>53</v>
      </c>
      <c r="G639" s="45" t="s">
        <v>60</v>
      </c>
      <c r="H639" s="50" t="s">
        <v>10</v>
      </c>
      <c r="I639" s="51">
        <v>611</v>
      </c>
      <c r="J639" s="80"/>
      <c r="K6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611 DAP</v>
      </c>
      <c r="L639" s="48">
        <v>44872</v>
      </c>
      <c r="M639" s="48">
        <v>44873</v>
      </c>
      <c r="N639" s="49" t="s">
        <v>490</v>
      </c>
      <c r="O639" s="45">
        <v>13</v>
      </c>
      <c r="P639" s="80" t="s">
        <v>494</v>
      </c>
      <c r="Q639" s="48">
        <v>44879</v>
      </c>
      <c r="R639" s="45"/>
      <c r="S639" s="114"/>
      <c r="T639" s="52"/>
      <c r="U639" s="48"/>
      <c r="V639" s="48"/>
      <c r="W639" s="27"/>
    </row>
    <row r="640" spans="1:23" ht="60" hidden="1" customHeight="1" x14ac:dyDescent="0.25">
      <c r="A640" s="45" t="str">
        <f>CONCATENATE(Tabla2[[#This Row],[id_solicitud]],Tabla2[[#This Row],[tipo]])</f>
        <v>396Proposicion</v>
      </c>
      <c r="B640" s="45">
        <f>COUNTIF($A$2:A640,A640)</f>
        <v>1</v>
      </c>
      <c r="C640" s="45" t="str">
        <f>Tabla2[[#This Row],[(id_solicitud-tipo_documento)]]&amp;B640</f>
        <v>396Proposicion1</v>
      </c>
      <c r="D640" s="45">
        <v>641</v>
      </c>
      <c r="E640" s="45">
        <v>396</v>
      </c>
      <c r="F640" s="45" t="s">
        <v>46</v>
      </c>
      <c r="G640" s="45" t="s">
        <v>60</v>
      </c>
      <c r="H640" s="50" t="s">
        <v>16</v>
      </c>
      <c r="I640" s="51">
        <v>612</v>
      </c>
      <c r="J640" s="80"/>
      <c r="K6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612 DGC</v>
      </c>
      <c r="L640" s="48">
        <v>44810</v>
      </c>
      <c r="M640" s="48">
        <v>44811</v>
      </c>
      <c r="N640" s="49" t="s">
        <v>392</v>
      </c>
      <c r="O640" s="45">
        <v>10</v>
      </c>
      <c r="P640" s="80" t="s">
        <v>494</v>
      </c>
      <c r="Q640" s="24"/>
      <c r="R640" s="24" t="s">
        <v>24</v>
      </c>
      <c r="S640" s="114"/>
      <c r="T640" s="45"/>
      <c r="U640" s="48"/>
      <c r="V640" s="48"/>
      <c r="W640" s="27"/>
    </row>
    <row r="641" spans="1:23" ht="60" hidden="1" customHeight="1" x14ac:dyDescent="0.25">
      <c r="A641" s="45" t="str">
        <f>CONCATENATE(Tabla2[[#This Row],[id_solicitud]],Tabla2[[#This Row],[tipo]])</f>
        <v>426Proposicion</v>
      </c>
      <c r="B641" s="45">
        <f>COUNTIF($A$2:A641,A641)</f>
        <v>1</v>
      </c>
      <c r="C641" s="45" t="str">
        <f>Tabla2[[#This Row],[(id_solicitud-tipo_documento)]]&amp;B641</f>
        <v>426Proposicion1</v>
      </c>
      <c r="D641" s="45">
        <v>642</v>
      </c>
      <c r="E641" s="45">
        <v>426</v>
      </c>
      <c r="F641" s="45" t="s">
        <v>46</v>
      </c>
      <c r="G641" s="45" t="s">
        <v>42</v>
      </c>
      <c r="H641" s="50" t="s">
        <v>35</v>
      </c>
      <c r="I641" s="51">
        <v>612</v>
      </c>
      <c r="J641" s="80"/>
      <c r="K6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612 SOP</v>
      </c>
      <c r="L641" s="48">
        <v>44819</v>
      </c>
      <c r="M641" s="48">
        <v>44819</v>
      </c>
      <c r="N641" s="49" t="s">
        <v>720</v>
      </c>
      <c r="O641" s="45"/>
      <c r="P641" s="80" t="s">
        <v>497</v>
      </c>
      <c r="Q641" s="24"/>
      <c r="R641" s="24" t="s">
        <v>12</v>
      </c>
      <c r="S641" s="114"/>
      <c r="T641" s="45"/>
      <c r="U641" s="48"/>
      <c r="V641" s="48"/>
      <c r="W641" s="27"/>
    </row>
    <row r="642" spans="1:23" ht="60" hidden="1" customHeight="1" x14ac:dyDescent="0.25">
      <c r="A642" s="45" t="str">
        <f>CONCATENATE(Tabla2[[#This Row],[id_solicitud]],Tabla2[[#This Row],[tipo]])</f>
        <v>105Decreto</v>
      </c>
      <c r="B642" s="45">
        <f>COUNTIF($A$2:A642,A642)</f>
        <v>2</v>
      </c>
      <c r="C642" s="45" t="str">
        <f>Tabla2[[#This Row],[(id_solicitud-tipo_documento)]]&amp;B642</f>
        <v>105Decreto2</v>
      </c>
      <c r="D642" s="45">
        <v>643</v>
      </c>
      <c r="E642" s="45">
        <v>105</v>
      </c>
      <c r="F642" s="45" t="s">
        <v>47</v>
      </c>
      <c r="G642" s="45" t="s">
        <v>60</v>
      </c>
      <c r="H642" s="50" t="s">
        <v>10</v>
      </c>
      <c r="I642" s="51">
        <v>613</v>
      </c>
      <c r="J642" s="80"/>
      <c r="K6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613 DAP</v>
      </c>
      <c r="L642" s="48">
        <v>44677</v>
      </c>
      <c r="M642" s="48"/>
      <c r="N642" s="49" t="s">
        <v>154</v>
      </c>
      <c r="O642" s="45"/>
      <c r="P642" s="80"/>
      <c r="Q642" s="48"/>
      <c r="R642" s="45"/>
      <c r="S642" s="115">
        <v>206</v>
      </c>
      <c r="T642" s="20">
        <v>44658</v>
      </c>
      <c r="U642" s="20">
        <v>44680</v>
      </c>
      <c r="V642" s="20">
        <v>44680</v>
      </c>
      <c r="W642" s="27"/>
    </row>
    <row r="643" spans="1:23" ht="60" customHeight="1" x14ac:dyDescent="0.25">
      <c r="A643" s="45" t="str">
        <f>CONCATENATE(Tabla2[[#This Row],[id_solicitud]],Tabla2[[#This Row],[tipo]])</f>
        <v>340Proposicion</v>
      </c>
      <c r="B643" s="45">
        <f>COUNTIF($A$2:A643,A643)</f>
        <v>1</v>
      </c>
      <c r="C643" s="45" t="str">
        <f>Tabla2[[#This Row],[(id_solicitud-tipo_documento)]]&amp;B643</f>
        <v>340Proposicion1</v>
      </c>
      <c r="D643" s="45">
        <v>542</v>
      </c>
      <c r="E643" s="45">
        <v>340</v>
      </c>
      <c r="F643" s="45" t="s">
        <v>46</v>
      </c>
      <c r="G643" s="45" t="s">
        <v>1258</v>
      </c>
      <c r="H643" s="50" t="s">
        <v>535</v>
      </c>
      <c r="I643" s="51">
        <v>536</v>
      </c>
      <c r="J643" s="80"/>
      <c r="K6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536 DOH_FETCovid19</v>
      </c>
      <c r="L643" s="48">
        <v>44784</v>
      </c>
      <c r="M643" s="48">
        <v>44784</v>
      </c>
      <c r="N643" s="49" t="s">
        <v>289</v>
      </c>
      <c r="O643" s="45">
        <v>3</v>
      </c>
      <c r="P643" s="80" t="s">
        <v>494</v>
      </c>
      <c r="Q643" s="24"/>
      <c r="R643" s="24" t="s">
        <v>24</v>
      </c>
      <c r="S643" s="114"/>
      <c r="T643" s="45"/>
      <c r="U643" s="48"/>
      <c r="V643" s="48"/>
      <c r="W643" s="27"/>
    </row>
    <row r="644" spans="1:23" ht="60" customHeight="1" x14ac:dyDescent="0.25">
      <c r="A644" s="45" t="str">
        <f>CONCATENATE(Tabla2[[#This Row],[id_solicitud]],Tabla2[[#This Row],[tipo]])</f>
        <v>340Oficio_Solicitud</v>
      </c>
      <c r="B644" s="45">
        <f>COUNTIF($A$2:A644,A644)</f>
        <v>1</v>
      </c>
      <c r="C644" s="45" t="str">
        <f>Tabla2[[#This Row],[(id_solicitud-tipo_documento)]]&amp;B644</f>
        <v>340Oficio_Solicitud1</v>
      </c>
      <c r="D644" s="45">
        <v>1142</v>
      </c>
      <c r="E644" s="45">
        <v>340</v>
      </c>
      <c r="F644" s="45" t="s">
        <v>53</v>
      </c>
      <c r="G644" s="45" t="s">
        <v>1258</v>
      </c>
      <c r="H644" s="50" t="s">
        <v>535</v>
      </c>
      <c r="I644" s="51">
        <v>1946</v>
      </c>
      <c r="J644" s="80"/>
      <c r="K6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1946 DOH_FETCovid19</v>
      </c>
      <c r="L644" s="48">
        <v>44782</v>
      </c>
      <c r="M644" s="48">
        <v>44782</v>
      </c>
      <c r="N644" s="49" t="s">
        <v>289</v>
      </c>
      <c r="O644" s="45">
        <v>3</v>
      </c>
      <c r="P644" s="80" t="s">
        <v>494</v>
      </c>
      <c r="Q644" s="48">
        <v>44783</v>
      </c>
      <c r="R644" s="45"/>
      <c r="S644" s="114"/>
      <c r="T644" s="52"/>
      <c r="U644" s="48"/>
      <c r="V644" s="48"/>
      <c r="W644" s="27"/>
    </row>
    <row r="645" spans="1:23" ht="60" hidden="1" customHeight="1" x14ac:dyDescent="0.25">
      <c r="A645" s="45" t="str">
        <f>CONCATENATE(Tabla2[[#This Row],[id_solicitud]],Tabla2[[#This Row],[tipo]])</f>
        <v>393Proposicion</v>
      </c>
      <c r="B645" s="45">
        <f>COUNTIF($A$2:A645,A645)</f>
        <v>1</v>
      </c>
      <c r="C645" s="45" t="str">
        <f>Tabla2[[#This Row],[(id_solicitud-tipo_documento)]]&amp;B645</f>
        <v>393Proposicion1</v>
      </c>
      <c r="D645" s="45">
        <v>646</v>
      </c>
      <c r="E645" s="45">
        <v>393</v>
      </c>
      <c r="F645" s="45" t="s">
        <v>46</v>
      </c>
      <c r="G645" s="45" t="s">
        <v>1258</v>
      </c>
      <c r="H645" s="50" t="s">
        <v>10</v>
      </c>
      <c r="I645" s="51">
        <v>615</v>
      </c>
      <c r="J645" s="80"/>
      <c r="K6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615 DAP</v>
      </c>
      <c r="L645" s="48">
        <v>44810</v>
      </c>
      <c r="M645" s="48">
        <v>44810</v>
      </c>
      <c r="N645" s="49" t="s">
        <v>389</v>
      </c>
      <c r="O645" s="45">
        <v>3</v>
      </c>
      <c r="P645" s="80" t="s">
        <v>494</v>
      </c>
      <c r="Q645" s="24"/>
      <c r="R645" s="24" t="s">
        <v>24</v>
      </c>
      <c r="S645" s="114"/>
      <c r="T645" s="45"/>
      <c r="U645" s="48"/>
      <c r="V645" s="48"/>
      <c r="W645" s="27"/>
    </row>
    <row r="646" spans="1:23" ht="60" hidden="1" customHeight="1" x14ac:dyDescent="0.25">
      <c r="A646" s="45" t="str">
        <f>CONCATENATE(Tabla2[[#This Row],[id_solicitud]],Tabla2[[#This Row],[tipo]])</f>
        <v>105Resolucion</v>
      </c>
      <c r="B646" s="45">
        <f>COUNTIF($A$2:A646,A646)</f>
        <v>1</v>
      </c>
      <c r="C646" s="45" t="str">
        <f>Tabla2[[#This Row],[(id_solicitud-tipo_documento)]]&amp;B646</f>
        <v>105Resolucion1</v>
      </c>
      <c r="D646" s="45">
        <v>647</v>
      </c>
      <c r="E646" s="45">
        <v>105</v>
      </c>
      <c r="F646" s="45" t="s">
        <v>48</v>
      </c>
      <c r="G646" s="45"/>
      <c r="H646" s="50" t="s">
        <v>10</v>
      </c>
      <c r="I646" s="51">
        <v>618</v>
      </c>
      <c r="J646" s="80"/>
      <c r="K6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646" s="48">
        <v>44683</v>
      </c>
      <c r="M646" s="48"/>
      <c r="N646" s="49"/>
      <c r="O646" s="45"/>
      <c r="P646" s="80"/>
      <c r="Q646" s="48"/>
      <c r="R646" s="45"/>
      <c r="S646" s="114"/>
      <c r="T646" s="45"/>
      <c r="U646" s="48"/>
      <c r="V646" s="48"/>
      <c r="W646" s="27"/>
    </row>
    <row r="647" spans="1:23" ht="60" customHeight="1" x14ac:dyDescent="0.25">
      <c r="A647" s="45" t="str">
        <f>CONCATENATE(Tabla2[[#This Row],[id_solicitud]],Tabla2[[#This Row],[tipo]])</f>
        <v>340Resolucion</v>
      </c>
      <c r="B647" s="45">
        <f>COUNTIF($A$2:A647,A647)</f>
        <v>1</v>
      </c>
      <c r="C647" s="45" t="str">
        <f>Tabla2[[#This Row],[(id_solicitud-tipo_documento)]]&amp;B647</f>
        <v>340Resolucion1</v>
      </c>
      <c r="D647" s="45">
        <v>1281</v>
      </c>
      <c r="E647" s="45">
        <v>340</v>
      </c>
      <c r="F647" s="45" t="s">
        <v>48</v>
      </c>
      <c r="G647" s="45"/>
      <c r="H647" s="50" t="s">
        <v>535</v>
      </c>
      <c r="I647" s="51">
        <v>3469</v>
      </c>
      <c r="J647" s="80"/>
      <c r="K6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647" s="48">
        <v>44782</v>
      </c>
      <c r="M647" s="48"/>
      <c r="N647" s="49"/>
      <c r="O647" s="45"/>
      <c r="P647" s="80"/>
      <c r="Q647" s="48"/>
      <c r="R647" s="45"/>
      <c r="S647" s="114"/>
      <c r="T647" s="45"/>
      <c r="U647" s="48"/>
      <c r="V647" s="48"/>
      <c r="W647" s="27"/>
    </row>
    <row r="648" spans="1:23" ht="60" customHeight="1" x14ac:dyDescent="0.25">
      <c r="A648" s="45" t="str">
        <f>CONCATENATE(Tabla2[[#This Row],[id_solicitud]],Tabla2[[#This Row],[tipo]])</f>
        <v>400Proposicion</v>
      </c>
      <c r="B648" s="45">
        <f>COUNTIF($A$2:A648,A648)</f>
        <v>1</v>
      </c>
      <c r="C648" s="45" t="str">
        <f>Tabla2[[#This Row],[(id_solicitud-tipo_documento)]]&amp;B648</f>
        <v>400Proposicion1</v>
      </c>
      <c r="D648" s="45">
        <v>648</v>
      </c>
      <c r="E648" s="45">
        <v>400</v>
      </c>
      <c r="F648" s="45" t="s">
        <v>46</v>
      </c>
      <c r="G648" s="45" t="s">
        <v>60</v>
      </c>
      <c r="H648" s="50" t="s">
        <v>8</v>
      </c>
      <c r="I648" s="51">
        <v>619</v>
      </c>
      <c r="J648" s="80"/>
      <c r="K6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619 DA</v>
      </c>
      <c r="L648" s="48">
        <v>44812</v>
      </c>
      <c r="M648" s="48">
        <v>44812</v>
      </c>
      <c r="N648" s="49" t="s">
        <v>394</v>
      </c>
      <c r="O648" s="45">
        <v>1</v>
      </c>
      <c r="P648" s="80" t="s">
        <v>494</v>
      </c>
      <c r="Q648" s="24"/>
      <c r="R648" s="24" t="s">
        <v>24</v>
      </c>
      <c r="S648" s="114"/>
      <c r="T648" s="45"/>
      <c r="U648" s="48"/>
      <c r="V648" s="48"/>
      <c r="W648" s="27"/>
    </row>
    <row r="649" spans="1:23" ht="60" hidden="1" customHeight="1" x14ac:dyDescent="0.25">
      <c r="A649" s="45" t="str">
        <f>CONCATENATE(Tabla2[[#This Row],[id_solicitud]],Tabla2[[#This Row],[tipo]])</f>
        <v>445Proposicion</v>
      </c>
      <c r="B649" s="45">
        <f>COUNTIF($A$2:A649,A649)</f>
        <v>1</v>
      </c>
      <c r="C649" s="45" t="str">
        <f>Tabla2[[#This Row],[(id_solicitud-tipo_documento)]]&amp;B649</f>
        <v>445Proposicion1</v>
      </c>
      <c r="D649" s="45">
        <v>650</v>
      </c>
      <c r="E649" s="45">
        <v>445</v>
      </c>
      <c r="F649" s="45" t="s">
        <v>46</v>
      </c>
      <c r="G649" s="45" t="s">
        <v>60</v>
      </c>
      <c r="H649" s="50" t="s">
        <v>16</v>
      </c>
      <c r="I649" s="51">
        <v>621</v>
      </c>
      <c r="J649" s="80"/>
      <c r="K6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621 DGC</v>
      </c>
      <c r="L649" s="48">
        <v>44830</v>
      </c>
      <c r="M649" s="48"/>
      <c r="N649" s="49" t="s">
        <v>424</v>
      </c>
      <c r="O649" s="45"/>
      <c r="P649" s="80" t="s">
        <v>497</v>
      </c>
      <c r="Q649" s="24"/>
      <c r="R649" s="24" t="s">
        <v>12</v>
      </c>
      <c r="S649" s="114"/>
      <c r="T649" s="45"/>
      <c r="U649" s="48"/>
      <c r="V649" s="48"/>
      <c r="W649" s="27"/>
    </row>
    <row r="650" spans="1:23" ht="60" hidden="1" customHeight="1" x14ac:dyDescent="0.25">
      <c r="A650" s="45" t="str">
        <f>CONCATENATE(Tabla2[[#This Row],[id_solicitud]],Tabla2[[#This Row],[tipo]])</f>
        <v>436Proposicion</v>
      </c>
      <c r="B650" s="45">
        <f>COUNTIF($A$2:A650,A650)</f>
        <v>1</v>
      </c>
      <c r="C650" s="45" t="str">
        <f>Tabla2[[#This Row],[(id_solicitud-tipo_documento)]]&amp;B650</f>
        <v>436Proposicion1</v>
      </c>
      <c r="D650" s="45">
        <v>651</v>
      </c>
      <c r="E650" s="45">
        <v>436</v>
      </c>
      <c r="F650" s="45" t="s">
        <v>46</v>
      </c>
      <c r="G650" s="45" t="s">
        <v>44</v>
      </c>
      <c r="H650" s="50" t="s">
        <v>10</v>
      </c>
      <c r="I650" s="51">
        <v>623</v>
      </c>
      <c r="J650" s="80"/>
      <c r="K6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623 DAP</v>
      </c>
      <c r="L650" s="48">
        <v>44831</v>
      </c>
      <c r="M650" s="48">
        <v>44831</v>
      </c>
      <c r="N650" s="49" t="s">
        <v>416</v>
      </c>
      <c r="O650" s="45">
        <v>0</v>
      </c>
      <c r="P650" s="80" t="s">
        <v>497</v>
      </c>
      <c r="Q650" s="24"/>
      <c r="R650" s="24" t="s">
        <v>12</v>
      </c>
      <c r="S650" s="114"/>
      <c r="T650" s="45"/>
      <c r="U650" s="48"/>
      <c r="V650" s="48"/>
      <c r="W650" s="27"/>
    </row>
    <row r="651" spans="1:23" ht="60" hidden="1" customHeight="1" x14ac:dyDescent="0.25">
      <c r="A651" s="45" t="str">
        <f>CONCATENATE(Tabla2[[#This Row],[id_solicitud]],Tabla2[[#This Row],[tipo]])</f>
        <v>261Oficio_Solicitud</v>
      </c>
      <c r="B651" s="45">
        <f>COUNTIF($A$2:A651,A651)</f>
        <v>1</v>
      </c>
      <c r="C651" s="45" t="str">
        <f>Tabla2[[#This Row],[(id_solicitud-tipo_documento)]]&amp;B651</f>
        <v>261Oficio_Solicitud1</v>
      </c>
      <c r="D651" s="45">
        <v>652</v>
      </c>
      <c r="E651" s="45">
        <v>261</v>
      </c>
      <c r="F651" s="45" t="s">
        <v>53</v>
      </c>
      <c r="G651" s="45" t="s">
        <v>44</v>
      </c>
      <c r="H651" s="50" t="s">
        <v>8</v>
      </c>
      <c r="I651" s="51">
        <v>623</v>
      </c>
      <c r="J651" s="80"/>
      <c r="K6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623 DA</v>
      </c>
      <c r="L651" s="48">
        <v>44718</v>
      </c>
      <c r="M651" s="48"/>
      <c r="N651" s="49"/>
      <c r="O651" s="45"/>
      <c r="P651" s="80" t="s">
        <v>497</v>
      </c>
      <c r="Q651" s="48"/>
      <c r="R651" s="45"/>
      <c r="S651" s="114"/>
      <c r="T651" s="52"/>
      <c r="U651" s="48"/>
      <c r="V651" s="48"/>
      <c r="W651" s="27"/>
    </row>
    <row r="652" spans="1:23" ht="60" customHeight="1" x14ac:dyDescent="0.25">
      <c r="A652" s="45" t="str">
        <f>CONCATENATE(Tabla2[[#This Row],[id_solicitud]],Tabla2[[#This Row],[tipo]])</f>
        <v>400Oficio_Solicitud</v>
      </c>
      <c r="B652" s="45">
        <f>COUNTIF($A$2:A652,A652)</f>
        <v>1</v>
      </c>
      <c r="C652" s="45" t="str">
        <f>Tabla2[[#This Row],[(id_solicitud-tipo_documento)]]&amp;B652</f>
        <v>400Oficio_Solicitud1</v>
      </c>
      <c r="D652" s="45">
        <v>936</v>
      </c>
      <c r="E652" s="45">
        <v>400</v>
      </c>
      <c r="F652" s="45" t="s">
        <v>53</v>
      </c>
      <c r="G652" s="45" t="s">
        <v>60</v>
      </c>
      <c r="H652" s="50" t="s">
        <v>8</v>
      </c>
      <c r="I652" s="51">
        <v>990</v>
      </c>
      <c r="J652" s="80"/>
      <c r="K6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990 DA</v>
      </c>
      <c r="L652" s="48">
        <v>44803</v>
      </c>
      <c r="M652" s="48">
        <v>44805</v>
      </c>
      <c r="N652" s="49" t="s">
        <v>394</v>
      </c>
      <c r="O652" s="45">
        <v>1</v>
      </c>
      <c r="P652" s="80" t="s">
        <v>494</v>
      </c>
      <c r="Q652" s="48"/>
      <c r="R652" s="45"/>
      <c r="S652" s="114"/>
      <c r="T652" s="52"/>
      <c r="U652" s="48"/>
      <c r="V652" s="48"/>
      <c r="W652" s="27"/>
    </row>
    <row r="653" spans="1:23" ht="60" hidden="1" customHeight="1" x14ac:dyDescent="0.25">
      <c r="A653" s="45" t="str">
        <f>CONCATENATE(Tabla2[[#This Row],[id_solicitud]],Tabla2[[#This Row],[tipo]])</f>
        <v>449Proposicion</v>
      </c>
      <c r="B653" s="45">
        <f>COUNTIF($A$2:A653,A653)</f>
        <v>1</v>
      </c>
      <c r="C653" s="45" t="str">
        <f>Tabla2[[#This Row],[(id_solicitud-tipo_documento)]]&amp;B653</f>
        <v>449Proposicion1</v>
      </c>
      <c r="D653" s="45">
        <v>654</v>
      </c>
      <c r="E653" s="45">
        <v>449</v>
      </c>
      <c r="F653" s="45" t="s">
        <v>46</v>
      </c>
      <c r="G653" s="45" t="s">
        <v>44</v>
      </c>
      <c r="H653" s="50" t="s">
        <v>30</v>
      </c>
      <c r="I653" s="51">
        <v>625</v>
      </c>
      <c r="J653" s="80"/>
      <c r="K6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625 INH</v>
      </c>
      <c r="L653" s="48">
        <v>44832</v>
      </c>
      <c r="M653" s="48">
        <v>44832</v>
      </c>
      <c r="N653" s="49" t="s">
        <v>428</v>
      </c>
      <c r="O653" s="45"/>
      <c r="P653" s="80" t="s">
        <v>500</v>
      </c>
      <c r="Q653" s="24"/>
      <c r="R653" s="24" t="s">
        <v>12</v>
      </c>
      <c r="S653" s="114"/>
      <c r="T653" s="45"/>
      <c r="U653" s="48"/>
      <c r="V653" s="48"/>
      <c r="W653" s="27"/>
    </row>
    <row r="654" spans="1:23" ht="60" hidden="1" customHeight="1" x14ac:dyDescent="0.25">
      <c r="A654" s="45" t="str">
        <f>CONCATENATE(Tabla2[[#This Row],[id_solicitud]],Tabla2[[#This Row],[tipo]])</f>
        <v>475Proposicion</v>
      </c>
      <c r="B654" s="45">
        <f>COUNTIF($A$2:A654,A654)</f>
        <v>1</v>
      </c>
      <c r="C654" s="45" t="str">
        <f>Tabla2[[#This Row],[(id_solicitud-tipo_documento)]]&amp;B654</f>
        <v>475Proposicion1</v>
      </c>
      <c r="D654" s="45">
        <v>655</v>
      </c>
      <c r="E654" s="45">
        <v>475</v>
      </c>
      <c r="F654" s="45" t="s">
        <v>46</v>
      </c>
      <c r="G654" s="45" t="s">
        <v>42</v>
      </c>
      <c r="H654" s="50" t="s">
        <v>30</v>
      </c>
      <c r="I654" s="51">
        <v>625</v>
      </c>
      <c r="J654" s="80"/>
      <c r="K6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625 INH</v>
      </c>
      <c r="L654" s="48">
        <v>44832</v>
      </c>
      <c r="M654" s="48">
        <v>44833</v>
      </c>
      <c r="N654" s="49" t="s">
        <v>729</v>
      </c>
      <c r="O654" s="45"/>
      <c r="P654" s="80" t="s">
        <v>497</v>
      </c>
      <c r="Q654" s="24"/>
      <c r="R654" s="24" t="s">
        <v>12</v>
      </c>
      <c r="S654" s="114"/>
      <c r="T654" s="45"/>
      <c r="U654" s="48"/>
      <c r="V654" s="48"/>
      <c r="W654" s="27"/>
    </row>
    <row r="655" spans="1:23" ht="60" hidden="1" customHeight="1" x14ac:dyDescent="0.25">
      <c r="A655" s="45" t="str">
        <f>CONCATENATE(Tabla2[[#This Row],[id_solicitud]],Tabla2[[#This Row],[tipo]])</f>
        <v>392Proposicion</v>
      </c>
      <c r="B655" s="45">
        <f>COUNTIF($A$2:A655,A655)</f>
        <v>1</v>
      </c>
      <c r="C655" s="45" t="str">
        <f>Tabla2[[#This Row],[(id_solicitud-tipo_documento)]]&amp;B655</f>
        <v>392Proposicion1</v>
      </c>
      <c r="D655" s="45">
        <v>656</v>
      </c>
      <c r="E655" s="45">
        <v>392</v>
      </c>
      <c r="F655" s="45" t="s">
        <v>46</v>
      </c>
      <c r="G655" s="45" t="s">
        <v>60</v>
      </c>
      <c r="H655" s="50" t="s">
        <v>10</v>
      </c>
      <c r="I655" s="51">
        <v>625</v>
      </c>
      <c r="J655" s="80"/>
      <c r="K6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625 DAP</v>
      </c>
      <c r="L655" s="48">
        <v>44816</v>
      </c>
      <c r="M655" s="48">
        <v>44816</v>
      </c>
      <c r="N655" s="49" t="s">
        <v>388</v>
      </c>
      <c r="O655" s="45">
        <f>2+29</f>
        <v>31</v>
      </c>
      <c r="P655" s="80" t="s">
        <v>494</v>
      </c>
      <c r="Q655" s="24"/>
      <c r="R655" s="24" t="s">
        <v>24</v>
      </c>
      <c r="S655" s="114"/>
      <c r="T655" s="45"/>
      <c r="U655" s="48"/>
      <c r="V655" s="48"/>
      <c r="W655" s="27"/>
    </row>
    <row r="656" spans="1:23" ht="60" hidden="1" customHeight="1" x14ac:dyDescent="0.25">
      <c r="A656" s="45" t="str">
        <f>CONCATENATE(Tabla2[[#This Row],[id_solicitud]],Tabla2[[#This Row],[tipo]])</f>
        <v>444Proposicion</v>
      </c>
      <c r="B656" s="45">
        <f>COUNTIF($A$2:A656,A656)</f>
        <v>1</v>
      </c>
      <c r="C656" s="45" t="str">
        <f>Tabla2[[#This Row],[(id_solicitud-tipo_documento)]]&amp;B656</f>
        <v>444Proposicion1</v>
      </c>
      <c r="D656" s="45">
        <v>657</v>
      </c>
      <c r="E656" s="45">
        <v>444</v>
      </c>
      <c r="F656" s="45" t="s">
        <v>46</v>
      </c>
      <c r="G656" s="45"/>
      <c r="H656" s="50" t="s">
        <v>26</v>
      </c>
      <c r="I656" s="51">
        <v>626</v>
      </c>
      <c r="J656" s="80"/>
      <c r="K6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626 DV</v>
      </c>
      <c r="L656" s="48">
        <v>44833</v>
      </c>
      <c r="M656" s="48">
        <v>44833</v>
      </c>
      <c r="N656" s="49" t="s">
        <v>423</v>
      </c>
      <c r="O656" s="45"/>
      <c r="P656" s="80" t="s">
        <v>497</v>
      </c>
      <c r="Q656" s="24"/>
      <c r="R656" s="24" t="s">
        <v>12</v>
      </c>
      <c r="S656" s="114"/>
      <c r="T656" s="45"/>
      <c r="U656" s="48"/>
      <c r="V656" s="48"/>
      <c r="W656" s="27"/>
    </row>
    <row r="657" spans="1:23" ht="60" hidden="1" customHeight="1" x14ac:dyDescent="0.25">
      <c r="A657" s="45" t="str">
        <f>CONCATENATE(Tabla2[[#This Row],[id_solicitud]],Tabla2[[#This Row],[tipo]])</f>
        <v>18Oficio_Solicitud</v>
      </c>
      <c r="B657" s="45">
        <f>COUNTIF($A$2:A657,A657)</f>
        <v>1</v>
      </c>
      <c r="C657" s="45" t="str">
        <f>Tabla2[[#This Row],[(id_solicitud-tipo_documento)]]&amp;B657</f>
        <v>18Oficio_Solicitud1</v>
      </c>
      <c r="D657" s="45">
        <v>658</v>
      </c>
      <c r="E657" s="45">
        <v>18</v>
      </c>
      <c r="F657" s="45" t="s">
        <v>53</v>
      </c>
      <c r="G657" s="45" t="s">
        <v>43</v>
      </c>
      <c r="H657" s="50" t="s">
        <v>10</v>
      </c>
      <c r="I657" s="51">
        <v>628</v>
      </c>
      <c r="J657" s="80"/>
      <c r="K6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628 DAP</v>
      </c>
      <c r="L657" s="48">
        <v>44544</v>
      </c>
      <c r="M657" s="48">
        <v>44545</v>
      </c>
      <c r="N657" s="49" t="s">
        <v>86</v>
      </c>
      <c r="O657" s="45">
        <v>11</v>
      </c>
      <c r="P657" s="80" t="s">
        <v>494</v>
      </c>
      <c r="Q657" s="48"/>
      <c r="R657" s="45"/>
      <c r="S657" s="114"/>
      <c r="T657" s="52"/>
      <c r="U657" s="48"/>
      <c r="V657" s="48"/>
      <c r="W657" s="27"/>
    </row>
    <row r="658" spans="1:23" ht="60" hidden="1" customHeight="1" x14ac:dyDescent="0.25">
      <c r="A658" s="45" t="str">
        <f>CONCATENATE(Tabla2[[#This Row],[id_solicitud]],Tabla2[[#This Row],[tipo]])</f>
        <v>376Oficio_Solicitud</v>
      </c>
      <c r="B658" s="45">
        <f>COUNTIF($A$2:A658,A658)</f>
        <v>1</v>
      </c>
      <c r="C658" s="45" t="str">
        <f>Tabla2[[#This Row],[(id_solicitud-tipo_documento)]]&amp;B658</f>
        <v>376Oficio_Solicitud1</v>
      </c>
      <c r="D658" s="45">
        <v>659</v>
      </c>
      <c r="E658" s="45">
        <v>376</v>
      </c>
      <c r="F658" s="45" t="s">
        <v>53</v>
      </c>
      <c r="G658" s="45" t="s">
        <v>60</v>
      </c>
      <c r="H658" s="50" t="s">
        <v>541</v>
      </c>
      <c r="I658" s="51">
        <v>630</v>
      </c>
      <c r="J658" s="80"/>
      <c r="K6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630 DOP_FETCovid19</v>
      </c>
      <c r="L658" s="48">
        <v>44796</v>
      </c>
      <c r="M658" s="48">
        <v>44796</v>
      </c>
      <c r="N658" s="49" t="s">
        <v>375</v>
      </c>
      <c r="O658" s="45">
        <v>8</v>
      </c>
      <c r="P658" s="80" t="s">
        <v>494</v>
      </c>
      <c r="Q658" s="48">
        <v>44799</v>
      </c>
      <c r="R658" s="45"/>
      <c r="S658" s="114"/>
      <c r="T658" s="52"/>
      <c r="U658" s="48"/>
      <c r="V658" s="48"/>
      <c r="W658" s="27"/>
    </row>
    <row r="659" spans="1:23" ht="60" hidden="1" customHeight="1" x14ac:dyDescent="0.25">
      <c r="A659" s="45" t="str">
        <f>CONCATENATE(Tabla2[[#This Row],[id_solicitud]],Tabla2[[#This Row],[tipo]])</f>
        <v>451Proposicion</v>
      </c>
      <c r="B659" s="45">
        <f>COUNTIF($A$2:A659,A659)</f>
        <v>1</v>
      </c>
      <c r="C659" s="45" t="str">
        <f>Tabla2[[#This Row],[(id_solicitud-tipo_documento)]]&amp;B659</f>
        <v>451Proposicion1</v>
      </c>
      <c r="D659" s="45">
        <v>660</v>
      </c>
      <c r="E659" s="45">
        <v>451</v>
      </c>
      <c r="F659" s="45" t="s">
        <v>46</v>
      </c>
      <c r="G659" s="45" t="s">
        <v>40</v>
      </c>
      <c r="H659" s="50" t="s">
        <v>8</v>
      </c>
      <c r="I659" s="51">
        <v>631</v>
      </c>
      <c r="J659" s="80"/>
      <c r="K6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631 DA</v>
      </c>
      <c r="L659" s="48">
        <v>44837</v>
      </c>
      <c r="M659" s="48">
        <v>44837</v>
      </c>
      <c r="N659" s="49" t="s">
        <v>429</v>
      </c>
      <c r="O659" s="45"/>
      <c r="P659" s="80" t="s">
        <v>497</v>
      </c>
      <c r="Q659" s="24"/>
      <c r="R659" s="24" t="s">
        <v>12</v>
      </c>
      <c r="S659" s="114"/>
      <c r="T659" s="45"/>
      <c r="U659" s="48"/>
      <c r="V659" s="48"/>
      <c r="W659" s="27"/>
    </row>
    <row r="660" spans="1:23" ht="60" customHeight="1" x14ac:dyDescent="0.25">
      <c r="A660" s="45" t="str">
        <f>CONCATENATE(Tabla2[[#This Row],[id_solicitud]],Tabla2[[#This Row],[tipo]])</f>
        <v>400Decreto</v>
      </c>
      <c r="B660" s="45">
        <f>COUNTIF($A$2:A660,A660)</f>
        <v>1</v>
      </c>
      <c r="C660" s="45" t="str">
        <f>Tabla2[[#This Row],[(id_solicitud-tipo_documento)]]&amp;B660</f>
        <v>400Decreto1</v>
      </c>
      <c r="D660" s="45">
        <v>1125</v>
      </c>
      <c r="E660" s="45">
        <v>400</v>
      </c>
      <c r="F660" s="45" t="s">
        <v>47</v>
      </c>
      <c r="G660" s="45" t="s">
        <v>60</v>
      </c>
      <c r="H660" s="50" t="s">
        <v>8</v>
      </c>
      <c r="I660" s="51">
        <v>1842</v>
      </c>
      <c r="J660" s="80"/>
      <c r="K6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1842 DA</v>
      </c>
      <c r="L660" s="48">
        <v>44868</v>
      </c>
      <c r="M660" s="48"/>
      <c r="N660" s="49" t="s">
        <v>964</v>
      </c>
      <c r="O660" s="45"/>
      <c r="P660" s="80"/>
      <c r="Q660" s="48"/>
      <c r="R660" s="45"/>
      <c r="S660" s="115">
        <v>920</v>
      </c>
      <c r="T660" s="20">
        <v>44846</v>
      </c>
      <c r="U660" s="20">
        <v>44875</v>
      </c>
      <c r="V660" s="20">
        <v>44875</v>
      </c>
      <c r="W660" s="27"/>
    </row>
    <row r="661" spans="1:23" ht="60" hidden="1" customHeight="1" x14ac:dyDescent="0.25">
      <c r="A661" s="45" t="str">
        <f>CONCATENATE(Tabla2[[#This Row],[id_solicitud]],Tabla2[[#This Row],[tipo]])</f>
        <v>95Decreto</v>
      </c>
      <c r="B661" s="45">
        <f>COUNTIF($A$2:A661,A661)</f>
        <v>1</v>
      </c>
      <c r="C661" s="45" t="str">
        <f>Tabla2[[#This Row],[(id_solicitud-tipo_documento)]]&amp;B661</f>
        <v>95Decreto1</v>
      </c>
      <c r="D661" s="45">
        <v>662</v>
      </c>
      <c r="E661" s="45">
        <v>95</v>
      </c>
      <c r="F661" s="45" t="s">
        <v>47</v>
      </c>
      <c r="G661" s="45" t="s">
        <v>40</v>
      </c>
      <c r="H661" s="50" t="s">
        <v>10</v>
      </c>
      <c r="I661" s="51">
        <v>636</v>
      </c>
      <c r="J661" s="80"/>
      <c r="K6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636 DAP</v>
      </c>
      <c r="L661" s="48">
        <v>44687</v>
      </c>
      <c r="M661" s="48"/>
      <c r="N661" s="49" t="s">
        <v>856</v>
      </c>
      <c r="O661" s="45"/>
      <c r="P661" s="80"/>
      <c r="Q661" s="48"/>
      <c r="R661" s="45"/>
      <c r="S661" s="115">
        <v>198</v>
      </c>
      <c r="T661" s="20">
        <v>44669</v>
      </c>
      <c r="U661" s="20">
        <v>44693</v>
      </c>
      <c r="V661" s="20">
        <v>44693</v>
      </c>
      <c r="W661" s="27"/>
    </row>
    <row r="662" spans="1:23" ht="60" hidden="1" customHeight="1" x14ac:dyDescent="0.25">
      <c r="A662" s="45" t="str">
        <f>CONCATENATE(Tabla2[[#This Row],[id_solicitud]],Tabla2[[#This Row],[tipo]])</f>
        <v>95Decreto</v>
      </c>
      <c r="B662" s="45">
        <f>COUNTIF($A$2:A662,A662)</f>
        <v>2</v>
      </c>
      <c r="C662" s="45" t="str">
        <f>Tabla2[[#This Row],[(id_solicitud-tipo_documento)]]&amp;B662</f>
        <v>95Decreto2</v>
      </c>
      <c r="D662" s="45">
        <v>663</v>
      </c>
      <c r="E662" s="45">
        <v>95</v>
      </c>
      <c r="F662" s="45" t="s">
        <v>47</v>
      </c>
      <c r="G662" s="45" t="s">
        <v>60</v>
      </c>
      <c r="H662" s="50" t="s">
        <v>10</v>
      </c>
      <c r="I662" s="51">
        <v>638</v>
      </c>
      <c r="J662" s="80"/>
      <c r="K6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638 DAP</v>
      </c>
      <c r="L662" s="48">
        <v>44687</v>
      </c>
      <c r="M662" s="48"/>
      <c r="N662" s="49" t="s">
        <v>146</v>
      </c>
      <c r="O662" s="45"/>
      <c r="P662" s="80"/>
      <c r="Q662" s="48"/>
      <c r="R662" s="45"/>
      <c r="S662" s="115">
        <v>199</v>
      </c>
      <c r="T662" s="20">
        <v>44669</v>
      </c>
      <c r="U662" s="20">
        <v>44700</v>
      </c>
      <c r="V662" s="20">
        <v>44700</v>
      </c>
      <c r="W662" s="27"/>
    </row>
    <row r="663" spans="1:23" ht="60" hidden="1" customHeight="1" x14ac:dyDescent="0.25">
      <c r="A663" s="45" t="str">
        <f>CONCATENATE(Tabla2[[#This Row],[id_solicitud]],Tabla2[[#This Row],[tipo]])</f>
        <v>383Proposicion</v>
      </c>
      <c r="B663" s="45">
        <f>COUNTIF($A$2:A663,A663)</f>
        <v>1</v>
      </c>
      <c r="C663" s="45" t="str">
        <f>Tabla2[[#This Row],[(id_solicitud-tipo_documento)]]&amp;B663</f>
        <v>383Proposicion1</v>
      </c>
      <c r="D663" s="45">
        <v>664</v>
      </c>
      <c r="E663" s="45">
        <v>383</v>
      </c>
      <c r="F663" s="45" t="s">
        <v>46</v>
      </c>
      <c r="G663" s="45" t="s">
        <v>60</v>
      </c>
      <c r="H663" s="50" t="s">
        <v>26</v>
      </c>
      <c r="I663" s="51">
        <v>638</v>
      </c>
      <c r="J663" s="80"/>
      <c r="K6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638 DV</v>
      </c>
      <c r="L663" s="48">
        <v>44818</v>
      </c>
      <c r="M663" s="48">
        <v>44819</v>
      </c>
      <c r="N663" s="49" t="s">
        <v>706</v>
      </c>
      <c r="O663" s="45">
        <v>45</v>
      </c>
      <c r="P663" s="80" t="s">
        <v>494</v>
      </c>
      <c r="Q663" s="24"/>
      <c r="R663" s="24" t="s">
        <v>24</v>
      </c>
      <c r="S663" s="114"/>
      <c r="T663" s="45"/>
      <c r="U663" s="48"/>
      <c r="V663" s="48"/>
      <c r="W663" s="27"/>
    </row>
    <row r="664" spans="1:23" ht="60" hidden="1" customHeight="1" x14ac:dyDescent="0.25">
      <c r="A664" s="45" t="str">
        <f>CONCATENATE(Tabla2[[#This Row],[id_solicitud]],Tabla2[[#This Row],[tipo]])</f>
        <v>195Decreto</v>
      </c>
      <c r="B664" s="45">
        <f>COUNTIF($A$2:A664,A664)</f>
        <v>1</v>
      </c>
      <c r="C664" s="45" t="str">
        <f>Tabla2[[#This Row],[(id_solicitud-tipo_documento)]]&amp;B664</f>
        <v>195Decreto1</v>
      </c>
      <c r="D664" s="45">
        <v>665</v>
      </c>
      <c r="E664" s="45">
        <v>195</v>
      </c>
      <c r="F664" s="45" t="s">
        <v>47</v>
      </c>
      <c r="G664" s="45" t="s">
        <v>40</v>
      </c>
      <c r="H664" s="50" t="s">
        <v>26</v>
      </c>
      <c r="I664" s="51">
        <v>639</v>
      </c>
      <c r="J664" s="80"/>
      <c r="K6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639 DV</v>
      </c>
      <c r="L664" s="48">
        <v>44687</v>
      </c>
      <c r="M664" s="48"/>
      <c r="N664" s="49" t="s">
        <v>859</v>
      </c>
      <c r="O664" s="45"/>
      <c r="P664" s="80"/>
      <c r="Q664" s="48"/>
      <c r="R664" s="45"/>
      <c r="S664" s="115">
        <v>186</v>
      </c>
      <c r="T664" s="20">
        <v>44652</v>
      </c>
      <c r="U664" s="20">
        <v>44693</v>
      </c>
      <c r="V664" s="20">
        <v>44693</v>
      </c>
      <c r="W664" s="27"/>
    </row>
    <row r="665" spans="1:23" ht="60" hidden="1" customHeight="1" x14ac:dyDescent="0.25">
      <c r="A665" s="45" t="str">
        <f>CONCATENATE(Tabla2[[#This Row],[id_solicitud]],Tabla2[[#This Row],[tipo]])</f>
        <v>410Proposicion</v>
      </c>
      <c r="B665" s="45">
        <f>COUNTIF($A$2:A665,A665)</f>
        <v>1</v>
      </c>
      <c r="C665" s="45" t="str">
        <f>Tabla2[[#This Row],[(id_solicitud-tipo_documento)]]&amp;B665</f>
        <v>410Proposicion1</v>
      </c>
      <c r="D665" s="45">
        <v>666</v>
      </c>
      <c r="E665" s="45">
        <v>410</v>
      </c>
      <c r="F665" s="45" t="s">
        <v>46</v>
      </c>
      <c r="G665" s="45" t="s">
        <v>1258</v>
      </c>
      <c r="H665" s="50" t="s">
        <v>20</v>
      </c>
      <c r="I665" s="51">
        <v>639</v>
      </c>
      <c r="J665" s="80"/>
      <c r="K6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639 DOH</v>
      </c>
      <c r="L665" s="48">
        <v>44818</v>
      </c>
      <c r="M665" s="48">
        <v>44818</v>
      </c>
      <c r="N665" s="49" t="s">
        <v>398</v>
      </c>
      <c r="O665" s="45">
        <v>1</v>
      </c>
      <c r="P665" s="80" t="s">
        <v>494</v>
      </c>
      <c r="Q665" s="24"/>
      <c r="R665" s="24" t="s">
        <v>24</v>
      </c>
      <c r="S665" s="114"/>
      <c r="T665" s="45"/>
      <c r="U665" s="48"/>
      <c r="V665" s="48"/>
      <c r="W665" s="27"/>
    </row>
    <row r="666" spans="1:23" ht="60" hidden="1" customHeight="1" x14ac:dyDescent="0.25">
      <c r="A666" s="45" t="str">
        <f>CONCATENATE(Tabla2[[#This Row],[id_solicitud]],Tabla2[[#This Row],[tipo]])</f>
        <v>411Proposicion</v>
      </c>
      <c r="B666" s="45">
        <f>COUNTIF($A$2:A666,A666)</f>
        <v>1</v>
      </c>
      <c r="C666" s="45" t="str">
        <f>Tabla2[[#This Row],[(id_solicitud-tipo_documento)]]&amp;B666</f>
        <v>411Proposicion1</v>
      </c>
      <c r="D666" s="45">
        <v>667</v>
      </c>
      <c r="E666" s="45">
        <v>411</v>
      </c>
      <c r="F666" s="45" t="s">
        <v>46</v>
      </c>
      <c r="G666" s="45" t="s">
        <v>1258</v>
      </c>
      <c r="H666" s="50" t="s">
        <v>559</v>
      </c>
      <c r="I666" s="51">
        <v>640</v>
      </c>
      <c r="J666" s="80"/>
      <c r="K6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640 APR_FETCovid19</v>
      </c>
      <c r="L666" s="48">
        <v>44818</v>
      </c>
      <c r="M666" s="48">
        <v>44818</v>
      </c>
      <c r="N666" s="49" t="s">
        <v>398</v>
      </c>
      <c r="O666" s="45">
        <v>1</v>
      </c>
      <c r="P666" s="80" t="s">
        <v>494</v>
      </c>
      <c r="Q666" s="24"/>
      <c r="R666" s="24" t="s">
        <v>24</v>
      </c>
      <c r="S666" s="114"/>
      <c r="T666" s="45"/>
      <c r="U666" s="48"/>
      <c r="V666" s="48"/>
      <c r="W666" s="27"/>
    </row>
    <row r="667" spans="1:23" ht="60" hidden="1" customHeight="1" x14ac:dyDescent="0.25">
      <c r="A667" s="45" t="str">
        <f>CONCATENATE(Tabla2[[#This Row],[id_solicitud]],Tabla2[[#This Row],[tipo]])</f>
        <v>384Proposicion</v>
      </c>
      <c r="B667" s="45">
        <f>COUNTIF($A$2:A667,A667)</f>
        <v>1</v>
      </c>
      <c r="C667" s="45" t="str">
        <f>Tabla2[[#This Row],[(id_solicitud-tipo_documento)]]&amp;B667</f>
        <v>384Proposicion1</v>
      </c>
      <c r="D667" s="45">
        <v>668</v>
      </c>
      <c r="E667" s="45">
        <v>384</v>
      </c>
      <c r="F667" s="45" t="s">
        <v>46</v>
      </c>
      <c r="G667" s="45" t="s">
        <v>60</v>
      </c>
      <c r="H667" s="50" t="s">
        <v>538</v>
      </c>
      <c r="I667" s="51">
        <v>643</v>
      </c>
      <c r="J667" s="80"/>
      <c r="K6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643 DV_FETCovid19</v>
      </c>
      <c r="L667" s="48">
        <v>44819</v>
      </c>
      <c r="M667" s="48">
        <v>44824</v>
      </c>
      <c r="N667" s="49" t="s">
        <v>707</v>
      </c>
      <c r="O667" s="45">
        <v>8</v>
      </c>
      <c r="P667" s="80" t="s">
        <v>494</v>
      </c>
      <c r="Q667" s="24"/>
      <c r="R667" s="24" t="s">
        <v>24</v>
      </c>
      <c r="S667" s="114"/>
      <c r="T667" s="45"/>
      <c r="U667" s="48"/>
      <c r="V667" s="48"/>
      <c r="W667" s="27"/>
    </row>
    <row r="668" spans="1:23" ht="60" hidden="1" customHeight="1" x14ac:dyDescent="0.25">
      <c r="A668" s="45" t="str">
        <f>CONCATENATE(Tabla2[[#This Row],[id_solicitud]],Tabla2[[#This Row],[tipo]])</f>
        <v>526Proposicion</v>
      </c>
      <c r="B668" s="45">
        <f>COUNTIF($A$2:A668,A668)</f>
        <v>1</v>
      </c>
      <c r="C668" s="45" t="str">
        <f>Tabla2[[#This Row],[(id_solicitud-tipo_documento)]]&amp;B668</f>
        <v>526Proposicion1</v>
      </c>
      <c r="D668" s="45">
        <v>669</v>
      </c>
      <c r="E668" s="45">
        <v>526</v>
      </c>
      <c r="F668" s="45" t="s">
        <v>46</v>
      </c>
      <c r="G668" s="45" t="s">
        <v>60</v>
      </c>
      <c r="H668" s="50" t="s">
        <v>26</v>
      </c>
      <c r="I668" s="51">
        <v>643</v>
      </c>
      <c r="J668" s="80"/>
      <c r="K6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643 DV</v>
      </c>
      <c r="L668" s="48">
        <v>44819</v>
      </c>
      <c r="M668" s="48">
        <v>44824</v>
      </c>
      <c r="N668" s="49" t="s">
        <v>707</v>
      </c>
      <c r="O668" s="45">
        <v>4</v>
      </c>
      <c r="P668" s="80" t="s">
        <v>494</v>
      </c>
      <c r="Q668" s="24"/>
      <c r="R668" s="24" t="s">
        <v>24</v>
      </c>
      <c r="S668" s="114"/>
      <c r="T668" s="45"/>
      <c r="U668" s="48"/>
      <c r="V668" s="48"/>
      <c r="W668" s="27"/>
    </row>
    <row r="669" spans="1:23" ht="60" hidden="1" customHeight="1" x14ac:dyDescent="0.25">
      <c r="A669" s="45" t="str">
        <f>CONCATENATE(Tabla2[[#This Row],[id_solicitud]],Tabla2[[#This Row],[tipo]])</f>
        <v>75Decreto</v>
      </c>
      <c r="B669" s="45">
        <f>COUNTIF($A$2:A669,A669)</f>
        <v>1</v>
      </c>
      <c r="C669" s="45" t="str">
        <f>Tabla2[[#This Row],[(id_solicitud-tipo_documento)]]&amp;B669</f>
        <v>75Decreto1</v>
      </c>
      <c r="D669" s="45">
        <v>670</v>
      </c>
      <c r="E669" s="45">
        <v>75</v>
      </c>
      <c r="F669" s="45" t="s">
        <v>47</v>
      </c>
      <c r="G669" s="45" t="s">
        <v>43</v>
      </c>
      <c r="H669" s="50" t="s">
        <v>26</v>
      </c>
      <c r="I669" s="51">
        <v>644</v>
      </c>
      <c r="J669" s="80"/>
      <c r="K6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644 DV</v>
      </c>
      <c r="L669" s="48">
        <v>44687</v>
      </c>
      <c r="M669" s="48"/>
      <c r="N669" s="49" t="s">
        <v>802</v>
      </c>
      <c r="O669" s="45"/>
      <c r="P669" s="80"/>
      <c r="Q669" s="48"/>
      <c r="R669" s="45"/>
      <c r="S669" s="115">
        <v>219</v>
      </c>
      <c r="T669" s="20">
        <v>44670</v>
      </c>
      <c r="U669" s="20">
        <v>44699</v>
      </c>
      <c r="V669" s="20">
        <v>44699</v>
      </c>
      <c r="W669" s="27"/>
    </row>
    <row r="670" spans="1:23" ht="60" hidden="1" customHeight="1" x14ac:dyDescent="0.25">
      <c r="A670" s="45" t="str">
        <f>CONCATENATE(Tabla2[[#This Row],[id_solicitud]],Tabla2[[#This Row],[tipo]])</f>
        <v>106Decreto</v>
      </c>
      <c r="B670" s="45">
        <f>COUNTIF($A$2:A670,A670)</f>
        <v>1</v>
      </c>
      <c r="C670" s="45" t="str">
        <f>Tabla2[[#This Row],[(id_solicitud-tipo_documento)]]&amp;B670</f>
        <v>106Decreto1</v>
      </c>
      <c r="D670" s="45">
        <v>671</v>
      </c>
      <c r="E670" s="45">
        <v>106</v>
      </c>
      <c r="F670" s="45" t="s">
        <v>47</v>
      </c>
      <c r="G670" s="45" t="s">
        <v>60</v>
      </c>
      <c r="H670" s="50" t="s">
        <v>20</v>
      </c>
      <c r="I670" s="51">
        <v>649</v>
      </c>
      <c r="J670" s="80"/>
      <c r="K6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649 DOH</v>
      </c>
      <c r="L670" s="48">
        <v>44687</v>
      </c>
      <c r="M670" s="48"/>
      <c r="N670" s="49" t="s">
        <v>817</v>
      </c>
      <c r="O670" s="45"/>
      <c r="P670" s="80"/>
      <c r="Q670" s="48"/>
      <c r="R670" s="45"/>
      <c r="S670" s="115">
        <v>230</v>
      </c>
      <c r="T670" s="20">
        <v>44671</v>
      </c>
      <c r="U670" s="20">
        <v>44699</v>
      </c>
      <c r="V670" s="20">
        <v>44699</v>
      </c>
      <c r="W670" s="27"/>
    </row>
    <row r="671" spans="1:23" ht="60" hidden="1" customHeight="1" x14ac:dyDescent="0.25">
      <c r="A671" s="45" t="str">
        <f>CONCATENATE(Tabla2[[#This Row],[id_solicitud]],Tabla2[[#This Row],[tipo]])</f>
        <v>395Oficio_Solicitud</v>
      </c>
      <c r="B671" s="45">
        <f>COUNTIF($A$2:A671,A671)</f>
        <v>1</v>
      </c>
      <c r="C671" s="45" t="str">
        <f>Tabla2[[#This Row],[(id_solicitud-tipo_documento)]]&amp;B671</f>
        <v>395Oficio_Solicitud1</v>
      </c>
      <c r="D671" s="45">
        <v>672</v>
      </c>
      <c r="E671" s="45">
        <v>395</v>
      </c>
      <c r="F671" s="45" t="s">
        <v>53</v>
      </c>
      <c r="G671" s="45" t="s">
        <v>44</v>
      </c>
      <c r="H671" s="50" t="s">
        <v>22</v>
      </c>
      <c r="I671" s="51">
        <v>649</v>
      </c>
      <c r="J671" s="80"/>
      <c r="K6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649 DOP</v>
      </c>
      <c r="L671" s="48">
        <v>44803</v>
      </c>
      <c r="M671" s="48">
        <v>44804</v>
      </c>
      <c r="N671" s="49" t="s">
        <v>391</v>
      </c>
      <c r="O671" s="45"/>
      <c r="P671" s="80" t="s">
        <v>498</v>
      </c>
      <c r="Q671" s="48"/>
      <c r="R671" s="45"/>
      <c r="S671" s="114"/>
      <c r="T671" s="52"/>
      <c r="U671" s="48"/>
      <c r="V671" s="48"/>
      <c r="W671" s="27"/>
    </row>
    <row r="672" spans="1:23" ht="60" hidden="1" customHeight="1" x14ac:dyDescent="0.25">
      <c r="A672" s="45" t="str">
        <f>CONCATENATE(Tabla2[[#This Row],[id_solicitud]],Tabla2[[#This Row],[tipo]])</f>
        <v>124Decreto</v>
      </c>
      <c r="B672" s="45">
        <f>COUNTIF($A$2:A672,A672)</f>
        <v>1</v>
      </c>
      <c r="C672" s="45" t="str">
        <f>Tabla2[[#This Row],[(id_solicitud-tipo_documento)]]&amp;B672</f>
        <v>124Decreto1</v>
      </c>
      <c r="D672" s="45">
        <v>673</v>
      </c>
      <c r="E672" s="45">
        <v>124</v>
      </c>
      <c r="F672" s="45" t="s">
        <v>47</v>
      </c>
      <c r="G672" s="45" t="s">
        <v>60</v>
      </c>
      <c r="H672" s="50" t="s">
        <v>544</v>
      </c>
      <c r="I672" s="51">
        <v>651</v>
      </c>
      <c r="J672" s="80"/>
      <c r="K6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651 DAP_FETCovid19</v>
      </c>
      <c r="L672" s="48">
        <v>44687</v>
      </c>
      <c r="M672" s="48"/>
      <c r="N672" s="49">
        <f>+E672</f>
        <v>124</v>
      </c>
      <c r="O672" s="45"/>
      <c r="P672" s="80"/>
      <c r="Q672" s="48"/>
      <c r="R672" s="45"/>
      <c r="S672" s="115">
        <v>240</v>
      </c>
      <c r="T672" s="20">
        <v>44671</v>
      </c>
      <c r="U672" s="20">
        <v>44693</v>
      </c>
      <c r="V672" s="20">
        <v>44693</v>
      </c>
      <c r="W672" s="27"/>
    </row>
    <row r="673" spans="1:23" ht="60" hidden="1" customHeight="1" x14ac:dyDescent="0.25">
      <c r="A673" s="45" t="str">
        <f>CONCATENATE(Tabla2[[#This Row],[id_solicitud]],Tabla2[[#This Row],[tipo]])</f>
        <v>145Decreto</v>
      </c>
      <c r="B673" s="45">
        <f>COUNTIF($A$2:A673,A673)</f>
        <v>1</v>
      </c>
      <c r="C673" s="45" t="str">
        <f>Tabla2[[#This Row],[(id_solicitud-tipo_documento)]]&amp;B673</f>
        <v>145Decreto1</v>
      </c>
      <c r="D673" s="45">
        <v>674</v>
      </c>
      <c r="E673" s="45">
        <v>145</v>
      </c>
      <c r="F673" s="45" t="s">
        <v>47</v>
      </c>
      <c r="G673" s="45" t="s">
        <v>60</v>
      </c>
      <c r="H673" s="50" t="s">
        <v>6</v>
      </c>
      <c r="I673" s="51">
        <v>652</v>
      </c>
      <c r="J673" s="80"/>
      <c r="K6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652 APR</v>
      </c>
      <c r="L673" s="48">
        <v>44687</v>
      </c>
      <c r="M673" s="48"/>
      <c r="N673" s="49" t="s">
        <v>830</v>
      </c>
      <c r="O673" s="45"/>
      <c r="P673" s="80"/>
      <c r="Q673" s="48"/>
      <c r="R673" s="45"/>
      <c r="S673" s="115">
        <v>245</v>
      </c>
      <c r="T673" s="20">
        <v>44671</v>
      </c>
      <c r="U673" s="20">
        <v>44700</v>
      </c>
      <c r="V673" s="20">
        <v>44700</v>
      </c>
      <c r="W673" s="27"/>
    </row>
    <row r="674" spans="1:23" ht="60" hidden="1" customHeight="1" x14ac:dyDescent="0.25">
      <c r="A674" s="45" t="str">
        <f>CONCATENATE(Tabla2[[#This Row],[id_solicitud]],Tabla2[[#This Row],[tipo]])</f>
        <v>416Proposicion</v>
      </c>
      <c r="B674" s="45">
        <f>COUNTIF($A$2:A674,A674)</f>
        <v>1</v>
      </c>
      <c r="C674" s="45" t="str">
        <f>Tabla2[[#This Row],[(id_solicitud-tipo_documento)]]&amp;B674</f>
        <v>416Proposicion1</v>
      </c>
      <c r="D674" s="45">
        <v>675</v>
      </c>
      <c r="E674" s="45">
        <v>416</v>
      </c>
      <c r="F674" s="45" t="s">
        <v>46</v>
      </c>
      <c r="G674" s="45" t="s">
        <v>1258</v>
      </c>
      <c r="H674" s="50" t="s">
        <v>8</v>
      </c>
      <c r="I674" s="51">
        <v>652</v>
      </c>
      <c r="J674" s="80"/>
      <c r="K6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652 DA</v>
      </c>
      <c r="L674" s="48">
        <v>44830</v>
      </c>
      <c r="M674" s="48">
        <v>44830</v>
      </c>
      <c r="N674" s="49" t="s">
        <v>401</v>
      </c>
      <c r="O674" s="45">
        <v>1</v>
      </c>
      <c r="P674" s="80" t="s">
        <v>494</v>
      </c>
      <c r="Q674" s="24"/>
      <c r="R674" s="24" t="s">
        <v>24</v>
      </c>
      <c r="S674" s="114"/>
      <c r="T674" s="45"/>
      <c r="U674" s="48"/>
      <c r="V674" s="48"/>
      <c r="W674" s="27"/>
    </row>
    <row r="675" spans="1:23" ht="60" hidden="1" customHeight="1" x14ac:dyDescent="0.25">
      <c r="A675" s="45" t="str">
        <f>CONCATENATE(Tabla2[[#This Row],[id_solicitud]],Tabla2[[#This Row],[tipo]])</f>
        <v>467Oficio_Solicitud</v>
      </c>
      <c r="B675" s="45">
        <f>COUNTIF($A$2:A675,A675)</f>
        <v>1</v>
      </c>
      <c r="C675" s="45" t="str">
        <f>Tabla2[[#This Row],[(id_solicitud-tipo_documento)]]&amp;B675</f>
        <v>467Oficio_Solicitud1</v>
      </c>
      <c r="D675" s="45">
        <v>676</v>
      </c>
      <c r="E675" s="45">
        <v>467</v>
      </c>
      <c r="F675" s="45" t="s">
        <v>53</v>
      </c>
      <c r="G675" s="45" t="s">
        <v>59</v>
      </c>
      <c r="H675" s="50" t="s">
        <v>12</v>
      </c>
      <c r="I675" s="51">
        <v>652</v>
      </c>
      <c r="J675" s="80"/>
      <c r="K6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652 DCyF</v>
      </c>
      <c r="L675" s="48">
        <v>44845</v>
      </c>
      <c r="M675" s="48">
        <v>44846</v>
      </c>
      <c r="N675" s="49" t="s">
        <v>438</v>
      </c>
      <c r="O675" s="45"/>
      <c r="P675" s="80" t="s">
        <v>496</v>
      </c>
      <c r="Q675" s="48"/>
      <c r="R675" s="45"/>
      <c r="S675" s="114"/>
      <c r="T675" s="52"/>
      <c r="U675" s="48"/>
      <c r="V675" s="48"/>
      <c r="W675" s="27"/>
    </row>
    <row r="676" spans="1:23" ht="60" hidden="1" customHeight="1" x14ac:dyDescent="0.25">
      <c r="A676" s="45" t="str">
        <f>CONCATENATE(Tabla2[[#This Row],[id_solicitud]],Tabla2[[#This Row],[tipo]])</f>
        <v>419Proposicion</v>
      </c>
      <c r="B676" s="45">
        <f>COUNTIF($A$2:A676,A676)</f>
        <v>1</v>
      </c>
      <c r="C676" s="45" t="str">
        <f>Tabla2[[#This Row],[(id_solicitud-tipo_documento)]]&amp;B676</f>
        <v>419Proposicion1</v>
      </c>
      <c r="D676" s="45">
        <v>677</v>
      </c>
      <c r="E676" s="45">
        <v>419</v>
      </c>
      <c r="F676" s="45" t="s">
        <v>46</v>
      </c>
      <c r="G676" s="45" t="s">
        <v>1258</v>
      </c>
      <c r="H676" s="50" t="s">
        <v>10</v>
      </c>
      <c r="I676" s="51">
        <v>653</v>
      </c>
      <c r="J676" s="80"/>
      <c r="K6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653 DAP</v>
      </c>
      <c r="L676" s="48">
        <v>44830</v>
      </c>
      <c r="M676" s="48">
        <v>44830</v>
      </c>
      <c r="N676" s="49" t="s">
        <v>404</v>
      </c>
      <c r="O676" s="45">
        <v>4</v>
      </c>
      <c r="P676" s="80" t="s">
        <v>494</v>
      </c>
      <c r="Q676" s="24"/>
      <c r="R676" s="24" t="s">
        <v>24</v>
      </c>
      <c r="S676" s="114"/>
      <c r="T676" s="45"/>
      <c r="U676" s="48"/>
      <c r="V676" s="48"/>
      <c r="W676" s="27"/>
    </row>
    <row r="677" spans="1:23" ht="60" hidden="1" customHeight="1" x14ac:dyDescent="0.25">
      <c r="A677" s="45" t="str">
        <f>CONCATENATE(Tabla2[[#This Row],[id_solicitud]],Tabla2[[#This Row],[tipo]])</f>
        <v>24Oficio_Solicitud</v>
      </c>
      <c r="B677" s="45">
        <f>COUNTIF($A$2:A677,A677)</f>
        <v>1</v>
      </c>
      <c r="C677" s="45" t="str">
        <f>Tabla2[[#This Row],[(id_solicitud-tipo_documento)]]&amp;B677</f>
        <v>24Oficio_Solicitud1</v>
      </c>
      <c r="D677" s="45">
        <v>678</v>
      </c>
      <c r="E677" s="45">
        <v>24</v>
      </c>
      <c r="F677" s="45" t="s">
        <v>53</v>
      </c>
      <c r="G677" s="45" t="s">
        <v>43</v>
      </c>
      <c r="H677" s="50" t="s">
        <v>544</v>
      </c>
      <c r="I677" s="51">
        <v>653</v>
      </c>
      <c r="J677" s="80"/>
      <c r="K6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653 DAP_FETCovid19</v>
      </c>
      <c r="L677" s="48">
        <v>44551</v>
      </c>
      <c r="M677" s="48">
        <v>44551</v>
      </c>
      <c r="N677" s="49" t="s">
        <v>92</v>
      </c>
      <c r="O677" s="45">
        <v>9</v>
      </c>
      <c r="P677" s="80" t="s">
        <v>494</v>
      </c>
      <c r="Q677" s="48"/>
      <c r="R677" s="45"/>
      <c r="S677" s="114"/>
      <c r="T677" s="52"/>
      <c r="U677" s="48"/>
      <c r="V677" s="48"/>
      <c r="W677" s="27"/>
    </row>
    <row r="678" spans="1:23" ht="60" hidden="1" customHeight="1" x14ac:dyDescent="0.25">
      <c r="A678" s="45" t="str">
        <f>CONCATENATE(Tabla2[[#This Row],[id_solicitud]],Tabla2[[#This Row],[tipo]])</f>
        <v>488Oficio_Solicitud</v>
      </c>
      <c r="B678" s="45">
        <f>COUNTIF($A$2:A678,A678)</f>
        <v>1</v>
      </c>
      <c r="C678" s="45" t="str">
        <f>Tabla2[[#This Row],[(id_solicitud-tipo_documento)]]&amp;B678</f>
        <v>488Oficio_Solicitud1</v>
      </c>
      <c r="D678" s="45">
        <v>679</v>
      </c>
      <c r="E678" s="45">
        <v>488</v>
      </c>
      <c r="F678" s="45" t="s">
        <v>53</v>
      </c>
      <c r="G678" s="45" t="s">
        <v>41</v>
      </c>
      <c r="H678" s="50" t="s">
        <v>12</v>
      </c>
      <c r="I678" s="51">
        <v>653</v>
      </c>
      <c r="J678" s="80"/>
      <c r="K6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653 DCyF</v>
      </c>
      <c r="L678" s="48">
        <v>44845</v>
      </c>
      <c r="M678" s="48">
        <v>44851</v>
      </c>
      <c r="N678" s="49" t="s">
        <v>456</v>
      </c>
      <c r="O678" s="45"/>
      <c r="P678" s="80" t="s">
        <v>498</v>
      </c>
      <c r="Q678" s="48"/>
      <c r="R678" s="45"/>
      <c r="S678" s="114"/>
      <c r="T678" s="52"/>
      <c r="U678" s="48"/>
      <c r="V678" s="48"/>
      <c r="W678" s="27"/>
    </row>
    <row r="679" spans="1:23" ht="60" hidden="1" customHeight="1" x14ac:dyDescent="0.25">
      <c r="A679" s="45" t="str">
        <f>CONCATENATE(Tabla2[[#This Row],[id_solicitud]],Tabla2[[#This Row],[tipo]])</f>
        <v>94Decreto</v>
      </c>
      <c r="B679" s="45">
        <f>COUNTIF($A$2:A679,A679)</f>
        <v>1</v>
      </c>
      <c r="C679" s="45" t="str">
        <f>Tabla2[[#This Row],[(id_solicitud-tipo_documento)]]&amp;B679</f>
        <v>94Decreto1</v>
      </c>
      <c r="D679" s="45">
        <v>680</v>
      </c>
      <c r="E679" s="45">
        <v>94</v>
      </c>
      <c r="F679" s="45" t="s">
        <v>47</v>
      </c>
      <c r="G679" s="45" t="s">
        <v>60</v>
      </c>
      <c r="H679" s="50" t="s">
        <v>538</v>
      </c>
      <c r="I679" s="51">
        <v>654</v>
      </c>
      <c r="J679" s="80"/>
      <c r="K6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654 DV_FETCovid19</v>
      </c>
      <c r="L679" s="48">
        <v>44687</v>
      </c>
      <c r="M679" s="48"/>
      <c r="N679" s="49" t="s">
        <v>814</v>
      </c>
      <c r="O679" s="45"/>
      <c r="P679" s="80"/>
      <c r="Q679" s="48"/>
      <c r="R679" s="45"/>
      <c r="S679" s="115">
        <v>243</v>
      </c>
      <c r="T679" s="20">
        <v>44672</v>
      </c>
      <c r="U679" s="25">
        <v>44697</v>
      </c>
      <c r="V679" s="25">
        <v>44697</v>
      </c>
      <c r="W679" s="27"/>
    </row>
    <row r="680" spans="1:23" ht="60" hidden="1" customHeight="1" x14ac:dyDescent="0.25">
      <c r="A680" s="45" t="str">
        <f>CONCATENATE(Tabla2[[#This Row],[id_solicitud]],Tabla2[[#This Row],[tipo]])</f>
        <v>430Proposicion</v>
      </c>
      <c r="B680" s="45">
        <f>COUNTIF($A$2:A680,A680)</f>
        <v>1</v>
      </c>
      <c r="C680" s="45" t="str">
        <f>Tabla2[[#This Row],[(id_solicitud-tipo_documento)]]&amp;B680</f>
        <v>430Proposicion1</v>
      </c>
      <c r="D680" s="45">
        <v>681</v>
      </c>
      <c r="E680" s="45">
        <v>430</v>
      </c>
      <c r="F680" s="45" t="s">
        <v>46</v>
      </c>
      <c r="G680" s="45" t="s">
        <v>1258</v>
      </c>
      <c r="H680" s="50" t="s">
        <v>544</v>
      </c>
      <c r="I680" s="51">
        <v>654</v>
      </c>
      <c r="J680" s="80"/>
      <c r="K6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654 DAP_FETCovid19</v>
      </c>
      <c r="L680" s="48">
        <v>44830</v>
      </c>
      <c r="M680" s="48">
        <v>44830</v>
      </c>
      <c r="N680" s="49" t="s">
        <v>413</v>
      </c>
      <c r="O680" s="45">
        <v>1</v>
      </c>
      <c r="P680" s="80" t="s">
        <v>494</v>
      </c>
      <c r="Q680" s="24"/>
      <c r="R680" s="24" t="s">
        <v>24</v>
      </c>
      <c r="S680" s="114"/>
      <c r="T680" s="45"/>
      <c r="U680" s="48"/>
      <c r="V680" s="48"/>
      <c r="W680" s="27"/>
    </row>
    <row r="681" spans="1:23" ht="60" hidden="1" customHeight="1" x14ac:dyDescent="0.25">
      <c r="A681" s="45" t="str">
        <f>CONCATENATE(Tabla2[[#This Row],[id_solicitud]],Tabla2[[#This Row],[tipo]])</f>
        <v>428Proposicion</v>
      </c>
      <c r="B681" s="45">
        <f>COUNTIF($A$2:A681,A681)</f>
        <v>1</v>
      </c>
      <c r="C681" s="45" t="str">
        <f>Tabla2[[#This Row],[(id_solicitud-tipo_documento)]]&amp;B681</f>
        <v>428Proposicion1</v>
      </c>
      <c r="D681" s="45">
        <v>682</v>
      </c>
      <c r="E681" s="45">
        <v>428</v>
      </c>
      <c r="F681" s="45" t="s">
        <v>46</v>
      </c>
      <c r="G681" s="45" t="s">
        <v>60</v>
      </c>
      <c r="H681" s="50" t="s">
        <v>10</v>
      </c>
      <c r="I681" s="51">
        <v>655</v>
      </c>
      <c r="J681" s="80"/>
      <c r="K6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655 DAP</v>
      </c>
      <c r="L681" s="48">
        <v>44830</v>
      </c>
      <c r="M681" s="48">
        <v>44830</v>
      </c>
      <c r="N681" s="49" t="s">
        <v>412</v>
      </c>
      <c r="O681" s="45">
        <v>6</v>
      </c>
      <c r="P681" s="80" t="s">
        <v>494</v>
      </c>
      <c r="Q681" s="24"/>
      <c r="R681" s="24" t="s">
        <v>24</v>
      </c>
      <c r="S681" s="114"/>
      <c r="T681" s="45"/>
      <c r="U681" s="48"/>
      <c r="V681" s="48"/>
      <c r="W681" s="27"/>
    </row>
    <row r="682" spans="1:23" ht="60" hidden="1" customHeight="1" x14ac:dyDescent="0.25">
      <c r="A682" s="45" t="str">
        <f>CONCATENATE(Tabla2[[#This Row],[id_solicitud]],Tabla2[[#This Row],[tipo]])</f>
        <v>470Proposicion</v>
      </c>
      <c r="B682" s="45">
        <f>COUNTIF($A$2:A682,A682)</f>
        <v>1</v>
      </c>
      <c r="C682" s="45" t="str">
        <f>Tabla2[[#This Row],[(id_solicitud-tipo_documento)]]&amp;B682</f>
        <v>470Proposicion1</v>
      </c>
      <c r="D682" s="45">
        <v>683</v>
      </c>
      <c r="E682" s="45">
        <v>470</v>
      </c>
      <c r="F682" s="45" t="s">
        <v>46</v>
      </c>
      <c r="G682" s="45" t="s">
        <v>1259</v>
      </c>
      <c r="H682" s="50" t="s">
        <v>16</v>
      </c>
      <c r="I682" s="51">
        <v>655</v>
      </c>
      <c r="J682" s="80"/>
      <c r="K6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655 DGC</v>
      </c>
      <c r="L682" s="48">
        <v>44845</v>
      </c>
      <c r="M682" s="48">
        <v>44845</v>
      </c>
      <c r="N682" s="49" t="s">
        <v>440</v>
      </c>
      <c r="O682" s="45"/>
      <c r="P682" s="80" t="s">
        <v>497</v>
      </c>
      <c r="Q682" s="24"/>
      <c r="R682" s="24" t="s">
        <v>12</v>
      </c>
      <c r="S682" s="114"/>
      <c r="T682" s="45"/>
      <c r="U682" s="48"/>
      <c r="V682" s="48"/>
      <c r="W682" s="27"/>
    </row>
    <row r="683" spans="1:23" ht="60" hidden="1" customHeight="1" x14ac:dyDescent="0.25">
      <c r="A683" s="45" t="str">
        <f>CONCATENATE(Tabla2[[#This Row],[id_solicitud]],Tabla2[[#This Row],[tipo]])</f>
        <v>151Decreto</v>
      </c>
      <c r="B683" s="45">
        <f>COUNTIF($A$2:A683,A683)</f>
        <v>1</v>
      </c>
      <c r="C683" s="45" t="str">
        <f>Tabla2[[#This Row],[(id_solicitud-tipo_documento)]]&amp;B683</f>
        <v>151Decreto1</v>
      </c>
      <c r="D683" s="45">
        <v>684</v>
      </c>
      <c r="E683" s="45">
        <v>151</v>
      </c>
      <c r="F683" s="45" t="s">
        <v>47</v>
      </c>
      <c r="G683" s="45" t="s">
        <v>60</v>
      </c>
      <c r="H683" s="50" t="s">
        <v>8</v>
      </c>
      <c r="I683" s="51">
        <v>662</v>
      </c>
      <c r="J683" s="80"/>
      <c r="K6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662 DA</v>
      </c>
      <c r="L683" s="48">
        <v>44692</v>
      </c>
      <c r="M683" s="48"/>
      <c r="N683" s="49" t="s">
        <v>832</v>
      </c>
      <c r="O683" s="45"/>
      <c r="P683" s="80"/>
      <c r="Q683" s="48"/>
      <c r="R683" s="45"/>
      <c r="S683" s="115">
        <v>256</v>
      </c>
      <c r="T683" s="20">
        <v>44679</v>
      </c>
      <c r="U683" s="20">
        <v>44706</v>
      </c>
      <c r="V683" s="20">
        <v>44706</v>
      </c>
      <c r="W683" s="27"/>
    </row>
    <row r="684" spans="1:23" ht="60" hidden="1" customHeight="1" x14ac:dyDescent="0.25">
      <c r="A684" s="45" t="str">
        <f>CONCATENATE(Tabla2[[#This Row],[id_solicitud]],Tabla2[[#This Row],[tipo]])</f>
        <v>93Decreto</v>
      </c>
      <c r="B684" s="45">
        <f>COUNTIF($A$2:A684,A684)</f>
        <v>1</v>
      </c>
      <c r="C684" s="45" t="str">
        <f>Tabla2[[#This Row],[(id_solicitud-tipo_documento)]]&amp;B684</f>
        <v>93Decreto1</v>
      </c>
      <c r="D684" s="45">
        <v>685</v>
      </c>
      <c r="E684" s="45">
        <v>93</v>
      </c>
      <c r="F684" s="45" t="s">
        <v>47</v>
      </c>
      <c r="G684" s="45" t="s">
        <v>60</v>
      </c>
      <c r="H684" s="50" t="s">
        <v>26</v>
      </c>
      <c r="I684" s="51">
        <v>664</v>
      </c>
      <c r="J684" s="80"/>
      <c r="K6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664 DV</v>
      </c>
      <c r="L684" s="48">
        <v>44692</v>
      </c>
      <c r="M684" s="48"/>
      <c r="N684" s="49" t="s">
        <v>813</v>
      </c>
      <c r="O684" s="45"/>
      <c r="P684" s="80"/>
      <c r="Q684" s="48"/>
      <c r="R684" s="45"/>
      <c r="S684" s="115">
        <v>262</v>
      </c>
      <c r="T684" s="20">
        <v>44679</v>
      </c>
      <c r="U684" s="20">
        <v>44706</v>
      </c>
      <c r="V684" s="20">
        <v>44706</v>
      </c>
      <c r="W684" s="27"/>
    </row>
    <row r="685" spans="1:23" ht="60" hidden="1" customHeight="1" x14ac:dyDescent="0.25">
      <c r="A685" s="45" t="str">
        <f>CONCATENATE(Tabla2[[#This Row],[id_solicitud]],Tabla2[[#This Row],[tipo]])</f>
        <v>242Resolucion</v>
      </c>
      <c r="B685" s="45">
        <f>COUNTIF($A$2:A685,A685)</f>
        <v>1</v>
      </c>
      <c r="C685" s="45" t="str">
        <f>Tabla2[[#This Row],[(id_solicitud-tipo_documento)]]&amp;B685</f>
        <v>242Resolucion1</v>
      </c>
      <c r="D685" s="45">
        <v>686</v>
      </c>
      <c r="E685" s="45">
        <v>242</v>
      </c>
      <c r="F685" s="45" t="s">
        <v>48</v>
      </c>
      <c r="G685" s="45"/>
      <c r="H685" s="50" t="s">
        <v>541</v>
      </c>
      <c r="I685" s="51">
        <v>664</v>
      </c>
      <c r="J685" s="80"/>
      <c r="K6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685" s="48">
        <v>44719</v>
      </c>
      <c r="M685" s="48"/>
      <c r="N685" s="49"/>
      <c r="O685" s="45"/>
      <c r="P685" s="80"/>
      <c r="Q685" s="48"/>
      <c r="R685" s="45"/>
      <c r="S685" s="114"/>
      <c r="T685" s="45"/>
      <c r="U685" s="48"/>
      <c r="V685" s="48"/>
      <c r="W685" s="27"/>
    </row>
    <row r="686" spans="1:23" ht="60" hidden="1" customHeight="1" x14ac:dyDescent="0.25">
      <c r="A686" s="45" t="str">
        <f>CONCATENATE(Tabla2[[#This Row],[id_solicitud]],Tabla2[[#This Row],[tipo]])</f>
        <v>59Resolucion</v>
      </c>
      <c r="B686" s="45">
        <f>COUNTIF($A$2:A686,A686)</f>
        <v>1</v>
      </c>
      <c r="C686" s="45" t="str">
        <f>Tabla2[[#This Row],[(id_solicitud-tipo_documento)]]&amp;B686</f>
        <v>59Resolucion1</v>
      </c>
      <c r="D686" s="45">
        <v>687</v>
      </c>
      <c r="E686" s="45">
        <v>59</v>
      </c>
      <c r="F686" s="45" t="s">
        <v>48</v>
      </c>
      <c r="G686" s="45"/>
      <c r="H686" s="50" t="s">
        <v>26</v>
      </c>
      <c r="I686" s="51">
        <v>665</v>
      </c>
      <c r="J686" s="80"/>
      <c r="K6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686" s="48">
        <v>44644</v>
      </c>
      <c r="M686" s="48"/>
      <c r="N686" s="49"/>
      <c r="O686" s="45"/>
      <c r="P686" s="80"/>
      <c r="Q686" s="48"/>
      <c r="R686" s="45"/>
      <c r="S686" s="114"/>
      <c r="T686" s="45"/>
      <c r="U686" s="48"/>
      <c r="V686" s="48"/>
      <c r="W686" s="27"/>
    </row>
    <row r="687" spans="1:23" ht="60" hidden="1" customHeight="1" x14ac:dyDescent="0.25">
      <c r="A687" s="45" t="str">
        <f>CONCATENATE(Tabla2[[#This Row],[id_solicitud]],Tabla2[[#This Row],[tipo]])</f>
        <v>3Oficio_Solicitud</v>
      </c>
      <c r="B687" s="45">
        <f>COUNTIF($A$2:A687,A687)</f>
        <v>1</v>
      </c>
      <c r="C687" s="45" t="str">
        <f>Tabla2[[#This Row],[(id_solicitud-tipo_documento)]]&amp;B687</f>
        <v>3Oficio_Solicitud1</v>
      </c>
      <c r="D687" s="45">
        <v>688</v>
      </c>
      <c r="E687" s="45">
        <v>3</v>
      </c>
      <c r="F687" s="45" t="s">
        <v>53</v>
      </c>
      <c r="G687" s="45" t="s">
        <v>43</v>
      </c>
      <c r="H687" s="50" t="s">
        <v>22</v>
      </c>
      <c r="I687" s="51">
        <v>666</v>
      </c>
      <c r="J687" s="80"/>
      <c r="K6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666 DOP</v>
      </c>
      <c r="L687" s="48">
        <v>44532</v>
      </c>
      <c r="M687" s="48">
        <v>44533</v>
      </c>
      <c r="N687" s="49" t="s">
        <v>71</v>
      </c>
      <c r="O687" s="45">
        <v>72</v>
      </c>
      <c r="P687" s="80" t="s">
        <v>494</v>
      </c>
      <c r="Q687" s="20"/>
      <c r="R687" s="45"/>
      <c r="S687" s="114"/>
      <c r="T687" s="52"/>
      <c r="U687" s="48"/>
      <c r="V687" s="48"/>
      <c r="W687" s="27"/>
    </row>
    <row r="688" spans="1:23" ht="60" hidden="1" customHeight="1" x14ac:dyDescent="0.25">
      <c r="A688" s="45" t="str">
        <f>CONCATENATE(Tabla2[[#This Row],[id_solicitud]],Tabla2[[#This Row],[tipo]])</f>
        <v>154Decreto</v>
      </c>
      <c r="B688" s="45">
        <f>COUNTIF($A$2:A688,A688)</f>
        <v>1</v>
      </c>
      <c r="C688" s="45" t="str">
        <f>Tabla2[[#This Row],[(id_solicitud-tipo_documento)]]&amp;B688</f>
        <v>154Decreto1</v>
      </c>
      <c r="D688" s="45">
        <v>689</v>
      </c>
      <c r="E688" s="45">
        <v>154</v>
      </c>
      <c r="F688" s="45" t="s">
        <v>47</v>
      </c>
      <c r="G688" s="45" t="s">
        <v>60</v>
      </c>
      <c r="H688" s="50" t="s">
        <v>541</v>
      </c>
      <c r="I688" s="51">
        <v>667</v>
      </c>
      <c r="J688" s="80"/>
      <c r="K6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667 DOP_FETCovid19</v>
      </c>
      <c r="L688" s="48">
        <v>44692</v>
      </c>
      <c r="M688" s="48"/>
      <c r="N688" s="49" t="s">
        <v>835</v>
      </c>
      <c r="O688" s="45"/>
      <c r="P688" s="80"/>
      <c r="Q688" s="48"/>
      <c r="R688" s="45"/>
      <c r="S688" s="115">
        <v>264</v>
      </c>
      <c r="T688" s="20">
        <v>44678</v>
      </c>
      <c r="U688" s="20">
        <v>44700</v>
      </c>
      <c r="V688" s="20">
        <v>44700</v>
      </c>
      <c r="W688" s="27"/>
    </row>
    <row r="689" spans="1:23" ht="60" hidden="1" customHeight="1" x14ac:dyDescent="0.25">
      <c r="A689" s="45" t="str">
        <f>CONCATENATE(Tabla2[[#This Row],[id_solicitud]],Tabla2[[#This Row],[tipo]])</f>
        <v>476Proposicion</v>
      </c>
      <c r="B689" s="45">
        <f>COUNTIF($A$2:A689,A689)</f>
        <v>1</v>
      </c>
      <c r="C689" s="45" t="str">
        <f>Tabla2[[#This Row],[(id_solicitud-tipo_documento)]]&amp;B689</f>
        <v>476Proposicion1</v>
      </c>
      <c r="D689" s="45">
        <v>690</v>
      </c>
      <c r="E689" s="45">
        <v>476</v>
      </c>
      <c r="F689" s="45" t="s">
        <v>46</v>
      </c>
      <c r="G689" s="45" t="s">
        <v>44</v>
      </c>
      <c r="H689" s="50" t="s">
        <v>24</v>
      </c>
      <c r="I689" s="51">
        <v>667</v>
      </c>
      <c r="J689" s="80"/>
      <c r="K6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667 DP</v>
      </c>
      <c r="L689" s="48">
        <v>44852</v>
      </c>
      <c r="M689" s="48">
        <v>44853</v>
      </c>
      <c r="N689" s="49" t="s">
        <v>445</v>
      </c>
      <c r="O689" s="45"/>
      <c r="P689" s="80" t="s">
        <v>497</v>
      </c>
      <c r="Q689" s="24"/>
      <c r="R689" s="24" t="s">
        <v>12</v>
      </c>
      <c r="S689" s="114"/>
      <c r="T689" s="45"/>
      <c r="U689" s="48"/>
      <c r="V689" s="48"/>
      <c r="W689" s="27"/>
    </row>
    <row r="690" spans="1:23" ht="60" hidden="1" customHeight="1" x14ac:dyDescent="0.25">
      <c r="A690" s="45" t="str">
        <f>CONCATENATE(Tabla2[[#This Row],[id_solicitud]],Tabla2[[#This Row],[tipo]])</f>
        <v>4Oficio_Solicitud</v>
      </c>
      <c r="B690" s="45">
        <f>COUNTIF($A$2:A690,A690)</f>
        <v>1</v>
      </c>
      <c r="C690" s="45" t="str">
        <f>Tabla2[[#This Row],[(id_solicitud-tipo_documento)]]&amp;B690</f>
        <v>4Oficio_Solicitud1</v>
      </c>
      <c r="D690" s="45">
        <v>691</v>
      </c>
      <c r="E690" s="45">
        <v>4</v>
      </c>
      <c r="F690" s="45" t="s">
        <v>53</v>
      </c>
      <c r="G690" s="45" t="s">
        <v>43</v>
      </c>
      <c r="H690" s="50" t="s">
        <v>541</v>
      </c>
      <c r="I690" s="51">
        <v>667</v>
      </c>
      <c r="J690" s="80"/>
      <c r="K6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667 DOP_FETCovid19</v>
      </c>
      <c r="L690" s="48">
        <v>44532</v>
      </c>
      <c r="M690" s="48">
        <v>44533</v>
      </c>
      <c r="N690" s="49" t="s">
        <v>72</v>
      </c>
      <c r="O690" s="45">
        <v>11</v>
      </c>
      <c r="P690" s="80" t="s">
        <v>494</v>
      </c>
      <c r="Q690" s="48"/>
      <c r="R690" s="45"/>
      <c r="S690" s="114"/>
      <c r="T690" s="52"/>
      <c r="U690" s="48"/>
      <c r="V690" s="48"/>
      <c r="W690" s="27"/>
    </row>
    <row r="691" spans="1:23" ht="60" hidden="1" customHeight="1" x14ac:dyDescent="0.25">
      <c r="A691" s="45" t="str">
        <f>CONCATENATE(Tabla2[[#This Row],[id_solicitud]],Tabla2[[#This Row],[tipo]])</f>
        <v>494Oficio_Solicitud</v>
      </c>
      <c r="B691" s="45">
        <f>COUNTIF($A$2:A691,A691)</f>
        <v>1</v>
      </c>
      <c r="C691" s="45" t="str">
        <f>Tabla2[[#This Row],[(id_solicitud-tipo_documento)]]&amp;B691</f>
        <v>494Oficio_Solicitud1</v>
      </c>
      <c r="D691" s="45">
        <v>692</v>
      </c>
      <c r="E691" s="45">
        <v>494</v>
      </c>
      <c r="F691" s="45" t="s">
        <v>53</v>
      </c>
      <c r="G691" s="45" t="s">
        <v>44</v>
      </c>
      <c r="H691" s="50" t="s">
        <v>24</v>
      </c>
      <c r="I691" s="51">
        <v>669</v>
      </c>
      <c r="J691" s="80"/>
      <c r="K6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669 DP</v>
      </c>
      <c r="L691" s="48">
        <v>44832</v>
      </c>
      <c r="M691" s="48">
        <v>44832</v>
      </c>
      <c r="N691" s="49" t="s">
        <v>462</v>
      </c>
      <c r="O691" s="45"/>
      <c r="P691" s="80" t="s">
        <v>500</v>
      </c>
      <c r="Q691" s="48"/>
      <c r="R691" s="45"/>
      <c r="S691" s="114"/>
      <c r="T691" s="52"/>
      <c r="U691" s="48"/>
      <c r="V691" s="48"/>
      <c r="W691" s="27"/>
    </row>
    <row r="692" spans="1:23" ht="60" hidden="1" customHeight="1" x14ac:dyDescent="0.25">
      <c r="A692" s="45" t="str">
        <f>CONCATENATE(Tabla2[[#This Row],[id_solicitud]],Tabla2[[#This Row],[tipo]])</f>
        <v>494Proposicion</v>
      </c>
      <c r="B692" s="45">
        <f>COUNTIF($A$2:A692,A692)</f>
        <v>1</v>
      </c>
      <c r="C692" s="45" t="str">
        <f>Tabla2[[#This Row],[(id_solicitud-tipo_documento)]]&amp;B692</f>
        <v>494Proposicion1</v>
      </c>
      <c r="D692" s="45">
        <v>693</v>
      </c>
      <c r="E692" s="45">
        <v>494</v>
      </c>
      <c r="F692" s="45" t="s">
        <v>46</v>
      </c>
      <c r="G692" s="45" t="s">
        <v>44</v>
      </c>
      <c r="H692" s="50" t="s">
        <v>24</v>
      </c>
      <c r="I692" s="51">
        <v>670</v>
      </c>
      <c r="J692" s="80"/>
      <c r="K6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670 DP</v>
      </c>
      <c r="L692" s="48">
        <v>44853</v>
      </c>
      <c r="M692" s="48">
        <v>44854</v>
      </c>
      <c r="N692" s="49" t="s">
        <v>462</v>
      </c>
      <c r="O692" s="45"/>
      <c r="P692" s="80" t="s">
        <v>500</v>
      </c>
      <c r="Q692" s="24"/>
      <c r="R692" s="24" t="s">
        <v>12</v>
      </c>
      <c r="S692" s="114"/>
      <c r="T692" s="45"/>
      <c r="U692" s="48"/>
      <c r="V692" s="48"/>
      <c r="W692" s="27"/>
    </row>
    <row r="693" spans="1:23" ht="60" hidden="1" customHeight="1" x14ac:dyDescent="0.25">
      <c r="A693" s="45" t="str">
        <f>CONCATENATE(Tabla2[[#This Row],[id_solicitud]],Tabla2[[#This Row],[tipo]])</f>
        <v>165Decreto</v>
      </c>
      <c r="B693" s="45">
        <f>COUNTIF($A$2:A693,A693)</f>
        <v>1</v>
      </c>
      <c r="C693" s="45" t="str">
        <f>Tabla2[[#This Row],[(id_solicitud-tipo_documento)]]&amp;B693</f>
        <v>165Decreto1</v>
      </c>
      <c r="D693" s="45">
        <v>694</v>
      </c>
      <c r="E693" s="45">
        <v>165</v>
      </c>
      <c r="F693" s="45" t="s">
        <v>47</v>
      </c>
      <c r="G693" s="45" t="s">
        <v>60</v>
      </c>
      <c r="H693" s="50" t="s">
        <v>22</v>
      </c>
      <c r="I693" s="51">
        <v>672</v>
      </c>
      <c r="J693" s="80"/>
      <c r="K6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672 DOP</v>
      </c>
      <c r="L693" s="48">
        <v>44692</v>
      </c>
      <c r="M693" s="48"/>
      <c r="N693" s="49" t="s">
        <v>840</v>
      </c>
      <c r="O693" s="45"/>
      <c r="P693" s="80"/>
      <c r="Q693" s="48"/>
      <c r="R693" s="45"/>
      <c r="S693" s="115">
        <v>302</v>
      </c>
      <c r="T693" s="20">
        <v>44683</v>
      </c>
      <c r="U693" s="20">
        <v>44706</v>
      </c>
      <c r="V693" s="20">
        <v>44706</v>
      </c>
      <c r="W693" s="27"/>
    </row>
    <row r="694" spans="1:23" ht="60" hidden="1" customHeight="1" x14ac:dyDescent="0.25">
      <c r="A694" s="45" t="str">
        <f>CONCATENATE(Tabla2[[#This Row],[id_solicitud]],Tabla2[[#This Row],[tipo]])</f>
        <v>493Proposicion</v>
      </c>
      <c r="B694" s="45">
        <f>COUNTIF($A$2:A694,A694)</f>
        <v>1</v>
      </c>
      <c r="C694" s="45" t="str">
        <f>Tabla2[[#This Row],[(id_solicitud-tipo_documento)]]&amp;B694</f>
        <v>493Proposicion1</v>
      </c>
      <c r="D694" s="45">
        <v>695</v>
      </c>
      <c r="E694" s="45">
        <v>493</v>
      </c>
      <c r="F694" s="45" t="s">
        <v>46</v>
      </c>
      <c r="G694" s="45" t="s">
        <v>44</v>
      </c>
      <c r="H694" s="50" t="s">
        <v>35</v>
      </c>
      <c r="I694" s="51">
        <v>672</v>
      </c>
      <c r="J694" s="80"/>
      <c r="K6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672 SOP</v>
      </c>
      <c r="L694" s="48">
        <v>44854</v>
      </c>
      <c r="M694" s="48">
        <v>44854</v>
      </c>
      <c r="N694" s="49" t="s">
        <v>461</v>
      </c>
      <c r="O694" s="45"/>
      <c r="P694" s="80" t="s">
        <v>497</v>
      </c>
      <c r="Q694" s="24"/>
      <c r="R694" s="24" t="s">
        <v>12</v>
      </c>
      <c r="S694" s="114"/>
      <c r="T694" s="45"/>
      <c r="U694" s="48"/>
      <c r="V694" s="48"/>
      <c r="W694" s="27"/>
    </row>
    <row r="695" spans="1:23" ht="60" hidden="1" customHeight="1" x14ac:dyDescent="0.25">
      <c r="A695" s="45" t="str">
        <f>CONCATENATE(Tabla2[[#This Row],[id_solicitud]],Tabla2[[#This Row],[tipo]])</f>
        <v>318Oficio_Solicitud</v>
      </c>
      <c r="B695" s="45">
        <f>COUNTIF($A$2:A695,A695)</f>
        <v>1</v>
      </c>
      <c r="C695" s="45" t="str">
        <f>Tabla2[[#This Row],[(id_solicitud-tipo_documento)]]&amp;B695</f>
        <v>318Oficio_Solicitud1</v>
      </c>
      <c r="D695" s="45">
        <v>696</v>
      </c>
      <c r="E695" s="45">
        <v>318</v>
      </c>
      <c r="F695" s="45" t="s">
        <v>53</v>
      </c>
      <c r="G695" s="45" t="s">
        <v>40</v>
      </c>
      <c r="H695" s="50" t="s">
        <v>16</v>
      </c>
      <c r="I695" s="51">
        <v>672</v>
      </c>
      <c r="J695" s="80"/>
      <c r="K6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672 DGC</v>
      </c>
      <c r="L695" s="48">
        <v>44750</v>
      </c>
      <c r="M695" s="48"/>
      <c r="N695" s="49" t="s">
        <v>329</v>
      </c>
      <c r="O695" s="45"/>
      <c r="P695" s="80" t="s">
        <v>520</v>
      </c>
      <c r="Q695" s="48"/>
      <c r="R695" s="45"/>
      <c r="S695" s="114"/>
      <c r="T695" s="52"/>
      <c r="U695" s="48"/>
      <c r="V695" s="48"/>
      <c r="W695" s="27"/>
    </row>
    <row r="696" spans="1:23" ht="60" hidden="1" customHeight="1" x14ac:dyDescent="0.25">
      <c r="A696" s="45" t="str">
        <f>CONCATENATE(Tabla2[[#This Row],[id_solicitud]],Tabla2[[#This Row],[tipo]])</f>
        <v>76Resolucion</v>
      </c>
      <c r="B696" s="45">
        <f>COUNTIF($A$2:A696,A696)</f>
        <v>1</v>
      </c>
      <c r="C696" s="45" t="str">
        <f>Tabla2[[#This Row],[(id_solicitud-tipo_documento)]]&amp;B696</f>
        <v>76Resolucion1</v>
      </c>
      <c r="D696" s="45">
        <v>697</v>
      </c>
      <c r="E696" s="45">
        <v>76</v>
      </c>
      <c r="F696" s="45" t="s">
        <v>48</v>
      </c>
      <c r="G696" s="45"/>
      <c r="H696" s="50" t="s">
        <v>538</v>
      </c>
      <c r="I696" s="51">
        <v>675</v>
      </c>
      <c r="J696" s="80"/>
      <c r="K6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696" s="48">
        <v>44648</v>
      </c>
      <c r="M696" s="48"/>
      <c r="N696" s="49"/>
      <c r="O696" s="45"/>
      <c r="P696" s="80"/>
      <c r="Q696" s="48"/>
      <c r="R696" s="45"/>
      <c r="S696" s="114"/>
      <c r="T696" s="45"/>
      <c r="U696" s="48"/>
      <c r="V696" s="48"/>
      <c r="W696" s="27"/>
    </row>
    <row r="697" spans="1:23" ht="60" hidden="1" customHeight="1" x14ac:dyDescent="0.25">
      <c r="A697" s="45" t="str">
        <f>CONCATENATE(Tabla2[[#This Row],[id_solicitud]],Tabla2[[#This Row],[tipo]])</f>
        <v>163Decreto</v>
      </c>
      <c r="B697" s="45">
        <f>COUNTIF($A$2:A697,A697)</f>
        <v>1</v>
      </c>
      <c r="C697" s="45" t="str">
        <f>Tabla2[[#This Row],[(id_solicitud-tipo_documento)]]&amp;B697</f>
        <v>163Decreto1</v>
      </c>
      <c r="D697" s="45">
        <v>698</v>
      </c>
      <c r="E697" s="45">
        <v>163</v>
      </c>
      <c r="F697" s="45" t="s">
        <v>47</v>
      </c>
      <c r="G697" s="45" t="s">
        <v>60</v>
      </c>
      <c r="H697" s="50" t="s">
        <v>16</v>
      </c>
      <c r="I697" s="51">
        <v>675</v>
      </c>
      <c r="J697" s="80"/>
      <c r="K6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675 DGC</v>
      </c>
      <c r="L697" s="48">
        <v>44692</v>
      </c>
      <c r="M697" s="48"/>
      <c r="N697" s="49" t="s">
        <v>839</v>
      </c>
      <c r="O697" s="45"/>
      <c r="P697" s="80"/>
      <c r="Q697" s="48"/>
      <c r="R697" s="45"/>
      <c r="S697" s="115">
        <v>310</v>
      </c>
      <c r="T697" s="20">
        <v>44685</v>
      </c>
      <c r="U697" s="20">
        <v>44705</v>
      </c>
      <c r="V697" s="20">
        <v>44705</v>
      </c>
      <c r="W697" s="27"/>
    </row>
    <row r="698" spans="1:23" ht="60" hidden="1" customHeight="1" x14ac:dyDescent="0.25">
      <c r="A698" s="45" t="str">
        <f>CONCATENATE(Tabla2[[#This Row],[id_solicitud]],Tabla2[[#This Row],[tipo]])</f>
        <v>155Oficio_Solicitud</v>
      </c>
      <c r="B698" s="45">
        <f>COUNTIF($A$2:A698,A698)</f>
        <v>1</v>
      </c>
      <c r="C698" s="45" t="str">
        <f>Tabla2[[#This Row],[(id_solicitud-tipo_documento)]]&amp;B698</f>
        <v>155Oficio_Solicitud1</v>
      </c>
      <c r="D698" s="45">
        <v>699</v>
      </c>
      <c r="E698" s="45">
        <v>155</v>
      </c>
      <c r="F698" s="45" t="s">
        <v>53</v>
      </c>
      <c r="G698" s="45" t="s">
        <v>60</v>
      </c>
      <c r="H698" s="50" t="s">
        <v>14</v>
      </c>
      <c r="I698" s="51">
        <v>146</v>
      </c>
      <c r="J698" s="80" t="s">
        <v>1241</v>
      </c>
      <c r="K6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146 DGAcorreo</v>
      </c>
      <c r="L698" s="48">
        <v>44657</v>
      </c>
      <c r="M698" s="48">
        <v>44659</v>
      </c>
      <c r="N698" s="49" t="s">
        <v>1022</v>
      </c>
      <c r="O698" s="45">
        <v>1</v>
      </c>
      <c r="P698" s="80" t="s">
        <v>494</v>
      </c>
      <c r="Q698" s="48">
        <v>44672</v>
      </c>
      <c r="R698" s="45"/>
      <c r="S698" s="114"/>
      <c r="T698" s="52"/>
      <c r="U698" s="48"/>
      <c r="V698" s="48"/>
      <c r="W698" s="27"/>
    </row>
    <row r="699" spans="1:23" ht="60" hidden="1" customHeight="1" x14ac:dyDescent="0.25">
      <c r="A699" s="45" t="str">
        <f>CONCATENATE(Tabla2[[#This Row],[id_solicitud]],Tabla2[[#This Row],[tipo]])</f>
        <v>500Proposicion</v>
      </c>
      <c r="B699" s="45">
        <f>COUNTIF($A$2:A699,A699)</f>
        <v>1</v>
      </c>
      <c r="C699" s="45" t="str">
        <f>Tabla2[[#This Row],[(id_solicitud-tipo_documento)]]&amp;B699</f>
        <v>500Proposicion1</v>
      </c>
      <c r="D699" s="45">
        <v>700</v>
      </c>
      <c r="E699" s="45">
        <v>500</v>
      </c>
      <c r="F699" s="45" t="s">
        <v>46</v>
      </c>
      <c r="G699" s="45" t="s">
        <v>44</v>
      </c>
      <c r="H699" s="50" t="s">
        <v>607</v>
      </c>
      <c r="I699" s="51">
        <v>676</v>
      </c>
      <c r="J699" s="80"/>
      <c r="K6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676 DV-SOP</v>
      </c>
      <c r="L699" s="48">
        <v>44855</v>
      </c>
      <c r="M699" s="48">
        <v>44858</v>
      </c>
      <c r="N699" s="49" t="s">
        <v>468</v>
      </c>
      <c r="O699" s="45"/>
      <c r="P699" s="80" t="s">
        <v>497</v>
      </c>
      <c r="Q699" s="24"/>
      <c r="R699" s="24" t="s">
        <v>12</v>
      </c>
      <c r="S699" s="114"/>
      <c r="T699" s="45"/>
      <c r="U699" s="48"/>
      <c r="V699" s="48"/>
      <c r="W699" s="27"/>
    </row>
    <row r="700" spans="1:23" ht="60" hidden="1" customHeight="1" x14ac:dyDescent="0.25">
      <c r="A700" s="45" t="str">
        <f>CONCATENATE(Tabla2[[#This Row],[id_solicitud]],Tabla2[[#This Row],[tipo]])</f>
        <v>522Proposicion</v>
      </c>
      <c r="B700" s="45">
        <f>COUNTIF($A$2:A700,A700)</f>
        <v>1</v>
      </c>
      <c r="C700" s="45" t="str">
        <f>Tabla2[[#This Row],[(id_solicitud-tipo_documento)]]&amp;B700</f>
        <v>522Proposicion1</v>
      </c>
      <c r="D700" s="45">
        <v>701</v>
      </c>
      <c r="E700" s="45">
        <v>522</v>
      </c>
      <c r="F700" s="45" t="s">
        <v>46</v>
      </c>
      <c r="G700" s="45" t="s">
        <v>44</v>
      </c>
      <c r="H700" s="50" t="s">
        <v>10</v>
      </c>
      <c r="I700" s="51">
        <v>677</v>
      </c>
      <c r="J700" s="80"/>
      <c r="K7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677 DAP</v>
      </c>
      <c r="L700" s="48">
        <v>44858</v>
      </c>
      <c r="M700" s="48">
        <v>44858</v>
      </c>
      <c r="N700" s="49" t="s">
        <v>485</v>
      </c>
      <c r="O700" s="45">
        <v>0</v>
      </c>
      <c r="P700" s="80" t="s">
        <v>497</v>
      </c>
      <c r="Q700" s="24"/>
      <c r="R700" s="24" t="s">
        <v>12</v>
      </c>
      <c r="S700" s="114"/>
      <c r="T700" s="45"/>
      <c r="U700" s="48"/>
      <c r="V700" s="48"/>
      <c r="W700" s="27"/>
    </row>
    <row r="701" spans="1:23" ht="60" hidden="1" customHeight="1" x14ac:dyDescent="0.25">
      <c r="A701" s="45" t="str">
        <f>CONCATENATE(Tabla2[[#This Row],[id_solicitud]],Tabla2[[#This Row],[tipo]])</f>
        <v>172Decreto</v>
      </c>
      <c r="B701" s="45">
        <f>COUNTIF($A$2:A701,A701)</f>
        <v>1</v>
      </c>
      <c r="C701" s="45" t="str">
        <f>Tabla2[[#This Row],[(id_solicitud-tipo_documento)]]&amp;B701</f>
        <v>172Decreto1</v>
      </c>
      <c r="D701" s="45">
        <v>702</v>
      </c>
      <c r="E701" s="45">
        <v>172</v>
      </c>
      <c r="F701" s="45" t="s">
        <v>47</v>
      </c>
      <c r="G701" s="45" t="s">
        <v>60</v>
      </c>
      <c r="H701" s="50" t="s">
        <v>535</v>
      </c>
      <c r="I701" s="51">
        <v>678</v>
      </c>
      <c r="J701" s="80"/>
      <c r="K7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678 DOH_FETCovid19</v>
      </c>
      <c r="L701" s="48">
        <v>44692</v>
      </c>
      <c r="M701" s="48"/>
      <c r="N701" s="49" t="s">
        <v>843</v>
      </c>
      <c r="O701" s="45"/>
      <c r="P701" s="80"/>
      <c r="Q701" s="48"/>
      <c r="R701" s="45"/>
      <c r="S701" s="115">
        <v>296</v>
      </c>
      <c r="T701" s="20">
        <v>44685</v>
      </c>
      <c r="U701" s="20">
        <v>44700</v>
      </c>
      <c r="V701" s="20">
        <v>44700</v>
      </c>
      <c r="W701" s="27"/>
    </row>
    <row r="702" spans="1:23" ht="60" hidden="1" customHeight="1" x14ac:dyDescent="0.25">
      <c r="A702" s="45" t="str">
        <f>CONCATENATE(Tabla2[[#This Row],[id_solicitud]],Tabla2[[#This Row],[tipo]])</f>
        <v>489Proposicion</v>
      </c>
      <c r="B702" s="45">
        <f>COUNTIF($A$2:A702,A702)</f>
        <v>1</v>
      </c>
      <c r="C702" s="45" t="str">
        <f>Tabla2[[#This Row],[(id_solicitud-tipo_documento)]]&amp;B702</f>
        <v>489Proposicion1</v>
      </c>
      <c r="D702" s="45">
        <v>703</v>
      </c>
      <c r="E702" s="45">
        <v>489</v>
      </c>
      <c r="F702" s="45" t="s">
        <v>46</v>
      </c>
      <c r="G702" s="45" t="s">
        <v>40</v>
      </c>
      <c r="H702" s="50" t="s">
        <v>18</v>
      </c>
      <c r="I702" s="51">
        <v>678</v>
      </c>
      <c r="J702" s="80"/>
      <c r="K7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678 DGOP</v>
      </c>
      <c r="L702" s="48">
        <v>44858</v>
      </c>
      <c r="M702" s="48">
        <v>44858</v>
      </c>
      <c r="N702" s="49" t="s">
        <v>457</v>
      </c>
      <c r="O702" s="45"/>
      <c r="P702" s="80" t="s">
        <v>526</v>
      </c>
      <c r="Q702" s="24"/>
      <c r="R702" s="24" t="s">
        <v>12</v>
      </c>
      <c r="S702" s="114"/>
      <c r="T702" s="45"/>
      <c r="U702" s="48"/>
      <c r="V702" s="48"/>
      <c r="W702" s="27"/>
    </row>
    <row r="703" spans="1:23" ht="60" hidden="1" customHeight="1" x14ac:dyDescent="0.25">
      <c r="A703" s="45" t="str">
        <f>CONCATENATE(Tabla2[[#This Row],[id_solicitud]],Tabla2[[#This Row],[tipo]])</f>
        <v>162Decreto</v>
      </c>
      <c r="B703" s="45">
        <f>COUNTIF($A$2:A703,A703)</f>
        <v>1</v>
      </c>
      <c r="C703" s="45" t="str">
        <f>Tabla2[[#This Row],[(id_solicitud-tipo_documento)]]&amp;B703</f>
        <v>162Decreto1</v>
      </c>
      <c r="D703" s="45">
        <v>704</v>
      </c>
      <c r="E703" s="45">
        <v>162</v>
      </c>
      <c r="F703" s="45" t="s">
        <v>47</v>
      </c>
      <c r="G703" s="45" t="s">
        <v>60</v>
      </c>
      <c r="H703" s="50" t="s">
        <v>16</v>
      </c>
      <c r="I703" s="51">
        <v>679</v>
      </c>
      <c r="J703" s="80"/>
      <c r="K7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679 DGC</v>
      </c>
      <c r="L703" s="48">
        <v>44692</v>
      </c>
      <c r="M703" s="48"/>
      <c r="N703" s="49" t="s">
        <v>838</v>
      </c>
      <c r="O703" s="45"/>
      <c r="P703" s="80"/>
      <c r="Q703" s="48"/>
      <c r="R703" s="45"/>
      <c r="S703" s="115">
        <v>306</v>
      </c>
      <c r="T703" s="20">
        <v>44683</v>
      </c>
      <c r="U703" s="20">
        <v>44708</v>
      </c>
      <c r="V703" s="20">
        <v>44708</v>
      </c>
      <c r="W703" s="27"/>
    </row>
    <row r="704" spans="1:23" ht="60" hidden="1" customHeight="1" x14ac:dyDescent="0.25">
      <c r="A704" s="45" t="str">
        <f>CONCATENATE(Tabla2[[#This Row],[id_solicitud]],Tabla2[[#This Row],[tipo]])</f>
        <v>415Proposicion</v>
      </c>
      <c r="B704" s="45">
        <f>COUNTIF($A$2:A704,A704)</f>
        <v>1</v>
      </c>
      <c r="C704" s="45" t="str">
        <f>Tabla2[[#This Row],[(id_solicitud-tipo_documento)]]&amp;B704</f>
        <v>415Proposicion1</v>
      </c>
      <c r="D704" s="45">
        <v>705</v>
      </c>
      <c r="E704" s="45">
        <v>415</v>
      </c>
      <c r="F704" s="45" t="s">
        <v>46</v>
      </c>
      <c r="G704" s="45" t="s">
        <v>60</v>
      </c>
      <c r="H704" s="50" t="s">
        <v>8</v>
      </c>
      <c r="I704" s="51">
        <v>679</v>
      </c>
      <c r="J704" s="80"/>
      <c r="K7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679 DA</v>
      </c>
      <c r="L704" s="48">
        <v>44832</v>
      </c>
      <c r="M704" s="48">
        <v>44833</v>
      </c>
      <c r="N704" s="49" t="s">
        <v>400</v>
      </c>
      <c r="O704" s="45">
        <v>5</v>
      </c>
      <c r="P704" s="80" t="s">
        <v>494</v>
      </c>
      <c r="Q704" s="24"/>
      <c r="R704" s="24" t="s">
        <v>24</v>
      </c>
      <c r="S704" s="114"/>
      <c r="T704" s="45"/>
      <c r="U704" s="48"/>
      <c r="V704" s="48"/>
      <c r="W704" s="27"/>
    </row>
    <row r="705" spans="1:23" ht="60" hidden="1" customHeight="1" x14ac:dyDescent="0.25">
      <c r="A705" s="45" t="str">
        <f>CONCATENATE(Tabla2[[#This Row],[id_solicitud]],Tabla2[[#This Row],[tipo]])</f>
        <v>420Proposicion</v>
      </c>
      <c r="B705" s="45">
        <f>COUNTIF($A$2:A705,A705)</f>
        <v>1</v>
      </c>
      <c r="C705" s="45" t="str">
        <f>Tabla2[[#This Row],[(id_solicitud-tipo_documento)]]&amp;B705</f>
        <v>420Proposicion1</v>
      </c>
      <c r="D705" s="45">
        <v>706</v>
      </c>
      <c r="E705" s="45">
        <v>420</v>
      </c>
      <c r="F705" s="45" t="s">
        <v>46</v>
      </c>
      <c r="G705" s="45" t="s">
        <v>60</v>
      </c>
      <c r="H705" s="50" t="s">
        <v>16</v>
      </c>
      <c r="I705" s="51">
        <v>680</v>
      </c>
      <c r="J705" s="80"/>
      <c r="K7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680 DGC</v>
      </c>
      <c r="L705" s="48">
        <v>44832</v>
      </c>
      <c r="M705" s="48">
        <v>44833</v>
      </c>
      <c r="N705" s="49" t="s">
        <v>405</v>
      </c>
      <c r="O705" s="45">
        <v>2</v>
      </c>
      <c r="P705" s="80" t="s">
        <v>494</v>
      </c>
      <c r="Q705" s="24"/>
      <c r="R705" s="24" t="s">
        <v>24</v>
      </c>
      <c r="S705" s="114"/>
      <c r="T705" s="45"/>
      <c r="U705" s="48"/>
      <c r="V705" s="48"/>
      <c r="W705" s="27"/>
    </row>
    <row r="706" spans="1:23" ht="60" hidden="1" customHeight="1" x14ac:dyDescent="0.25">
      <c r="A706" s="45" t="str">
        <f>CONCATENATE(Tabla2[[#This Row],[id_solicitud]],Tabla2[[#This Row],[tipo]])</f>
        <v>497Proposicion</v>
      </c>
      <c r="B706" s="45">
        <f>COUNTIF($A$2:A706,A706)</f>
        <v>1</v>
      </c>
      <c r="C706" s="45" t="str">
        <f>Tabla2[[#This Row],[(id_solicitud-tipo_documento)]]&amp;B706</f>
        <v>497Proposicion1</v>
      </c>
      <c r="D706" s="45">
        <v>707</v>
      </c>
      <c r="E706" s="45">
        <v>497</v>
      </c>
      <c r="F706" s="45" t="s">
        <v>46</v>
      </c>
      <c r="G706" s="45" t="s">
        <v>40</v>
      </c>
      <c r="H706" s="50" t="s">
        <v>606</v>
      </c>
      <c r="I706" s="51">
        <v>680</v>
      </c>
      <c r="J706" s="80"/>
      <c r="K7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680 DGC-DOH-APR</v>
      </c>
      <c r="L706" s="48">
        <v>44832</v>
      </c>
      <c r="M706" s="48">
        <v>44833</v>
      </c>
      <c r="N706" s="49" t="s">
        <v>465</v>
      </c>
      <c r="O706" s="45"/>
      <c r="P706" s="80" t="s">
        <v>494</v>
      </c>
      <c r="Q706" s="24"/>
      <c r="R706" s="24" t="s">
        <v>24</v>
      </c>
      <c r="S706" s="114"/>
      <c r="T706" s="45"/>
      <c r="U706" s="48"/>
      <c r="V706" s="48"/>
      <c r="W706" s="27"/>
    </row>
    <row r="707" spans="1:23" ht="60" hidden="1" customHeight="1" x14ac:dyDescent="0.25">
      <c r="A707" s="45" t="str">
        <f>CONCATENATE(Tabla2[[#This Row],[id_solicitud]],Tabla2[[#This Row],[tipo]])</f>
        <v>150Decreto</v>
      </c>
      <c r="B707" s="45">
        <f>COUNTIF($A$2:A707,A707)</f>
        <v>1</v>
      </c>
      <c r="C707" s="45" t="str">
        <f>Tabla2[[#This Row],[(id_solicitud-tipo_documento)]]&amp;B707</f>
        <v>150Decreto1</v>
      </c>
      <c r="D707" s="45">
        <v>708</v>
      </c>
      <c r="E707" s="45">
        <v>150</v>
      </c>
      <c r="F707" s="45" t="s">
        <v>47</v>
      </c>
      <c r="G707" s="45" t="s">
        <v>60</v>
      </c>
      <c r="H707" s="50" t="s">
        <v>22</v>
      </c>
      <c r="I707" s="51">
        <v>682</v>
      </c>
      <c r="J707" s="80"/>
      <c r="K7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682 DOP</v>
      </c>
      <c r="L707" s="48">
        <v>44692</v>
      </c>
      <c r="M707" s="48"/>
      <c r="N707" s="49" t="s">
        <v>831</v>
      </c>
      <c r="O707" s="45"/>
      <c r="P707" s="80"/>
      <c r="Q707" s="48"/>
      <c r="R707" s="45"/>
      <c r="S707" s="115">
        <v>266</v>
      </c>
      <c r="T707" s="20">
        <v>44683</v>
      </c>
      <c r="U707" s="20">
        <v>44707</v>
      </c>
      <c r="V707" s="20">
        <v>44707</v>
      </c>
      <c r="W707" s="27"/>
    </row>
    <row r="708" spans="1:23" ht="60" hidden="1" customHeight="1" x14ac:dyDescent="0.25">
      <c r="A708" s="45" t="str">
        <f>CONCATENATE(Tabla2[[#This Row],[id_solicitud]],Tabla2[[#This Row],[tipo]])</f>
        <v>423Proposicion</v>
      </c>
      <c r="B708" s="45">
        <f>COUNTIF($A$2:A708,A708)</f>
        <v>1</v>
      </c>
      <c r="C708" s="45" t="str">
        <f>Tabla2[[#This Row],[(id_solicitud-tipo_documento)]]&amp;B708</f>
        <v>423Proposicion1</v>
      </c>
      <c r="D708" s="45">
        <v>709</v>
      </c>
      <c r="E708" s="45">
        <v>423</v>
      </c>
      <c r="F708" s="45" t="s">
        <v>46</v>
      </c>
      <c r="G708" s="45" t="s">
        <v>1258</v>
      </c>
      <c r="H708" s="50" t="s">
        <v>538</v>
      </c>
      <c r="I708" s="51">
        <v>682</v>
      </c>
      <c r="J708" s="80"/>
      <c r="K7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682 DV_FETCovid19</v>
      </c>
      <c r="L708" s="48">
        <v>44832</v>
      </c>
      <c r="M708" s="48"/>
      <c r="N708" s="49" t="s">
        <v>719</v>
      </c>
      <c r="O708" s="45">
        <v>9</v>
      </c>
      <c r="P708" s="80" t="s">
        <v>494</v>
      </c>
      <c r="Q708" s="24"/>
      <c r="R708" s="24" t="s">
        <v>24</v>
      </c>
      <c r="S708" s="114"/>
      <c r="T708" s="45"/>
      <c r="U708" s="48"/>
      <c r="V708" s="48"/>
      <c r="W708" s="27"/>
    </row>
    <row r="709" spans="1:23" ht="60" hidden="1" customHeight="1" x14ac:dyDescent="0.25">
      <c r="A709" s="45" t="str">
        <f>CONCATENATE(Tabla2[[#This Row],[id_solicitud]],Tabla2[[#This Row],[tipo]])</f>
        <v>492Proposicion</v>
      </c>
      <c r="B709" s="45">
        <f>COUNTIF($A$2:A709,A709)</f>
        <v>1</v>
      </c>
      <c r="C709" s="45" t="str">
        <f>Tabla2[[#This Row],[(id_solicitud-tipo_documento)]]&amp;B709</f>
        <v>492Proposicion1</v>
      </c>
      <c r="D709" s="45">
        <v>710</v>
      </c>
      <c r="E709" s="45">
        <v>492</v>
      </c>
      <c r="F709" s="45" t="s">
        <v>46</v>
      </c>
      <c r="G709" s="45" t="s">
        <v>65</v>
      </c>
      <c r="H709" s="50" t="s">
        <v>605</v>
      </c>
      <c r="I709" s="51">
        <v>682</v>
      </c>
      <c r="J709" s="80"/>
      <c r="K7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682 SOP-DOP</v>
      </c>
      <c r="L709" s="48">
        <v>44859</v>
      </c>
      <c r="M709" s="48">
        <v>44859</v>
      </c>
      <c r="N709" s="49" t="s">
        <v>735</v>
      </c>
      <c r="O709" s="45"/>
      <c r="P709" s="80" t="s">
        <v>500</v>
      </c>
      <c r="Q709" s="24"/>
      <c r="R709" s="24" t="s">
        <v>12</v>
      </c>
      <c r="S709" s="114"/>
      <c r="T709" s="45"/>
      <c r="U709" s="48"/>
      <c r="V709" s="48"/>
      <c r="W709" s="27"/>
    </row>
    <row r="710" spans="1:23" ht="60" hidden="1" customHeight="1" x14ac:dyDescent="0.25">
      <c r="A710" s="45" t="str">
        <f>CONCATENATE(Tabla2[[#This Row],[id_solicitud]],Tabla2[[#This Row],[tipo]])</f>
        <v>422Proposicion</v>
      </c>
      <c r="B710" s="45">
        <f>COUNTIF($A$2:A710,A710)</f>
        <v>1</v>
      </c>
      <c r="C710" s="45" t="str">
        <f>Tabla2[[#This Row],[(id_solicitud-tipo_documento)]]&amp;B710</f>
        <v>422Proposicion1</v>
      </c>
      <c r="D710" s="45">
        <v>712</v>
      </c>
      <c r="E710" s="45">
        <v>422</v>
      </c>
      <c r="F710" s="45" t="s">
        <v>46</v>
      </c>
      <c r="G710" s="45" t="s">
        <v>1258</v>
      </c>
      <c r="H710" s="50" t="s">
        <v>26</v>
      </c>
      <c r="I710" s="51">
        <v>683</v>
      </c>
      <c r="J710" s="80"/>
      <c r="K7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683 DV</v>
      </c>
      <c r="L710" s="48">
        <v>44832</v>
      </c>
      <c r="M710" s="48"/>
      <c r="N710" s="49" t="s">
        <v>718</v>
      </c>
      <c r="O710" s="45">
        <v>47</v>
      </c>
      <c r="P710" s="80" t="s">
        <v>494</v>
      </c>
      <c r="Q710" s="24"/>
      <c r="R710" s="24" t="s">
        <v>24</v>
      </c>
      <c r="S710" s="114"/>
      <c r="T710" s="45"/>
      <c r="U710" s="48"/>
      <c r="V710" s="48"/>
      <c r="W710" s="27"/>
    </row>
    <row r="711" spans="1:23" ht="60" hidden="1" customHeight="1" x14ac:dyDescent="0.25">
      <c r="A711" s="45" t="str">
        <f>CONCATENATE(Tabla2[[#This Row],[id_solicitud]],Tabla2[[#This Row],[tipo]])</f>
        <v>502Proposicion</v>
      </c>
      <c r="B711" s="45">
        <f>COUNTIF($A$2:A711,A711)</f>
        <v>1</v>
      </c>
      <c r="C711" s="45" t="str">
        <f>Tabla2[[#This Row],[(id_solicitud-tipo_documento)]]&amp;B711</f>
        <v>502Proposicion1</v>
      </c>
      <c r="D711" s="45">
        <v>713</v>
      </c>
      <c r="E711" s="45">
        <v>502</v>
      </c>
      <c r="F711" s="45" t="s">
        <v>46</v>
      </c>
      <c r="G711" s="45" t="s">
        <v>59</v>
      </c>
      <c r="H711" s="50" t="s">
        <v>578</v>
      </c>
      <c r="I711" s="51">
        <v>684</v>
      </c>
      <c r="J711" s="80"/>
      <c r="K7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684 DV-SISS</v>
      </c>
      <c r="L711" s="48">
        <v>44859</v>
      </c>
      <c r="M711" s="48">
        <v>44859</v>
      </c>
      <c r="N711" s="49" t="s">
        <v>469</v>
      </c>
      <c r="O711" s="45">
        <v>0</v>
      </c>
      <c r="P711" s="80" t="s">
        <v>497</v>
      </c>
      <c r="Q711" s="24"/>
      <c r="R711" s="24" t="s">
        <v>12</v>
      </c>
      <c r="S711" s="114"/>
      <c r="T711" s="45"/>
      <c r="U711" s="48"/>
      <c r="V711" s="48"/>
      <c r="W711" s="27"/>
    </row>
    <row r="712" spans="1:23" ht="60" customHeight="1" x14ac:dyDescent="0.25">
      <c r="A712" s="45" t="str">
        <f>CONCATENATE(Tabla2[[#This Row],[id_solicitud]],Tabla2[[#This Row],[tipo]])</f>
        <v>401Oficio_Autorizacion</v>
      </c>
      <c r="B712" s="45">
        <f>COUNTIF($A$2:A712,A712)</f>
        <v>1</v>
      </c>
      <c r="C712" s="45" t="str">
        <f>Tabla2[[#This Row],[(id_solicitud-tipo_documento)]]&amp;B712</f>
        <v>401Oficio_Autorizacion1</v>
      </c>
      <c r="D712" s="45">
        <v>1201</v>
      </c>
      <c r="E712" s="45">
        <v>401</v>
      </c>
      <c r="F712" s="45" t="s">
        <v>1272</v>
      </c>
      <c r="G712" s="45" t="s">
        <v>44</v>
      </c>
      <c r="H712" s="50" t="s">
        <v>26</v>
      </c>
      <c r="I712" s="51">
        <v>2421</v>
      </c>
      <c r="J712" s="80"/>
      <c r="K7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712" s="48">
        <v>44824</v>
      </c>
      <c r="M712" s="48"/>
      <c r="N712" s="49" t="s">
        <v>965</v>
      </c>
      <c r="O712" s="45"/>
      <c r="P712" s="80"/>
      <c r="Q712" s="48"/>
      <c r="R712" s="45"/>
      <c r="S712" s="115">
        <v>878</v>
      </c>
      <c r="T712" s="20">
        <v>44812</v>
      </c>
      <c r="U712" s="20"/>
      <c r="V712" s="20"/>
      <c r="W712" s="27"/>
    </row>
    <row r="713" spans="1:23" ht="60" hidden="1" customHeight="1" x14ac:dyDescent="0.25">
      <c r="A713" s="45" t="str">
        <f>CONCATENATE(Tabla2[[#This Row],[id_solicitud]],Tabla2[[#This Row],[tipo]])</f>
        <v>476Oficio_Solicitud</v>
      </c>
      <c r="B713" s="45">
        <f>COUNTIF($A$2:A713,A713)</f>
        <v>1</v>
      </c>
      <c r="C713" s="45" t="str">
        <f>Tabla2[[#This Row],[(id_solicitud-tipo_documento)]]&amp;B713</f>
        <v>476Oficio_Solicitud1</v>
      </c>
      <c r="D713" s="45">
        <v>715</v>
      </c>
      <c r="E713" s="45">
        <v>476</v>
      </c>
      <c r="F713" s="45" t="s">
        <v>53</v>
      </c>
      <c r="G713" s="45" t="s">
        <v>44</v>
      </c>
      <c r="H713" s="50" t="s">
        <v>24</v>
      </c>
      <c r="I713" s="51">
        <v>685</v>
      </c>
      <c r="J713" s="80"/>
      <c r="K7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685 DP</v>
      </c>
      <c r="L713" s="48">
        <v>44834</v>
      </c>
      <c r="M713" s="48">
        <v>44834</v>
      </c>
      <c r="N713" s="49" t="s">
        <v>445</v>
      </c>
      <c r="O713" s="45"/>
      <c r="P713" s="80" t="s">
        <v>497</v>
      </c>
      <c r="Q713" s="48"/>
      <c r="R713" s="45"/>
      <c r="S713" s="114"/>
      <c r="T713" s="52"/>
      <c r="U713" s="48"/>
      <c r="V713" s="48"/>
      <c r="W713" s="27"/>
    </row>
    <row r="714" spans="1:23" ht="60" hidden="1" customHeight="1" x14ac:dyDescent="0.25">
      <c r="A714" s="45" t="str">
        <f>CONCATENATE(Tabla2[[#This Row],[id_solicitud]],Tabla2[[#This Row],[tipo]])</f>
        <v>15Oficio_Solicitud</v>
      </c>
      <c r="B714" s="45">
        <f>COUNTIF($A$2:A714,A714)</f>
        <v>1</v>
      </c>
      <c r="C714" s="45" t="str">
        <f>Tabla2[[#This Row],[(id_solicitud-tipo_documento)]]&amp;B714</f>
        <v>15Oficio_Solicitud1</v>
      </c>
      <c r="D714" s="45">
        <v>716</v>
      </c>
      <c r="E714" s="45">
        <v>15</v>
      </c>
      <c r="F714" s="45" t="s">
        <v>53</v>
      </c>
      <c r="G714" s="45" t="s">
        <v>43</v>
      </c>
      <c r="H714" s="50" t="s">
        <v>541</v>
      </c>
      <c r="I714" s="51">
        <v>686</v>
      </c>
      <c r="J714" s="80"/>
      <c r="K7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686 DOP_FETCovid19</v>
      </c>
      <c r="L714" s="48">
        <v>44544</v>
      </c>
      <c r="M714" s="48">
        <v>44544</v>
      </c>
      <c r="N714" s="49" t="s">
        <v>83</v>
      </c>
      <c r="O714" s="45">
        <v>5</v>
      </c>
      <c r="P714" s="80" t="s">
        <v>494</v>
      </c>
      <c r="Q714" s="48"/>
      <c r="R714" s="45"/>
      <c r="S714" s="114"/>
      <c r="T714" s="52"/>
      <c r="U714" s="48"/>
      <c r="V714" s="48"/>
      <c r="W714" s="27"/>
    </row>
    <row r="715" spans="1:23" ht="60" hidden="1" customHeight="1" x14ac:dyDescent="0.25">
      <c r="A715" s="45" t="str">
        <f>CONCATENATE(Tabla2[[#This Row],[id_solicitud]],Tabla2[[#This Row],[tipo]])</f>
        <v>159Decreto</v>
      </c>
      <c r="B715" s="45">
        <f>COUNTIF($A$2:A715,A715)</f>
        <v>1</v>
      </c>
      <c r="C715" s="45" t="str">
        <f>Tabla2[[#This Row],[(id_solicitud-tipo_documento)]]&amp;B715</f>
        <v>159Decreto1</v>
      </c>
      <c r="D715" s="45">
        <v>717</v>
      </c>
      <c r="E715" s="45">
        <v>159</v>
      </c>
      <c r="F715" s="45" t="s">
        <v>47</v>
      </c>
      <c r="G715" s="45" t="s">
        <v>60</v>
      </c>
      <c r="H715" s="50" t="s">
        <v>20</v>
      </c>
      <c r="I715" s="51">
        <v>687</v>
      </c>
      <c r="J715" s="80"/>
      <c r="K7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687 DOH</v>
      </c>
      <c r="L715" s="48">
        <v>44692</v>
      </c>
      <c r="M715" s="48"/>
      <c r="N715" s="49" t="s">
        <v>837</v>
      </c>
      <c r="O715" s="45"/>
      <c r="P715" s="80"/>
      <c r="Q715" s="48"/>
      <c r="R715" s="45"/>
      <c r="S715" s="115">
        <v>278</v>
      </c>
      <c r="T715" s="20">
        <v>44680</v>
      </c>
      <c r="U715" s="20">
        <v>44705</v>
      </c>
      <c r="V715" s="20">
        <v>44705</v>
      </c>
      <c r="W715" s="27"/>
    </row>
    <row r="716" spans="1:23" ht="60" hidden="1" customHeight="1" x14ac:dyDescent="0.25">
      <c r="A716" s="45" t="str">
        <f>CONCATENATE(Tabla2[[#This Row],[id_solicitud]],Tabla2[[#This Row],[tipo]])</f>
        <v>379Proposicion</v>
      </c>
      <c r="B716" s="45">
        <f>COUNTIF($A$2:A716,A716)</f>
        <v>1</v>
      </c>
      <c r="C716" s="45" t="str">
        <f>Tabla2[[#This Row],[(id_solicitud-tipo_documento)]]&amp;B716</f>
        <v>379Proposicion1</v>
      </c>
      <c r="D716" s="45">
        <v>718</v>
      </c>
      <c r="E716" s="45">
        <v>379</v>
      </c>
      <c r="F716" s="45" t="s">
        <v>46</v>
      </c>
      <c r="G716" s="45" t="s">
        <v>60</v>
      </c>
      <c r="H716" s="50" t="s">
        <v>562</v>
      </c>
      <c r="I716" s="51">
        <v>687</v>
      </c>
      <c r="J716" s="80"/>
      <c r="K7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687 DGC_FETCovid19</v>
      </c>
      <c r="L716" s="48">
        <v>44837</v>
      </c>
      <c r="M716" s="48">
        <v>44838</v>
      </c>
      <c r="N716" s="49" t="s">
        <v>376</v>
      </c>
      <c r="O716" s="45">
        <v>2</v>
      </c>
      <c r="P716" s="80" t="s">
        <v>494</v>
      </c>
      <c r="Q716" s="24"/>
      <c r="R716" s="24" t="s">
        <v>24</v>
      </c>
      <c r="S716" s="114"/>
      <c r="T716" s="45"/>
      <c r="U716" s="48"/>
      <c r="V716" s="48"/>
      <c r="W716" s="27"/>
    </row>
    <row r="717" spans="1:23" ht="60" hidden="1" customHeight="1" x14ac:dyDescent="0.25">
      <c r="A717" s="45" t="str">
        <f>CONCATENATE(Tabla2[[#This Row],[id_solicitud]],Tabla2[[#This Row],[tipo]])</f>
        <v>508Proposicion</v>
      </c>
      <c r="B717" s="45">
        <f>COUNTIF($A$2:A717,A717)</f>
        <v>1</v>
      </c>
      <c r="C717" s="45" t="str">
        <f>Tabla2[[#This Row],[(id_solicitud-tipo_documento)]]&amp;B717</f>
        <v>508Proposicion1</v>
      </c>
      <c r="D717" s="45">
        <v>719</v>
      </c>
      <c r="E717" s="45">
        <v>508</v>
      </c>
      <c r="F717" s="45" t="s">
        <v>46</v>
      </c>
      <c r="G717" s="45" t="s">
        <v>44</v>
      </c>
      <c r="H717" s="50" t="s">
        <v>14</v>
      </c>
      <c r="I717" s="51">
        <v>688</v>
      </c>
      <c r="J717" s="80"/>
      <c r="K7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688 DGA</v>
      </c>
      <c r="L717" s="48">
        <v>44860</v>
      </c>
      <c r="M717" s="48">
        <v>44861</v>
      </c>
      <c r="N717" s="49" t="s">
        <v>740</v>
      </c>
      <c r="O717" s="45"/>
      <c r="P717" s="80" t="s">
        <v>497</v>
      </c>
      <c r="Q717" s="24"/>
      <c r="R717" s="24" t="s">
        <v>12</v>
      </c>
      <c r="S717" s="114"/>
      <c r="T717" s="45"/>
      <c r="U717" s="48"/>
      <c r="V717" s="48"/>
      <c r="W717" s="27"/>
    </row>
    <row r="718" spans="1:23" ht="60" hidden="1" customHeight="1" x14ac:dyDescent="0.25">
      <c r="A718" s="45" t="str">
        <f>CONCATENATE(Tabla2[[#This Row],[id_solicitud]],Tabla2[[#This Row],[tipo]])</f>
        <v>346Oficio_Solicitud</v>
      </c>
      <c r="B718" s="45">
        <f>COUNTIF($A$2:A718,A718)</f>
        <v>1</v>
      </c>
      <c r="C718" s="45" t="str">
        <f>Tabla2[[#This Row],[(id_solicitud-tipo_documento)]]&amp;B718</f>
        <v>346Oficio_Solicitud1</v>
      </c>
      <c r="D718" s="45">
        <v>720</v>
      </c>
      <c r="E718" s="45">
        <v>346</v>
      </c>
      <c r="F718" s="45" t="s">
        <v>53</v>
      </c>
      <c r="G718" s="45" t="s">
        <v>42</v>
      </c>
      <c r="H718" s="50" t="s">
        <v>592</v>
      </c>
      <c r="I718" s="51">
        <v>688</v>
      </c>
      <c r="J718" s="80"/>
      <c r="K7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688 SOP-DGC</v>
      </c>
      <c r="L718" s="48">
        <v>44757</v>
      </c>
      <c r="M718" s="48"/>
      <c r="N718" s="49"/>
      <c r="O718" s="45"/>
      <c r="P718" s="80" t="s">
        <v>500</v>
      </c>
      <c r="Q718" s="48"/>
      <c r="R718" s="45"/>
      <c r="S718" s="114"/>
      <c r="T718" s="52"/>
      <c r="U718" s="48"/>
      <c r="V718" s="48"/>
      <c r="W718" s="27"/>
    </row>
    <row r="719" spans="1:23" ht="60" hidden="1" customHeight="1" x14ac:dyDescent="0.25">
      <c r="A719" s="45" t="str">
        <f>CONCATENATE(Tabla2[[#This Row],[id_solicitud]],Tabla2[[#This Row],[tipo]])</f>
        <v>520Proposicion</v>
      </c>
      <c r="B719" s="45">
        <f>COUNTIF($A$2:A719,A719)</f>
        <v>1</v>
      </c>
      <c r="C719" s="45" t="str">
        <f>Tabla2[[#This Row],[(id_solicitud-tipo_documento)]]&amp;B719</f>
        <v>520Proposicion1</v>
      </c>
      <c r="D719" s="45">
        <v>721</v>
      </c>
      <c r="E719" s="45">
        <v>520</v>
      </c>
      <c r="F719" s="45" t="s">
        <v>46</v>
      </c>
      <c r="G719" s="45" t="s">
        <v>42</v>
      </c>
      <c r="H719" s="50" t="s">
        <v>20</v>
      </c>
      <c r="I719" s="51">
        <v>689</v>
      </c>
      <c r="J719" s="80"/>
      <c r="K7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689 DOH</v>
      </c>
      <c r="L719" s="48">
        <v>44860</v>
      </c>
      <c r="M719" s="48">
        <v>44860</v>
      </c>
      <c r="N719" s="49" t="s">
        <v>484</v>
      </c>
      <c r="O719" s="45"/>
      <c r="P719" s="80" t="s">
        <v>497</v>
      </c>
      <c r="Q719" s="24"/>
      <c r="R719" s="24" t="s">
        <v>12</v>
      </c>
      <c r="S719" s="114"/>
      <c r="T719" s="45"/>
      <c r="U719" s="48"/>
      <c r="V719" s="48"/>
      <c r="W719" s="27"/>
    </row>
    <row r="720" spans="1:23" ht="60" hidden="1" customHeight="1" x14ac:dyDescent="0.25">
      <c r="A720" s="45" t="str">
        <f>CONCATENATE(Tabla2[[#This Row],[id_solicitud]],Tabla2[[#This Row],[tipo]])</f>
        <v>506Proposicion</v>
      </c>
      <c r="B720" s="45">
        <f>COUNTIF($A$2:A720,A720)</f>
        <v>1</v>
      </c>
      <c r="C720" s="45" t="str">
        <f>Tabla2[[#This Row],[(id_solicitud-tipo_documento)]]&amp;B720</f>
        <v>506Proposicion1</v>
      </c>
      <c r="D720" s="45">
        <v>722</v>
      </c>
      <c r="E720" s="45">
        <v>506</v>
      </c>
      <c r="F720" s="45" t="s">
        <v>46</v>
      </c>
      <c r="G720" s="45" t="s">
        <v>1256</v>
      </c>
      <c r="H720" s="50" t="s">
        <v>608</v>
      </c>
      <c r="I720" s="51">
        <v>692</v>
      </c>
      <c r="J720" s="80"/>
      <c r="K7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692 DOH-APR</v>
      </c>
      <c r="L720" s="48">
        <v>44861</v>
      </c>
      <c r="M720" s="48">
        <v>44861</v>
      </c>
      <c r="N720" s="49" t="s">
        <v>473</v>
      </c>
      <c r="O720" s="45">
        <v>0</v>
      </c>
      <c r="P720" s="80" t="s">
        <v>522</v>
      </c>
      <c r="Q720" s="24"/>
      <c r="R720" s="24" t="s">
        <v>12</v>
      </c>
      <c r="S720" s="114"/>
      <c r="T720" s="45"/>
      <c r="U720" s="48"/>
      <c r="V720" s="48"/>
      <c r="W720" s="27"/>
    </row>
    <row r="721" spans="1:23" ht="60" hidden="1" customHeight="1" x14ac:dyDescent="0.25">
      <c r="A721" s="45" t="str">
        <f>CONCATENATE(Tabla2[[#This Row],[id_solicitud]],Tabla2[[#This Row],[tipo]])</f>
        <v>110Proposicion</v>
      </c>
      <c r="B721" s="45">
        <f>COUNTIF($A$2:A721,A721)</f>
        <v>1</v>
      </c>
      <c r="C721" s="45" t="str">
        <f>Tabla2[[#This Row],[(id_solicitud-tipo_documento)]]&amp;B721</f>
        <v>110Proposicion1</v>
      </c>
      <c r="D721" s="45">
        <v>723</v>
      </c>
      <c r="E721" s="45">
        <v>110</v>
      </c>
      <c r="F721" s="45" t="s">
        <v>46</v>
      </c>
      <c r="G721" s="45" t="s">
        <v>43</v>
      </c>
      <c r="H721" s="50" t="s">
        <v>26</v>
      </c>
      <c r="I721" s="51">
        <v>75</v>
      </c>
      <c r="J721" s="80"/>
      <c r="K7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75 DV</v>
      </c>
      <c r="L721" s="48">
        <v>44600</v>
      </c>
      <c r="M721" s="48">
        <v>44600</v>
      </c>
      <c r="N721" s="49" t="s">
        <v>633</v>
      </c>
      <c r="O721" s="45">
        <v>2</v>
      </c>
      <c r="P721" s="80"/>
      <c r="Q721" s="24"/>
      <c r="R721" s="24" t="s">
        <v>24</v>
      </c>
      <c r="S721" s="114"/>
      <c r="T721" s="45"/>
      <c r="U721" s="48"/>
      <c r="V721" s="48"/>
      <c r="W721" s="27"/>
    </row>
    <row r="722" spans="1:23" ht="60" hidden="1" customHeight="1" x14ac:dyDescent="0.25">
      <c r="A722" s="45" t="str">
        <f>CONCATENATE(Tabla2[[#This Row],[id_solicitud]],Tabla2[[#This Row],[tipo]])</f>
        <v>63Decreto</v>
      </c>
      <c r="B722" s="45">
        <f>COUNTIF($A$2:A722,A722)</f>
        <v>1</v>
      </c>
      <c r="C722" s="45" t="str">
        <f>Tabla2[[#This Row],[(id_solicitud-tipo_documento)]]&amp;B722</f>
        <v>63Decreto1</v>
      </c>
      <c r="D722" s="45">
        <v>724</v>
      </c>
      <c r="E722" s="45">
        <v>63</v>
      </c>
      <c r="F722" s="45" t="s">
        <v>47</v>
      </c>
      <c r="G722" s="45" t="s">
        <v>60</v>
      </c>
      <c r="H722" s="50" t="s">
        <v>6</v>
      </c>
      <c r="I722" s="51">
        <v>693</v>
      </c>
      <c r="J722" s="80"/>
      <c r="K7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693 APR</v>
      </c>
      <c r="L722" s="48">
        <v>44697</v>
      </c>
      <c r="M722" s="48"/>
      <c r="N722" s="49" t="s">
        <v>867</v>
      </c>
      <c r="O722" s="45"/>
      <c r="P722" s="80"/>
      <c r="Q722" s="48"/>
      <c r="R722" s="45"/>
      <c r="S722" s="115">
        <v>253</v>
      </c>
      <c r="T722" s="20">
        <v>44678</v>
      </c>
      <c r="U722" s="20">
        <v>44713</v>
      </c>
      <c r="V722" s="20">
        <v>44713</v>
      </c>
      <c r="W722" s="27"/>
    </row>
    <row r="723" spans="1:23" ht="60" hidden="1" customHeight="1" x14ac:dyDescent="0.25">
      <c r="A723" s="45" t="str">
        <f>CONCATENATE(Tabla2[[#This Row],[id_solicitud]],Tabla2[[#This Row],[tipo]])</f>
        <v>507Proposicion</v>
      </c>
      <c r="B723" s="45">
        <f>COUNTIF($A$2:A723,A723)</f>
        <v>1</v>
      </c>
      <c r="C723" s="45" t="str">
        <f>Tabla2[[#This Row],[(id_solicitud-tipo_documento)]]&amp;B723</f>
        <v>507Proposicion1</v>
      </c>
      <c r="D723" s="45">
        <v>725</v>
      </c>
      <c r="E723" s="45">
        <v>507</v>
      </c>
      <c r="F723" s="45" t="s">
        <v>46</v>
      </c>
      <c r="G723" s="45" t="s">
        <v>40</v>
      </c>
      <c r="H723" s="50" t="s">
        <v>32</v>
      </c>
      <c r="I723" s="51">
        <v>693</v>
      </c>
      <c r="J723" s="80"/>
      <c r="K7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693 MOP</v>
      </c>
      <c r="L723" s="48">
        <v>44861</v>
      </c>
      <c r="M723" s="48">
        <v>44861</v>
      </c>
      <c r="N723" s="49" t="s">
        <v>739</v>
      </c>
      <c r="O723" s="45"/>
      <c r="P723" s="80" t="s">
        <v>527</v>
      </c>
      <c r="Q723" s="24"/>
      <c r="R723" s="24" t="s">
        <v>12</v>
      </c>
      <c r="S723" s="114"/>
      <c r="T723" s="45"/>
      <c r="U723" s="48"/>
      <c r="V723" s="48"/>
      <c r="W723" s="27"/>
    </row>
    <row r="724" spans="1:23" ht="60" hidden="1" customHeight="1" x14ac:dyDescent="0.25">
      <c r="A724" s="45" t="str">
        <f>CONCATENATE(Tabla2[[#This Row],[id_solicitud]],Tabla2[[#This Row],[tipo]])</f>
        <v>59Oficio_Solicitud</v>
      </c>
      <c r="B724" s="45">
        <f>COUNTIF($A$2:A724,A724)</f>
        <v>1</v>
      </c>
      <c r="C724" s="45" t="str">
        <f>Tabla2[[#This Row],[(id_solicitud-tipo_documento)]]&amp;B724</f>
        <v>59Oficio_Solicitud1</v>
      </c>
      <c r="D724" s="45">
        <v>726</v>
      </c>
      <c r="E724" s="45">
        <v>59</v>
      </c>
      <c r="F724" s="45" t="s">
        <v>53</v>
      </c>
      <c r="G724" s="45" t="s">
        <v>60</v>
      </c>
      <c r="H724" s="50" t="s">
        <v>26</v>
      </c>
      <c r="I724" s="51">
        <v>693</v>
      </c>
      <c r="J724" s="80"/>
      <c r="K7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693 DV</v>
      </c>
      <c r="L724" s="48">
        <v>44581</v>
      </c>
      <c r="M724" s="48">
        <v>44587</v>
      </c>
      <c r="N724" s="49" t="s">
        <v>117</v>
      </c>
      <c r="O724" s="45">
        <v>1</v>
      </c>
      <c r="P724" s="80" t="s">
        <v>494</v>
      </c>
      <c r="Q724" s="48">
        <v>44587</v>
      </c>
      <c r="R724" s="45"/>
      <c r="S724" s="114"/>
      <c r="T724" s="52"/>
      <c r="U724" s="48"/>
      <c r="V724" s="48"/>
      <c r="W724" s="27"/>
    </row>
    <row r="725" spans="1:23" ht="60" hidden="1" customHeight="1" x14ac:dyDescent="0.25">
      <c r="A725" s="45" t="str">
        <f>CONCATENATE(Tabla2[[#This Row],[id_solicitud]],Tabla2[[#This Row],[tipo]])</f>
        <v>63Decreto</v>
      </c>
      <c r="B725" s="45">
        <f>COUNTIF($A$2:A725,A725)</f>
        <v>2</v>
      </c>
      <c r="C725" s="45" t="str">
        <f>Tabla2[[#This Row],[(id_solicitud-tipo_documento)]]&amp;B725</f>
        <v>63Decreto2</v>
      </c>
      <c r="D725" s="45">
        <v>727</v>
      </c>
      <c r="E725" s="45">
        <v>63</v>
      </c>
      <c r="F725" s="45" t="s">
        <v>47</v>
      </c>
      <c r="G725" s="45" t="s">
        <v>60</v>
      </c>
      <c r="H725" s="50" t="s">
        <v>6</v>
      </c>
      <c r="I725" s="51">
        <v>694</v>
      </c>
      <c r="J725" s="80"/>
      <c r="K7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694 APR</v>
      </c>
      <c r="L725" s="48">
        <v>44697</v>
      </c>
      <c r="M725" s="48"/>
      <c r="N725" s="49" t="s">
        <v>792</v>
      </c>
      <c r="O725" s="45"/>
      <c r="P725" s="80"/>
      <c r="Q725" s="48"/>
      <c r="R725" s="45"/>
      <c r="S725" s="115">
        <v>254</v>
      </c>
      <c r="T725" s="20">
        <v>44678</v>
      </c>
      <c r="U725" s="20">
        <v>44713</v>
      </c>
      <c r="V725" s="20">
        <v>44713</v>
      </c>
      <c r="W725" s="27"/>
    </row>
    <row r="726" spans="1:23" ht="60" hidden="1" customHeight="1" x14ac:dyDescent="0.25">
      <c r="A726" s="45" t="str">
        <f>CONCATENATE(Tabla2[[#This Row],[id_solicitud]],Tabla2[[#This Row],[tipo]])</f>
        <v>510Proposicion</v>
      </c>
      <c r="B726" s="45">
        <f>COUNTIF($A$2:A726,A726)</f>
        <v>1</v>
      </c>
      <c r="C726" s="45" t="str">
        <f>Tabla2[[#This Row],[(id_solicitud-tipo_documento)]]&amp;B726</f>
        <v>510Proposicion1</v>
      </c>
      <c r="D726" s="45">
        <v>728</v>
      </c>
      <c r="E726" s="45">
        <v>510</v>
      </c>
      <c r="F726" s="45" t="s">
        <v>46</v>
      </c>
      <c r="G726" s="45" t="s">
        <v>40</v>
      </c>
      <c r="H726" s="50" t="s">
        <v>26</v>
      </c>
      <c r="I726" s="51">
        <v>695</v>
      </c>
      <c r="J726" s="80"/>
      <c r="K7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695 DV</v>
      </c>
      <c r="L726" s="48">
        <v>44862</v>
      </c>
      <c r="M726" s="48">
        <v>44862</v>
      </c>
      <c r="N726" s="49" t="s">
        <v>741</v>
      </c>
      <c r="O726" s="45"/>
      <c r="P726" s="80" t="s">
        <v>526</v>
      </c>
      <c r="Q726" s="24"/>
      <c r="R726" s="24" t="s">
        <v>12</v>
      </c>
      <c r="S726" s="114"/>
      <c r="T726" s="45"/>
      <c r="U726" s="48"/>
      <c r="V726" s="48"/>
      <c r="W726" s="27"/>
    </row>
    <row r="727" spans="1:23" ht="60" hidden="1" customHeight="1" x14ac:dyDescent="0.25">
      <c r="A727" s="45" t="str">
        <f>CONCATENATE(Tabla2[[#This Row],[id_solicitud]],Tabla2[[#This Row],[tipo]])</f>
        <v>511Proposicion</v>
      </c>
      <c r="B727" s="45">
        <f>COUNTIF($A$2:A727,A727)</f>
        <v>1</v>
      </c>
      <c r="C727" s="45" t="str">
        <f>Tabla2[[#This Row],[(id_solicitud-tipo_documento)]]&amp;B727</f>
        <v>511Proposicion1</v>
      </c>
      <c r="D727" s="45">
        <v>729</v>
      </c>
      <c r="E727" s="45">
        <v>511</v>
      </c>
      <c r="F727" s="45" t="s">
        <v>46</v>
      </c>
      <c r="G727" s="45" t="s">
        <v>40</v>
      </c>
      <c r="H727" s="50" t="s">
        <v>538</v>
      </c>
      <c r="I727" s="51">
        <v>695</v>
      </c>
      <c r="J727" s="80"/>
      <c r="K7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695 DV_FETCovid19</v>
      </c>
      <c r="L727" s="48">
        <v>44862</v>
      </c>
      <c r="M727" s="48">
        <v>44862</v>
      </c>
      <c r="N727" s="49" t="s">
        <v>476</v>
      </c>
      <c r="O727" s="45"/>
      <c r="P727" s="80" t="s">
        <v>526</v>
      </c>
      <c r="Q727" s="24"/>
      <c r="R727" s="24" t="s">
        <v>12</v>
      </c>
      <c r="S727" s="114"/>
      <c r="T727" s="45"/>
      <c r="U727" s="48"/>
      <c r="V727" s="48"/>
      <c r="W727" s="27"/>
    </row>
    <row r="728" spans="1:23" ht="60" hidden="1" customHeight="1" x14ac:dyDescent="0.25">
      <c r="A728" s="45" t="str">
        <f>CONCATENATE(Tabla2[[#This Row],[id_solicitud]],Tabla2[[#This Row],[tipo]])</f>
        <v>171Decreto</v>
      </c>
      <c r="B728" s="45">
        <f>COUNTIF($A$2:A728,A728)</f>
        <v>1</v>
      </c>
      <c r="C728" s="45" t="str">
        <f>Tabla2[[#This Row],[(id_solicitud-tipo_documento)]]&amp;B728</f>
        <v>171Decreto1</v>
      </c>
      <c r="D728" s="45">
        <v>730</v>
      </c>
      <c r="E728" s="45">
        <v>171</v>
      </c>
      <c r="F728" s="45" t="s">
        <v>47</v>
      </c>
      <c r="G728" s="45" t="s">
        <v>43</v>
      </c>
      <c r="H728" s="50" t="s">
        <v>576</v>
      </c>
      <c r="I728" s="51">
        <v>697</v>
      </c>
      <c r="J728" s="80"/>
      <c r="K7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697 DV-DV_FETCovid19</v>
      </c>
      <c r="L728" s="48">
        <v>44699</v>
      </c>
      <c r="M728" s="48"/>
      <c r="N728" s="49" t="s">
        <v>1263</v>
      </c>
      <c r="O728" s="45"/>
      <c r="P728" s="80"/>
      <c r="Q728" s="48"/>
      <c r="R728" s="45"/>
      <c r="S728" s="115">
        <v>293</v>
      </c>
      <c r="T728" s="20">
        <v>44687</v>
      </c>
      <c r="U728" s="20">
        <v>44720</v>
      </c>
      <c r="V728" s="20">
        <v>44720</v>
      </c>
      <c r="W728" s="27"/>
    </row>
    <row r="729" spans="1:23" ht="60" hidden="1" customHeight="1" x14ac:dyDescent="0.25">
      <c r="A729" s="45" t="str">
        <f>CONCATENATE(Tabla2[[#This Row],[id_solicitud]],Tabla2[[#This Row],[tipo]])</f>
        <v>257Decreto</v>
      </c>
      <c r="B729" s="45">
        <f>COUNTIF($A$2:A729,A729)</f>
        <v>1</v>
      </c>
      <c r="C729" s="45" t="str">
        <f>Tabla2[[#This Row],[(id_solicitud-tipo_documento)]]&amp;B729</f>
        <v>257Decreto1</v>
      </c>
      <c r="D729" s="45">
        <v>731</v>
      </c>
      <c r="E729" s="45">
        <v>257</v>
      </c>
      <c r="F729" s="45" t="s">
        <v>47</v>
      </c>
      <c r="G729" s="45" t="s">
        <v>43</v>
      </c>
      <c r="H729" s="50" t="s">
        <v>574</v>
      </c>
      <c r="I729" s="51">
        <v>697</v>
      </c>
      <c r="J729" s="80"/>
      <c r="K7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697 MOP_FETCovid19</v>
      </c>
      <c r="L729" s="48">
        <v>44699</v>
      </c>
      <c r="M729" s="48"/>
      <c r="N729" s="49" t="s">
        <v>1263</v>
      </c>
      <c r="O729" s="45"/>
      <c r="P729" s="80"/>
      <c r="Q729" s="48"/>
      <c r="R729" s="45"/>
      <c r="S729" s="115">
        <v>293</v>
      </c>
      <c r="T729" s="20">
        <v>44687</v>
      </c>
      <c r="U729" s="20">
        <v>44720</v>
      </c>
      <c r="V729" s="20">
        <v>44720</v>
      </c>
      <c r="W729" s="27"/>
    </row>
    <row r="730" spans="1:23" ht="60" hidden="1" customHeight="1" x14ac:dyDescent="0.25">
      <c r="A730" s="45" t="str">
        <f>CONCATENATE(Tabla2[[#This Row],[id_solicitud]],Tabla2[[#This Row],[tipo]])</f>
        <v>523Proposicion</v>
      </c>
      <c r="B730" s="45">
        <f>COUNTIF($A$2:A730,A730)</f>
        <v>1</v>
      </c>
      <c r="C730" s="45" t="str">
        <f>Tabla2[[#This Row],[(id_solicitud-tipo_documento)]]&amp;B730</f>
        <v>523Proposicion1</v>
      </c>
      <c r="D730" s="45">
        <v>732</v>
      </c>
      <c r="E730" s="45">
        <v>523</v>
      </c>
      <c r="F730" s="45" t="s">
        <v>46</v>
      </c>
      <c r="G730" s="45" t="s">
        <v>59</v>
      </c>
      <c r="H730" s="50" t="s">
        <v>609</v>
      </c>
      <c r="I730" s="51">
        <v>697</v>
      </c>
      <c r="J730" s="80"/>
      <c r="K7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697 DV-DAP</v>
      </c>
      <c r="L730" s="48">
        <v>44862</v>
      </c>
      <c r="M730" s="48">
        <v>44862</v>
      </c>
      <c r="N730" s="49" t="s">
        <v>743</v>
      </c>
      <c r="O730" s="45"/>
      <c r="P730" s="80" t="s">
        <v>526</v>
      </c>
      <c r="Q730" s="24"/>
      <c r="R730" s="24" t="s">
        <v>12</v>
      </c>
      <c r="S730" s="114"/>
      <c r="T730" s="45"/>
      <c r="U730" s="48"/>
      <c r="V730" s="48"/>
      <c r="W730" s="27"/>
    </row>
    <row r="731" spans="1:23" ht="60" hidden="1" customHeight="1" x14ac:dyDescent="0.25">
      <c r="A731" s="45" t="str">
        <f>CONCATENATE(Tabla2[[#This Row],[id_solicitud]],Tabla2[[#This Row],[tipo]])</f>
        <v>437Proposicion</v>
      </c>
      <c r="B731" s="45">
        <f>COUNTIF($A$2:A731,A731)</f>
        <v>1</v>
      </c>
      <c r="C731" s="45" t="str">
        <f>Tabla2[[#This Row],[(id_solicitud-tipo_documento)]]&amp;B731</f>
        <v>437Proposicion1</v>
      </c>
      <c r="D731" s="45">
        <v>733</v>
      </c>
      <c r="E731" s="45">
        <v>437</v>
      </c>
      <c r="F731" s="45" t="s">
        <v>46</v>
      </c>
      <c r="G731" s="45" t="s">
        <v>1258</v>
      </c>
      <c r="H731" s="50" t="s">
        <v>559</v>
      </c>
      <c r="I731" s="51">
        <v>698</v>
      </c>
      <c r="J731" s="80"/>
      <c r="K7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698 APR_FETCovid19</v>
      </c>
      <c r="L731" s="48">
        <v>44839</v>
      </c>
      <c r="M731" s="48">
        <v>44839</v>
      </c>
      <c r="N731" s="49" t="s">
        <v>417</v>
      </c>
      <c r="O731" s="45">
        <v>2</v>
      </c>
      <c r="P731" s="80" t="s">
        <v>494</v>
      </c>
      <c r="Q731" s="24"/>
      <c r="R731" s="24" t="s">
        <v>24</v>
      </c>
      <c r="S731" s="114"/>
      <c r="T731" s="45"/>
      <c r="U731" s="48"/>
      <c r="V731" s="48"/>
      <c r="W731" s="27"/>
    </row>
    <row r="732" spans="1:23" ht="60" hidden="1" customHeight="1" x14ac:dyDescent="0.25">
      <c r="A732" s="45" t="str">
        <f>CONCATENATE(Tabla2[[#This Row],[id_solicitud]],Tabla2[[#This Row],[tipo]])</f>
        <v>176Decreto</v>
      </c>
      <c r="B732" s="45">
        <f>COUNTIF($A$2:A732,A732)</f>
        <v>1</v>
      </c>
      <c r="C732" s="45" t="str">
        <f>Tabla2[[#This Row],[(id_solicitud-tipo_documento)]]&amp;B732</f>
        <v>176Decreto1</v>
      </c>
      <c r="D732" s="45">
        <v>734</v>
      </c>
      <c r="E732" s="45">
        <v>176</v>
      </c>
      <c r="F732" s="45" t="s">
        <v>47</v>
      </c>
      <c r="G732" s="45" t="s">
        <v>43</v>
      </c>
      <c r="H732" s="50" t="s">
        <v>577</v>
      </c>
      <c r="I732" s="51">
        <v>699</v>
      </c>
      <c r="J732" s="80"/>
      <c r="K7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699 MOP-MOP_FETCovid19</v>
      </c>
      <c r="L732" s="48">
        <v>44699</v>
      </c>
      <c r="M732" s="48"/>
      <c r="N732" s="49" t="s">
        <v>1264</v>
      </c>
      <c r="O732" s="45"/>
      <c r="P732" s="80"/>
      <c r="Q732" s="48"/>
      <c r="R732" s="45"/>
      <c r="S732" s="115">
        <v>294</v>
      </c>
      <c r="T732" s="20">
        <v>44687</v>
      </c>
      <c r="U732" s="20">
        <v>44711</v>
      </c>
      <c r="V732" s="20">
        <v>44711</v>
      </c>
      <c r="W732" s="27"/>
    </row>
    <row r="733" spans="1:23" ht="60" hidden="1" customHeight="1" x14ac:dyDescent="0.25">
      <c r="A733" s="45" t="str">
        <f>CONCATENATE(Tabla2[[#This Row],[id_solicitud]],Tabla2[[#This Row],[tipo]])</f>
        <v>447Proposicion</v>
      </c>
      <c r="B733" s="45">
        <f>COUNTIF($A$2:A733,A733)</f>
        <v>1</v>
      </c>
      <c r="C733" s="45" t="str">
        <f>Tabla2[[#This Row],[(id_solicitud-tipo_documento)]]&amp;B733</f>
        <v>447Proposicion1</v>
      </c>
      <c r="D733" s="45">
        <v>735</v>
      </c>
      <c r="E733" s="45">
        <v>447</v>
      </c>
      <c r="F733" s="45" t="s">
        <v>46</v>
      </c>
      <c r="G733" s="45" t="s">
        <v>1258</v>
      </c>
      <c r="H733" s="50" t="s">
        <v>20</v>
      </c>
      <c r="I733" s="51">
        <v>699</v>
      </c>
      <c r="J733" s="80"/>
      <c r="K7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699 DOH</v>
      </c>
      <c r="L733" s="48">
        <v>44839</v>
      </c>
      <c r="M733" s="48">
        <v>44839</v>
      </c>
      <c r="N733" s="49" t="s">
        <v>723</v>
      </c>
      <c r="O733" s="45">
        <v>1</v>
      </c>
      <c r="P733" s="80" t="s">
        <v>494</v>
      </c>
      <c r="Q733" s="24"/>
      <c r="R733" s="24" t="s">
        <v>24</v>
      </c>
      <c r="S733" s="114"/>
      <c r="T733" s="45"/>
      <c r="U733" s="48"/>
      <c r="V733" s="48"/>
      <c r="W733" s="27"/>
    </row>
    <row r="734" spans="1:23" ht="60" hidden="1" customHeight="1" x14ac:dyDescent="0.25">
      <c r="A734" s="45" t="str">
        <f>CONCATENATE(Tabla2[[#This Row],[id_solicitud]],Tabla2[[#This Row],[tipo]])</f>
        <v>441Proposicion</v>
      </c>
      <c r="B734" s="45">
        <f>COUNTIF($A$2:A734,A734)</f>
        <v>1</v>
      </c>
      <c r="C734" s="45" t="str">
        <f>Tabla2[[#This Row],[(id_solicitud-tipo_documento)]]&amp;B734</f>
        <v>441Proposicion1</v>
      </c>
      <c r="D734" s="45">
        <v>736</v>
      </c>
      <c r="E734" s="45">
        <v>441</v>
      </c>
      <c r="F734" s="45" t="s">
        <v>46</v>
      </c>
      <c r="G734" s="45" t="s">
        <v>67</v>
      </c>
      <c r="H734" s="50" t="s">
        <v>35</v>
      </c>
      <c r="I734" s="51">
        <v>700</v>
      </c>
      <c r="J734" s="80"/>
      <c r="K7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700 SOP</v>
      </c>
      <c r="L734" s="48">
        <v>44839</v>
      </c>
      <c r="M734" s="48">
        <v>44839</v>
      </c>
      <c r="N734" s="49" t="s">
        <v>420</v>
      </c>
      <c r="O734" s="45"/>
      <c r="P734" s="80" t="s">
        <v>498</v>
      </c>
      <c r="Q734" s="24"/>
      <c r="R734" s="24" t="s">
        <v>24</v>
      </c>
      <c r="S734" s="114"/>
      <c r="T734" s="45"/>
      <c r="U734" s="48"/>
      <c r="V734" s="48"/>
      <c r="W734" s="27"/>
    </row>
    <row r="735" spans="1:23" ht="60" hidden="1" customHeight="1" x14ac:dyDescent="0.25">
      <c r="A735" s="45" t="str">
        <f>CONCATENATE(Tabla2[[#This Row],[id_solicitud]],Tabla2[[#This Row],[tipo]])</f>
        <v>439Proposicion</v>
      </c>
      <c r="B735" s="45">
        <f>COUNTIF($A$2:A735,A735)</f>
        <v>1</v>
      </c>
      <c r="C735" s="45" t="str">
        <f>Tabla2[[#This Row],[(id_solicitud-tipo_documento)]]&amp;B735</f>
        <v>439Proposicion1</v>
      </c>
      <c r="D735" s="45">
        <v>737</v>
      </c>
      <c r="E735" s="45">
        <v>439</v>
      </c>
      <c r="F735" s="45" t="s">
        <v>46</v>
      </c>
      <c r="G735" s="45" t="s">
        <v>60</v>
      </c>
      <c r="H735" s="50" t="s">
        <v>8</v>
      </c>
      <c r="I735" s="51">
        <v>701</v>
      </c>
      <c r="J735" s="80"/>
      <c r="K7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701 DA</v>
      </c>
      <c r="L735" s="48">
        <v>44839</v>
      </c>
      <c r="M735" s="48">
        <v>44840</v>
      </c>
      <c r="N735" s="49" t="s">
        <v>419</v>
      </c>
      <c r="O735" s="45">
        <v>2</v>
      </c>
      <c r="P735" s="80" t="s">
        <v>494</v>
      </c>
      <c r="Q735" s="24"/>
      <c r="R735" s="24" t="s">
        <v>24</v>
      </c>
      <c r="S735" s="114"/>
      <c r="T735" s="45"/>
      <c r="U735" s="48"/>
      <c r="V735" s="48"/>
      <c r="W735" s="27"/>
    </row>
    <row r="736" spans="1:23" ht="60" hidden="1" customHeight="1" x14ac:dyDescent="0.25">
      <c r="A736" s="45" t="str">
        <f>CONCATENATE(Tabla2[[#This Row],[id_solicitud]],Tabla2[[#This Row],[tipo]])</f>
        <v>521Proposicion</v>
      </c>
      <c r="B736" s="45">
        <f>COUNTIF($A$2:A736,A736)</f>
        <v>1</v>
      </c>
      <c r="C736" s="45" t="str">
        <f>Tabla2[[#This Row],[(id_solicitud-tipo_documento)]]&amp;B736</f>
        <v>521Proposicion1</v>
      </c>
      <c r="D736" s="45">
        <v>738</v>
      </c>
      <c r="E736" s="45">
        <v>521</v>
      </c>
      <c r="F736" s="45" t="s">
        <v>46</v>
      </c>
      <c r="G736" s="45" t="s">
        <v>40</v>
      </c>
      <c r="H736" s="50" t="s">
        <v>32</v>
      </c>
      <c r="I736" s="51">
        <v>701</v>
      </c>
      <c r="J736" s="80"/>
      <c r="K7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701 MOP</v>
      </c>
      <c r="L736" s="48">
        <v>44862</v>
      </c>
      <c r="M736" s="48">
        <v>44862</v>
      </c>
      <c r="N736" s="49" t="s">
        <v>742</v>
      </c>
      <c r="O736" s="45"/>
      <c r="P736" s="80" t="s">
        <v>497</v>
      </c>
      <c r="Q736" s="24"/>
      <c r="R736" s="24" t="s">
        <v>12</v>
      </c>
      <c r="S736" s="114"/>
      <c r="T736" s="45"/>
      <c r="U736" s="48"/>
      <c r="V736" s="48"/>
      <c r="W736" s="27"/>
    </row>
    <row r="737" spans="1:23" ht="60" hidden="1" customHeight="1" x14ac:dyDescent="0.25">
      <c r="A737" s="45" t="str">
        <f>CONCATENATE(Tabla2[[#This Row],[id_solicitud]],Tabla2[[#This Row],[tipo]])</f>
        <v>524Proposicion</v>
      </c>
      <c r="B737" s="45">
        <f>COUNTIF($A$2:A737,A737)</f>
        <v>1</v>
      </c>
      <c r="C737" s="45" t="str">
        <f>Tabla2[[#This Row],[(id_solicitud-tipo_documento)]]&amp;B737</f>
        <v>524Proposicion1</v>
      </c>
      <c r="D737" s="45">
        <v>739</v>
      </c>
      <c r="E737" s="45">
        <v>524</v>
      </c>
      <c r="F737" s="45" t="s">
        <v>46</v>
      </c>
      <c r="G737" s="45" t="s">
        <v>40</v>
      </c>
      <c r="H737" s="50" t="s">
        <v>8</v>
      </c>
      <c r="I737" s="51">
        <v>701</v>
      </c>
      <c r="J737" s="80"/>
      <c r="K7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701 DA</v>
      </c>
      <c r="L737" s="48">
        <v>44839</v>
      </c>
      <c r="M737" s="48">
        <v>44840</v>
      </c>
      <c r="N737" s="49" t="s">
        <v>486</v>
      </c>
      <c r="O737" s="45"/>
      <c r="P737" s="80" t="s">
        <v>494</v>
      </c>
      <c r="Q737" s="24"/>
      <c r="R737" s="24" t="s">
        <v>24</v>
      </c>
      <c r="S737" s="114"/>
      <c r="T737" s="45"/>
      <c r="U737" s="48"/>
      <c r="V737" s="48"/>
      <c r="W737" s="27"/>
    </row>
    <row r="738" spans="1:23" ht="60" hidden="1" customHeight="1" x14ac:dyDescent="0.25">
      <c r="A738" s="45" t="str">
        <f>CONCATENATE(Tabla2[[#This Row],[id_solicitud]],Tabla2[[#This Row],[tipo]])</f>
        <v>417Proposicion</v>
      </c>
      <c r="B738" s="45">
        <f>COUNTIF($A$2:A738,A738)</f>
        <v>1</v>
      </c>
      <c r="C738" s="45" t="str">
        <f>Tabla2[[#This Row],[(id_solicitud-tipo_documento)]]&amp;B738</f>
        <v>417Proposicion1</v>
      </c>
      <c r="D738" s="45">
        <v>740</v>
      </c>
      <c r="E738" s="45">
        <v>417</v>
      </c>
      <c r="F738" s="45" t="s">
        <v>46</v>
      </c>
      <c r="G738" s="45" t="s">
        <v>60</v>
      </c>
      <c r="H738" s="50" t="s">
        <v>6</v>
      </c>
      <c r="I738" s="51">
        <v>702</v>
      </c>
      <c r="J738" s="80"/>
      <c r="K7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702 APR</v>
      </c>
      <c r="L738" s="48">
        <v>44839</v>
      </c>
      <c r="M738" s="48">
        <v>44839</v>
      </c>
      <c r="N738" s="49" t="s">
        <v>402</v>
      </c>
      <c r="O738" s="45">
        <f>11+20</f>
        <v>31</v>
      </c>
      <c r="P738" s="80" t="s">
        <v>494</v>
      </c>
      <c r="Q738" s="24"/>
      <c r="R738" s="24" t="s">
        <v>24</v>
      </c>
      <c r="S738" s="114"/>
      <c r="T738" s="45"/>
      <c r="U738" s="48"/>
      <c r="V738" s="48"/>
      <c r="W738" s="27"/>
    </row>
    <row r="739" spans="1:23" ht="60" hidden="1" customHeight="1" x14ac:dyDescent="0.25">
      <c r="A739" s="45" t="str">
        <f>CONCATENATE(Tabla2[[#This Row],[id_solicitud]],Tabla2[[#This Row],[tipo]])</f>
        <v>418Proposicion</v>
      </c>
      <c r="B739" s="45">
        <f>COUNTIF($A$2:A739,A739)</f>
        <v>1</v>
      </c>
      <c r="C739" s="45" t="str">
        <f>Tabla2[[#This Row],[(id_solicitud-tipo_documento)]]&amp;B739</f>
        <v>418Proposicion1</v>
      </c>
      <c r="D739" s="45">
        <v>741</v>
      </c>
      <c r="E739" s="45">
        <v>418</v>
      </c>
      <c r="F739" s="45" t="s">
        <v>46</v>
      </c>
      <c r="G739" s="45" t="s">
        <v>60</v>
      </c>
      <c r="H739" s="50" t="s">
        <v>535</v>
      </c>
      <c r="I739" s="51">
        <v>703</v>
      </c>
      <c r="J739" s="80"/>
      <c r="K7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703 DOH_FETCovid19</v>
      </c>
      <c r="L739" s="48">
        <v>44839</v>
      </c>
      <c r="M739" s="48">
        <v>44840</v>
      </c>
      <c r="N739" s="49" t="s">
        <v>403</v>
      </c>
      <c r="O739" s="45">
        <v>4</v>
      </c>
      <c r="P739" s="80" t="s">
        <v>494</v>
      </c>
      <c r="Q739" s="24"/>
      <c r="R739" s="24" t="s">
        <v>24</v>
      </c>
      <c r="S739" s="114"/>
      <c r="T739" s="45"/>
      <c r="U739" s="48"/>
      <c r="V739" s="48"/>
      <c r="W739" s="27"/>
    </row>
    <row r="740" spans="1:23" ht="60" hidden="1" customHeight="1" x14ac:dyDescent="0.25">
      <c r="A740" s="45" t="str">
        <f>CONCATENATE(Tabla2[[#This Row],[id_solicitud]],Tabla2[[#This Row],[tipo]])</f>
        <v>528Proposicion</v>
      </c>
      <c r="B740" s="45">
        <f>COUNTIF($A$2:A740,A740)</f>
        <v>1</v>
      </c>
      <c r="C740" s="45" t="str">
        <f>Tabla2[[#This Row],[(id_solicitud-tipo_documento)]]&amp;B740</f>
        <v>528Proposicion1</v>
      </c>
      <c r="D740" s="45">
        <v>742</v>
      </c>
      <c r="E740" s="45">
        <v>528</v>
      </c>
      <c r="F740" s="45" t="s">
        <v>46</v>
      </c>
      <c r="G740" s="45" t="s">
        <v>44</v>
      </c>
      <c r="H740" s="50" t="s">
        <v>35</v>
      </c>
      <c r="I740" s="51">
        <v>704</v>
      </c>
      <c r="J740" s="80"/>
      <c r="K7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704 SOP</v>
      </c>
      <c r="L740" s="48">
        <v>44867</v>
      </c>
      <c r="M740" s="48">
        <v>44867</v>
      </c>
      <c r="N740" s="49" t="s">
        <v>744</v>
      </c>
      <c r="O740" s="45"/>
      <c r="P740" s="80" t="s">
        <v>497</v>
      </c>
      <c r="Q740" s="24"/>
      <c r="R740" s="24" t="s">
        <v>12</v>
      </c>
      <c r="S740" s="114"/>
      <c r="T740" s="45"/>
      <c r="U740" s="48"/>
      <c r="V740" s="48"/>
      <c r="W740" s="27"/>
    </row>
    <row r="741" spans="1:23" ht="60" hidden="1" customHeight="1" x14ac:dyDescent="0.25">
      <c r="A741" s="45" t="str">
        <f>CONCATENATE(Tabla2[[#This Row],[id_solicitud]],Tabla2[[#This Row],[tipo]])</f>
        <v>289Oficio_Solicitud</v>
      </c>
      <c r="B741" s="45">
        <f>COUNTIF($A$2:A741,A741)</f>
        <v>1</v>
      </c>
      <c r="C741" s="45" t="str">
        <f>Tabla2[[#This Row],[(id_solicitud-tipo_documento)]]&amp;B741</f>
        <v>289Oficio_Solicitud1</v>
      </c>
      <c r="D741" s="45">
        <v>743</v>
      </c>
      <c r="E741" s="45">
        <v>289</v>
      </c>
      <c r="F741" s="45" t="s">
        <v>53</v>
      </c>
      <c r="G741" s="45" t="s">
        <v>60</v>
      </c>
      <c r="H741" s="50" t="s">
        <v>8</v>
      </c>
      <c r="I741" s="51">
        <v>705</v>
      </c>
      <c r="J741" s="80"/>
      <c r="K7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705 DA</v>
      </c>
      <c r="L741" s="48">
        <v>44741</v>
      </c>
      <c r="M741" s="48">
        <v>44742</v>
      </c>
      <c r="N741" s="49" t="s">
        <v>306</v>
      </c>
      <c r="O741" s="45">
        <v>1</v>
      </c>
      <c r="P741" s="80" t="s">
        <v>494</v>
      </c>
      <c r="Q741" s="48"/>
      <c r="R741" s="45"/>
      <c r="S741" s="114"/>
      <c r="T741" s="52"/>
      <c r="U741" s="48"/>
      <c r="V741" s="48"/>
      <c r="W741" s="27"/>
    </row>
    <row r="742" spans="1:23" ht="60" hidden="1" customHeight="1" x14ac:dyDescent="0.25">
      <c r="A742" s="45" t="str">
        <f>CONCATENATE(Tabla2[[#This Row],[id_solicitud]],Tabla2[[#This Row],[tipo]])</f>
        <v>81Decreto</v>
      </c>
      <c r="B742" s="45">
        <f>COUNTIF($A$2:A742,A742)</f>
        <v>1</v>
      </c>
      <c r="C742" s="45" t="str">
        <f>Tabla2[[#This Row],[(id_solicitud-tipo_documento)]]&amp;B742</f>
        <v>81Decreto1</v>
      </c>
      <c r="D742" s="45">
        <v>744</v>
      </c>
      <c r="E742" s="45">
        <v>81</v>
      </c>
      <c r="F742" s="45" t="s">
        <v>47</v>
      </c>
      <c r="G742" s="45" t="s">
        <v>60</v>
      </c>
      <c r="H742" s="50" t="s">
        <v>16</v>
      </c>
      <c r="I742" s="51">
        <v>706</v>
      </c>
      <c r="J742" s="80"/>
      <c r="K7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706 DGC</v>
      </c>
      <c r="L742" s="48">
        <v>44699</v>
      </c>
      <c r="M742" s="48"/>
      <c r="N742" s="49" t="s">
        <v>634</v>
      </c>
      <c r="O742" s="45"/>
      <c r="P742" s="80"/>
      <c r="Q742" s="48"/>
      <c r="R742" s="45"/>
      <c r="S742" s="115">
        <v>233</v>
      </c>
      <c r="T742" s="20">
        <v>44677</v>
      </c>
      <c r="U742" s="20">
        <v>44714</v>
      </c>
      <c r="V742" s="20">
        <v>44714</v>
      </c>
      <c r="W742" s="27"/>
    </row>
    <row r="743" spans="1:23" ht="60" hidden="1" customHeight="1" x14ac:dyDescent="0.25">
      <c r="A743" s="45" t="str">
        <f>CONCATENATE(Tabla2[[#This Row],[id_solicitud]],Tabla2[[#This Row],[tipo]])</f>
        <v>84Decreto</v>
      </c>
      <c r="B743" s="45">
        <f>COUNTIF($A$2:A743,A743)</f>
        <v>1</v>
      </c>
      <c r="C743" s="45" t="str">
        <f>Tabla2[[#This Row],[(id_solicitud-tipo_documento)]]&amp;B743</f>
        <v>84Decreto1</v>
      </c>
      <c r="D743" s="45">
        <v>745</v>
      </c>
      <c r="E743" s="45">
        <v>84</v>
      </c>
      <c r="F743" s="45" t="s">
        <v>47</v>
      </c>
      <c r="G743" s="45" t="s">
        <v>60</v>
      </c>
      <c r="H743" s="50" t="s">
        <v>16</v>
      </c>
      <c r="I743" s="51">
        <v>706</v>
      </c>
      <c r="J743" s="80"/>
      <c r="K7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706 DGC</v>
      </c>
      <c r="L743" s="48">
        <v>44699</v>
      </c>
      <c r="M743" s="48"/>
      <c r="N743" s="49" t="s">
        <v>808</v>
      </c>
      <c r="O743" s="45"/>
      <c r="P743" s="80"/>
      <c r="Q743" s="48"/>
      <c r="R743" s="45"/>
      <c r="S743" s="115">
        <v>233</v>
      </c>
      <c r="T743" s="20">
        <v>44677</v>
      </c>
      <c r="U743" s="53">
        <v>44714</v>
      </c>
      <c r="V743" s="53">
        <v>44714</v>
      </c>
      <c r="W743" s="27"/>
    </row>
    <row r="744" spans="1:23" ht="60" hidden="1" customHeight="1" x14ac:dyDescent="0.25">
      <c r="A744" s="45" t="str">
        <f>CONCATENATE(Tabla2[[#This Row],[id_solicitud]],Tabla2[[#This Row],[tipo]])</f>
        <v>529Proposicion</v>
      </c>
      <c r="B744" s="45">
        <f>COUNTIF($A$2:A744,A744)</f>
        <v>1</v>
      </c>
      <c r="C744" s="45" t="str">
        <f>Tabla2[[#This Row],[(id_solicitud-tipo_documento)]]&amp;B744</f>
        <v>529Proposicion1</v>
      </c>
      <c r="D744" s="45">
        <v>746</v>
      </c>
      <c r="E744" s="45">
        <v>529</v>
      </c>
      <c r="F744" s="45" t="s">
        <v>46</v>
      </c>
      <c r="G744" s="45" t="s">
        <v>44</v>
      </c>
      <c r="H744" s="50" t="s">
        <v>26</v>
      </c>
      <c r="I744" s="51">
        <v>706</v>
      </c>
      <c r="J744" s="80"/>
      <c r="K7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706 DV</v>
      </c>
      <c r="L744" s="48">
        <v>44868</v>
      </c>
      <c r="M744" s="48">
        <v>44867</v>
      </c>
      <c r="N744" s="49" t="s">
        <v>745</v>
      </c>
      <c r="O744" s="45"/>
      <c r="P744" s="80" t="s">
        <v>497</v>
      </c>
      <c r="Q744" s="24"/>
      <c r="R744" s="24" t="s">
        <v>12</v>
      </c>
      <c r="S744" s="114"/>
      <c r="T744" s="45"/>
      <c r="U744" s="48"/>
      <c r="V744" s="48"/>
      <c r="W744" s="27"/>
    </row>
    <row r="745" spans="1:23" ht="60" hidden="1" customHeight="1" x14ac:dyDescent="0.25">
      <c r="A745" s="45" t="str">
        <f>CONCATENATE(Tabla2[[#This Row],[id_solicitud]],Tabla2[[#This Row],[tipo]])</f>
        <v>531Proposicion</v>
      </c>
      <c r="B745" s="45">
        <f>COUNTIF($A$2:A745,A745)</f>
        <v>1</v>
      </c>
      <c r="C745" s="45" t="str">
        <f>Tabla2[[#This Row],[(id_solicitud-tipo_documento)]]&amp;B745</f>
        <v>531Proposicion1</v>
      </c>
      <c r="D745" s="45">
        <v>747</v>
      </c>
      <c r="E745" s="45">
        <v>531</v>
      </c>
      <c r="F745" s="45" t="s">
        <v>46</v>
      </c>
      <c r="G745" s="45" t="s">
        <v>44</v>
      </c>
      <c r="H745" s="50" t="s">
        <v>26</v>
      </c>
      <c r="I745" s="51">
        <v>706</v>
      </c>
      <c r="J745" s="80"/>
      <c r="K7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706 DV</v>
      </c>
      <c r="L745" s="48">
        <v>44868</v>
      </c>
      <c r="M745" s="48">
        <v>44868</v>
      </c>
      <c r="N745" s="49" t="s">
        <v>489</v>
      </c>
      <c r="O745" s="45"/>
      <c r="P745" s="80">
        <v>21</v>
      </c>
      <c r="Q745" s="24"/>
      <c r="R745" s="24" t="s">
        <v>12</v>
      </c>
      <c r="S745" s="114"/>
      <c r="T745" s="45"/>
      <c r="U745" s="48"/>
      <c r="V745" s="48"/>
      <c r="W745" s="27"/>
    </row>
    <row r="746" spans="1:23" ht="60" hidden="1" customHeight="1" x14ac:dyDescent="0.25">
      <c r="A746" s="45" t="str">
        <f>CONCATENATE(Tabla2[[#This Row],[id_solicitud]],Tabla2[[#This Row],[tipo]])</f>
        <v>73Decreto</v>
      </c>
      <c r="B746" s="45">
        <f>COUNTIF($A$2:A746,A746)</f>
        <v>1</v>
      </c>
      <c r="C746" s="45" t="str">
        <f>Tabla2[[#This Row],[(id_solicitud-tipo_documento)]]&amp;B746</f>
        <v>73Decreto1</v>
      </c>
      <c r="D746" s="45">
        <v>748</v>
      </c>
      <c r="E746" s="45">
        <v>73</v>
      </c>
      <c r="F746" s="45" t="s">
        <v>47</v>
      </c>
      <c r="G746" s="45" t="s">
        <v>40</v>
      </c>
      <c r="H746" s="50" t="s">
        <v>562</v>
      </c>
      <c r="I746" s="51">
        <v>707</v>
      </c>
      <c r="J746" s="80"/>
      <c r="K7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707 DGC_FETCovid19</v>
      </c>
      <c r="L746" s="48">
        <v>44699</v>
      </c>
      <c r="M746" s="48"/>
      <c r="N746" s="49" t="s">
        <v>801</v>
      </c>
      <c r="O746" s="45"/>
      <c r="P746" s="80"/>
      <c r="Q746" s="48"/>
      <c r="R746" s="45"/>
      <c r="S746" s="115">
        <v>268</v>
      </c>
      <c r="T746" s="20">
        <v>44679</v>
      </c>
      <c r="U746" s="20">
        <v>44707</v>
      </c>
      <c r="V746" s="20">
        <v>44707</v>
      </c>
      <c r="W746" s="27"/>
    </row>
    <row r="747" spans="1:23" ht="60" hidden="1" customHeight="1" x14ac:dyDescent="0.25">
      <c r="A747" s="45" t="str">
        <f>CONCATENATE(Tabla2[[#This Row],[id_solicitud]],Tabla2[[#This Row],[tipo]])</f>
        <v>108Decreto</v>
      </c>
      <c r="B747" s="45">
        <f>COUNTIF($A$2:A747,A747)</f>
        <v>1</v>
      </c>
      <c r="C747" s="45" t="str">
        <f>Tabla2[[#This Row],[(id_solicitud-tipo_documento)]]&amp;B747</f>
        <v>108Decreto1</v>
      </c>
      <c r="D747" s="45">
        <v>749</v>
      </c>
      <c r="E747" s="45">
        <v>108</v>
      </c>
      <c r="F747" s="45" t="s">
        <v>47</v>
      </c>
      <c r="G747" s="45" t="s">
        <v>40</v>
      </c>
      <c r="H747" s="50" t="s">
        <v>562</v>
      </c>
      <c r="I747" s="51">
        <v>707</v>
      </c>
      <c r="J747" s="80"/>
      <c r="K7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707 DGC_FETCovid19</v>
      </c>
      <c r="L747" s="48">
        <v>44699</v>
      </c>
      <c r="M747" s="48"/>
      <c r="N747" s="49" t="s">
        <v>819</v>
      </c>
      <c r="O747" s="45"/>
      <c r="P747" s="80"/>
      <c r="Q747" s="48"/>
      <c r="R747" s="45"/>
      <c r="S747" s="115">
        <v>268</v>
      </c>
      <c r="T747" s="20">
        <v>44679</v>
      </c>
      <c r="U747" s="20">
        <v>44707</v>
      </c>
      <c r="V747" s="20">
        <v>44707</v>
      </c>
      <c r="W747" s="27"/>
    </row>
    <row r="748" spans="1:23" ht="60" hidden="1" customHeight="1" x14ac:dyDescent="0.25">
      <c r="A748" s="45" t="str">
        <f>CONCATENATE(Tabla2[[#This Row],[id_solicitud]],Tabla2[[#This Row],[tipo]])</f>
        <v>429Oficio_Autorizacion</v>
      </c>
      <c r="B748" s="45">
        <f>COUNTIF($A$2:A748,A748)</f>
        <v>1</v>
      </c>
      <c r="C748" s="45" t="str">
        <f>Tabla2[[#This Row],[(id_solicitud-tipo_documento)]]&amp;B748</f>
        <v>429Oficio_Autorizacion1</v>
      </c>
      <c r="D748" s="45">
        <v>750</v>
      </c>
      <c r="E748" s="45">
        <v>429</v>
      </c>
      <c r="F748" s="45" t="s">
        <v>1272</v>
      </c>
      <c r="G748" s="45" t="s">
        <v>44</v>
      </c>
      <c r="H748" s="50" t="s">
        <v>16</v>
      </c>
      <c r="I748" s="51">
        <v>707</v>
      </c>
      <c r="J748" s="80"/>
      <c r="K7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748" s="48">
        <v>44699</v>
      </c>
      <c r="M748" s="48"/>
      <c r="N748" s="49" t="s">
        <v>819</v>
      </c>
      <c r="O748" s="45"/>
      <c r="P748" s="80"/>
      <c r="Q748" s="48"/>
      <c r="R748" s="45"/>
      <c r="S748" s="115">
        <v>268</v>
      </c>
      <c r="T748" s="20">
        <v>44679</v>
      </c>
      <c r="U748" s="20">
        <v>44707</v>
      </c>
      <c r="V748" s="20">
        <v>44707</v>
      </c>
      <c r="W748" s="27"/>
    </row>
    <row r="749" spans="1:23" ht="60" hidden="1" customHeight="1" x14ac:dyDescent="0.25">
      <c r="A749" s="45" t="str">
        <f>CONCATENATE(Tabla2[[#This Row],[id_solicitud]],Tabla2[[#This Row],[tipo]])</f>
        <v>446Proposicion</v>
      </c>
      <c r="B749" s="45">
        <f>COUNTIF($A$2:A749,A749)</f>
        <v>1</v>
      </c>
      <c r="C749" s="45" t="str">
        <f>Tabla2[[#This Row],[(id_solicitud-tipo_documento)]]&amp;B749</f>
        <v>446Proposicion1</v>
      </c>
      <c r="D749" s="45">
        <v>751</v>
      </c>
      <c r="E749" s="45">
        <v>446</v>
      </c>
      <c r="F749" s="45" t="s">
        <v>46</v>
      </c>
      <c r="G749" s="45" t="s">
        <v>63</v>
      </c>
      <c r="H749" s="50" t="s">
        <v>22</v>
      </c>
      <c r="I749" s="51">
        <v>707</v>
      </c>
      <c r="J749" s="80"/>
      <c r="K7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707 DOP</v>
      </c>
      <c r="L749" s="48">
        <v>44845</v>
      </c>
      <c r="M749" s="48">
        <v>44845</v>
      </c>
      <c r="N749" s="49" t="s">
        <v>425</v>
      </c>
      <c r="O749" s="45">
        <v>2</v>
      </c>
      <c r="P749" s="80" t="s">
        <v>524</v>
      </c>
      <c r="Q749" s="24"/>
      <c r="R749" s="24" t="s">
        <v>24</v>
      </c>
      <c r="S749" s="114"/>
      <c r="T749" s="45"/>
      <c r="U749" s="48"/>
      <c r="V749" s="48"/>
      <c r="W749" s="27"/>
    </row>
    <row r="750" spans="1:23" ht="60" hidden="1" customHeight="1" x14ac:dyDescent="0.25">
      <c r="A750" s="45" t="str">
        <f>CONCATENATE(Tabla2[[#This Row],[id_solicitud]],Tabla2[[#This Row],[tipo]])</f>
        <v>530Proposicion</v>
      </c>
      <c r="B750" s="45">
        <f>COUNTIF($A$2:A750,A750)</f>
        <v>1</v>
      </c>
      <c r="C750" s="45" t="str">
        <f>Tabla2[[#This Row],[(id_solicitud-tipo_documento)]]&amp;B750</f>
        <v>530Proposicion1</v>
      </c>
      <c r="D750" s="45">
        <v>752</v>
      </c>
      <c r="E750" s="45">
        <v>530</v>
      </c>
      <c r="F750" s="45" t="s">
        <v>46</v>
      </c>
      <c r="G750" s="45" t="s">
        <v>40</v>
      </c>
      <c r="H750" s="50" t="s">
        <v>603</v>
      </c>
      <c r="I750" s="51">
        <v>707</v>
      </c>
      <c r="J750" s="80"/>
      <c r="K7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707 DV-DOP</v>
      </c>
      <c r="L750" s="48">
        <v>44845</v>
      </c>
      <c r="M750" s="48">
        <v>44845</v>
      </c>
      <c r="N750" s="49" t="s">
        <v>425</v>
      </c>
      <c r="O750" s="45">
        <v>2</v>
      </c>
      <c r="P750" s="80" t="s">
        <v>526</v>
      </c>
      <c r="Q750" s="24"/>
      <c r="R750" s="24" t="s">
        <v>24</v>
      </c>
      <c r="S750" s="114"/>
      <c r="T750" s="45"/>
      <c r="U750" s="48"/>
      <c r="V750" s="48"/>
      <c r="W750" s="27"/>
    </row>
    <row r="751" spans="1:23" ht="60" hidden="1" customHeight="1" x14ac:dyDescent="0.25">
      <c r="A751" s="45" t="str">
        <f>CONCATENATE(Tabla2[[#This Row],[id_solicitud]],Tabla2[[#This Row],[tipo]])</f>
        <v>425Proposicion</v>
      </c>
      <c r="B751" s="45">
        <f>COUNTIF($A$2:A751,A751)</f>
        <v>1</v>
      </c>
      <c r="C751" s="45" t="str">
        <f>Tabla2[[#This Row],[(id_solicitud-tipo_documento)]]&amp;B751</f>
        <v>425Proposicion1</v>
      </c>
      <c r="D751" s="45">
        <v>753</v>
      </c>
      <c r="E751" s="45">
        <v>425</v>
      </c>
      <c r="F751" s="45" t="s">
        <v>46</v>
      </c>
      <c r="G751" s="45" t="s">
        <v>60</v>
      </c>
      <c r="H751" s="50" t="s">
        <v>30</v>
      </c>
      <c r="I751" s="51">
        <v>708</v>
      </c>
      <c r="J751" s="80"/>
      <c r="K7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708 INH</v>
      </c>
      <c r="L751" s="48">
        <v>44845</v>
      </c>
      <c r="M751" s="48">
        <v>44845</v>
      </c>
      <c r="N751" s="49" t="s">
        <v>409</v>
      </c>
      <c r="O751" s="45">
        <v>1</v>
      </c>
      <c r="P751" s="80" t="s">
        <v>494</v>
      </c>
      <c r="Q751" s="24"/>
      <c r="R751" s="24" t="s">
        <v>24</v>
      </c>
      <c r="S751" s="114"/>
      <c r="T751" s="45"/>
      <c r="U751" s="48"/>
      <c r="V751" s="48"/>
      <c r="W751" s="27"/>
    </row>
    <row r="752" spans="1:23" ht="60" hidden="1" customHeight="1" x14ac:dyDescent="0.25">
      <c r="A752" s="45" t="str">
        <f>CONCATENATE(Tabla2[[#This Row],[id_solicitud]],Tabla2[[#This Row],[tipo]])</f>
        <v>453Proposicion</v>
      </c>
      <c r="B752" s="45">
        <f>COUNTIF($A$2:A752,A752)</f>
        <v>1</v>
      </c>
      <c r="C752" s="45" t="str">
        <f>Tabla2[[#This Row],[(id_solicitud-tipo_documento)]]&amp;B752</f>
        <v>453Proposicion1</v>
      </c>
      <c r="D752" s="45">
        <v>754</v>
      </c>
      <c r="E752" s="45">
        <v>453</v>
      </c>
      <c r="F752" s="45" t="s">
        <v>46</v>
      </c>
      <c r="G752" s="45" t="s">
        <v>60</v>
      </c>
      <c r="H752" s="50" t="s">
        <v>24</v>
      </c>
      <c r="I752" s="51">
        <v>709</v>
      </c>
      <c r="J752" s="80"/>
      <c r="K7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709 DP</v>
      </c>
      <c r="L752" s="48">
        <v>44845</v>
      </c>
      <c r="M752" s="48">
        <v>44845</v>
      </c>
      <c r="N752" s="49" t="s">
        <v>431</v>
      </c>
      <c r="O752" s="45">
        <v>1</v>
      </c>
      <c r="P752" s="80" t="s">
        <v>494</v>
      </c>
      <c r="Q752" s="24"/>
      <c r="R752" s="24" t="s">
        <v>24</v>
      </c>
      <c r="S752" s="114"/>
      <c r="T752" s="45"/>
      <c r="U752" s="48"/>
      <c r="V752" s="48"/>
      <c r="W752" s="27"/>
    </row>
    <row r="753" spans="1:23" ht="60" hidden="1" customHeight="1" x14ac:dyDescent="0.25">
      <c r="A753" s="45" t="str">
        <f>CONCATENATE(Tabla2[[#This Row],[id_solicitud]],Tabla2[[#This Row],[tipo]])</f>
        <v>434Proposicion</v>
      </c>
      <c r="B753" s="45">
        <f>COUNTIF($A$2:A753,A753)</f>
        <v>1</v>
      </c>
      <c r="C753" s="45" t="str">
        <f>Tabla2[[#This Row],[(id_solicitud-tipo_documento)]]&amp;B753</f>
        <v>434Proposicion1</v>
      </c>
      <c r="D753" s="45">
        <v>755</v>
      </c>
      <c r="E753" s="45">
        <v>434</v>
      </c>
      <c r="F753" s="45" t="s">
        <v>46</v>
      </c>
      <c r="G753" s="45" t="s">
        <v>60</v>
      </c>
      <c r="H753" s="50" t="s">
        <v>20</v>
      </c>
      <c r="I753" s="51">
        <v>710</v>
      </c>
      <c r="J753" s="80"/>
      <c r="K7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710 DOH</v>
      </c>
      <c r="L753" s="48">
        <v>44845</v>
      </c>
      <c r="M753" s="48">
        <v>44845</v>
      </c>
      <c r="N753" s="49" t="s">
        <v>415</v>
      </c>
      <c r="O753" s="45">
        <f>2+19</f>
        <v>21</v>
      </c>
      <c r="P753" s="80" t="s">
        <v>494</v>
      </c>
      <c r="Q753" s="24"/>
      <c r="R753" s="24" t="s">
        <v>24</v>
      </c>
      <c r="S753" s="114"/>
      <c r="T753" s="45"/>
      <c r="U753" s="48"/>
      <c r="V753" s="48"/>
      <c r="W753" s="27"/>
    </row>
    <row r="754" spans="1:23" ht="60" hidden="1" customHeight="1" x14ac:dyDescent="0.25">
      <c r="A754" s="45" t="str">
        <f>CONCATENATE(Tabla2[[#This Row],[id_solicitud]],Tabla2[[#This Row],[tipo]])</f>
        <v>25Oficio_Solicitud</v>
      </c>
      <c r="B754" s="45">
        <f>COUNTIF($A$2:A754,A754)</f>
        <v>1</v>
      </c>
      <c r="C754" s="45" t="str">
        <f>Tabla2[[#This Row],[(id_solicitud-tipo_documento)]]&amp;B754</f>
        <v>25Oficio_Solicitud1</v>
      </c>
      <c r="D754" s="45">
        <v>756</v>
      </c>
      <c r="E754" s="45">
        <v>25</v>
      </c>
      <c r="F754" s="45" t="s">
        <v>53</v>
      </c>
      <c r="G754" s="45" t="s">
        <v>43</v>
      </c>
      <c r="H754" s="50" t="s">
        <v>22</v>
      </c>
      <c r="I754" s="51">
        <v>711</v>
      </c>
      <c r="J754" s="80"/>
      <c r="K7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711 DOP</v>
      </c>
      <c r="L754" s="48">
        <v>44550</v>
      </c>
      <c r="M754" s="48">
        <v>44551</v>
      </c>
      <c r="N754" s="49" t="s">
        <v>93</v>
      </c>
      <c r="O754" s="45">
        <v>17</v>
      </c>
      <c r="P754" s="80" t="s">
        <v>494</v>
      </c>
      <c r="Q754" s="48"/>
      <c r="R754" s="45"/>
      <c r="S754" s="114"/>
      <c r="T754" s="52"/>
      <c r="U754" s="48"/>
      <c r="V754" s="48"/>
      <c r="W754" s="27"/>
    </row>
    <row r="755" spans="1:23" ht="60" hidden="1" customHeight="1" x14ac:dyDescent="0.25">
      <c r="A755" s="45" t="str">
        <f>CONCATENATE(Tabla2[[#This Row],[id_solicitud]],Tabla2[[#This Row],[tipo]])</f>
        <v>535Proposicion</v>
      </c>
      <c r="B755" s="45">
        <f>COUNTIF($A$2:A755,A755)</f>
        <v>1</v>
      </c>
      <c r="C755" s="45" t="str">
        <f>Tabla2[[#This Row],[(id_solicitud-tipo_documento)]]&amp;B755</f>
        <v>535Proposicion1</v>
      </c>
      <c r="D755" s="45">
        <v>757</v>
      </c>
      <c r="E755" s="45">
        <v>535</v>
      </c>
      <c r="F755" s="45" t="s">
        <v>46</v>
      </c>
      <c r="G755" s="45" t="s">
        <v>44</v>
      </c>
      <c r="H755" s="50" t="s">
        <v>26</v>
      </c>
      <c r="I755" s="51">
        <v>715</v>
      </c>
      <c r="J755" s="80"/>
      <c r="K7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715 DV</v>
      </c>
      <c r="L755" s="48">
        <v>44875</v>
      </c>
      <c r="M755" s="48">
        <v>44875</v>
      </c>
      <c r="N755" s="49" t="s">
        <v>747</v>
      </c>
      <c r="O755" s="45"/>
      <c r="P755" s="80" t="s">
        <v>497</v>
      </c>
      <c r="Q755" s="24"/>
      <c r="R755" s="24" t="s">
        <v>12</v>
      </c>
      <c r="S755" s="114"/>
      <c r="T755" s="45"/>
      <c r="U755" s="48"/>
      <c r="V755" s="48"/>
      <c r="W755" s="27"/>
    </row>
    <row r="756" spans="1:23" ht="60" hidden="1" customHeight="1" x14ac:dyDescent="0.25">
      <c r="A756" s="45" t="str">
        <f>CONCATENATE(Tabla2[[#This Row],[id_solicitud]],Tabla2[[#This Row],[tipo]])</f>
        <v>265Resolucion</v>
      </c>
      <c r="B756" s="45">
        <f>COUNTIF($A$2:A756,A756)</f>
        <v>1</v>
      </c>
      <c r="C756" s="45" t="str">
        <f>Tabla2[[#This Row],[(id_solicitud-tipo_documento)]]&amp;B756</f>
        <v>265Resolucion1</v>
      </c>
      <c r="D756" s="45">
        <v>758</v>
      </c>
      <c r="E756" s="45">
        <v>265</v>
      </c>
      <c r="F756" s="45" t="s">
        <v>48</v>
      </c>
      <c r="G756" s="45"/>
      <c r="H756" s="50" t="s">
        <v>22</v>
      </c>
      <c r="I756" s="51">
        <v>719</v>
      </c>
      <c r="J756" s="80"/>
      <c r="K7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756" s="48">
        <v>44734</v>
      </c>
      <c r="M756" s="48"/>
      <c r="N756" s="49"/>
      <c r="O756" s="45"/>
      <c r="P756" s="80"/>
      <c r="Q756" s="48"/>
      <c r="R756" s="45"/>
      <c r="S756" s="114"/>
      <c r="T756" s="45"/>
      <c r="U756" s="48"/>
      <c r="V756" s="48"/>
      <c r="W756" s="27"/>
    </row>
    <row r="757" spans="1:23" ht="60" hidden="1" customHeight="1" x14ac:dyDescent="0.25">
      <c r="A757" s="45" t="str">
        <f>CONCATENATE(Tabla2[[#This Row],[id_solicitud]],Tabla2[[#This Row],[tipo]])</f>
        <v>321Oficio_Solicitud</v>
      </c>
      <c r="B757" s="45">
        <f>COUNTIF($A$2:A757,A757)</f>
        <v>1</v>
      </c>
      <c r="C757" s="45" t="str">
        <f>Tabla2[[#This Row],[(id_solicitud-tipo_documento)]]&amp;B757</f>
        <v>321Oficio_Solicitud1</v>
      </c>
      <c r="D757" s="45">
        <v>759</v>
      </c>
      <c r="E757" s="45">
        <v>321</v>
      </c>
      <c r="F757" s="45" t="s">
        <v>53</v>
      </c>
      <c r="G757" s="45" t="s">
        <v>60</v>
      </c>
      <c r="H757" s="50" t="s">
        <v>16</v>
      </c>
      <c r="I757" s="51">
        <v>724</v>
      </c>
      <c r="J757" s="80"/>
      <c r="K7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724 DGC</v>
      </c>
      <c r="L757" s="48">
        <v>44771</v>
      </c>
      <c r="M757" s="48">
        <v>44774</v>
      </c>
      <c r="N757" s="49" t="s">
        <v>331</v>
      </c>
      <c r="O757" s="45">
        <v>63</v>
      </c>
      <c r="P757" s="80" t="s">
        <v>494</v>
      </c>
      <c r="Q757" s="48">
        <v>44785</v>
      </c>
      <c r="R757" s="45"/>
      <c r="S757" s="114"/>
      <c r="T757" s="52"/>
      <c r="U757" s="48"/>
      <c r="V757" s="48"/>
      <c r="W757" s="27"/>
    </row>
    <row r="758" spans="1:23" ht="60" hidden="1" customHeight="1" x14ac:dyDescent="0.25">
      <c r="A758" s="45" t="str">
        <f>CONCATENATE(Tabla2[[#This Row],[id_solicitud]],Tabla2[[#This Row],[tipo]])</f>
        <v>124Resolucion</v>
      </c>
      <c r="B758" s="45">
        <f>COUNTIF($A$2:A758,A758)</f>
        <v>1</v>
      </c>
      <c r="C758" s="45" t="str">
        <f>Tabla2[[#This Row],[(id_solicitud-tipo_documento)]]&amp;B758</f>
        <v>124Resolucion1</v>
      </c>
      <c r="D758" s="45">
        <v>760</v>
      </c>
      <c r="E758" s="45">
        <v>124</v>
      </c>
      <c r="F758" s="45" t="s">
        <v>48</v>
      </c>
      <c r="G758" s="45"/>
      <c r="H758" s="50" t="s">
        <v>544</v>
      </c>
      <c r="I758" s="51">
        <v>725</v>
      </c>
      <c r="J758" s="80"/>
      <c r="K7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758" s="48">
        <v>44698</v>
      </c>
      <c r="M758" s="48"/>
      <c r="N758" s="49"/>
      <c r="O758" s="45"/>
      <c r="P758" s="80"/>
      <c r="Q758" s="48"/>
      <c r="R758" s="45"/>
      <c r="S758" s="114"/>
      <c r="T758" s="45"/>
      <c r="U758" s="48"/>
      <c r="V758" s="48"/>
      <c r="W758" s="27"/>
    </row>
    <row r="759" spans="1:23" ht="60" hidden="1" customHeight="1" x14ac:dyDescent="0.25">
      <c r="A759" s="45" t="str">
        <f>CONCATENATE(Tabla2[[#This Row],[id_solicitud]],Tabla2[[#This Row],[tipo]])</f>
        <v>468Proposicion</v>
      </c>
      <c r="B759" s="45">
        <f>COUNTIF($A$2:A759,A759)</f>
        <v>1</v>
      </c>
      <c r="C759" s="45" t="str">
        <f>Tabla2[[#This Row],[(id_solicitud-tipo_documento)]]&amp;B759</f>
        <v>468Proposicion1</v>
      </c>
      <c r="D759" s="45">
        <v>761</v>
      </c>
      <c r="E759" s="45">
        <v>468</v>
      </c>
      <c r="F759" s="45" t="s">
        <v>46</v>
      </c>
      <c r="G759" s="45" t="s">
        <v>1258</v>
      </c>
      <c r="H759" s="50" t="s">
        <v>14</v>
      </c>
      <c r="I759" s="51">
        <v>726</v>
      </c>
      <c r="J759" s="80"/>
      <c r="K7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726 DGA</v>
      </c>
      <c r="L759" s="48">
        <v>44851</v>
      </c>
      <c r="M759" s="48">
        <v>44851</v>
      </c>
      <c r="N759" s="49" t="s">
        <v>728</v>
      </c>
      <c r="O759" s="45">
        <v>2</v>
      </c>
      <c r="P759" s="80" t="s">
        <v>494</v>
      </c>
      <c r="Q759" s="24"/>
      <c r="R759" s="24" t="s">
        <v>24</v>
      </c>
      <c r="S759" s="114"/>
      <c r="T759" s="45"/>
      <c r="U759" s="48"/>
      <c r="V759" s="48"/>
      <c r="W759" s="27"/>
    </row>
    <row r="760" spans="1:23" ht="60" hidden="1" customHeight="1" x14ac:dyDescent="0.25">
      <c r="A760" s="45" t="str">
        <f>CONCATENATE(Tabla2[[#This Row],[id_solicitud]],Tabla2[[#This Row],[tipo]])</f>
        <v>438Decreto</v>
      </c>
      <c r="B760" s="45">
        <f>COUNTIF($A$2:A760,A760)</f>
        <v>1</v>
      </c>
      <c r="C760" s="45" t="str">
        <f>Tabla2[[#This Row],[(id_solicitud-tipo_documento)]]&amp;B760</f>
        <v>438Decreto1</v>
      </c>
      <c r="D760" s="45">
        <v>762</v>
      </c>
      <c r="E760" s="45">
        <v>438</v>
      </c>
      <c r="F760" s="45" t="s">
        <v>47</v>
      </c>
      <c r="G760" s="45" t="s">
        <v>60</v>
      </c>
      <c r="H760" s="50" t="s">
        <v>532</v>
      </c>
      <c r="I760" s="51">
        <v>1934</v>
      </c>
      <c r="J760" s="80"/>
      <c r="K7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1934 DA_FETCovid19</v>
      </c>
      <c r="L760" s="48">
        <v>44875</v>
      </c>
      <c r="M760" s="48"/>
      <c r="N760" s="49">
        <f>E760</f>
        <v>438</v>
      </c>
      <c r="O760" s="45"/>
      <c r="P760" s="80"/>
      <c r="Q760" s="48"/>
      <c r="R760" s="45"/>
      <c r="S760" s="115">
        <v>1159</v>
      </c>
      <c r="T760" s="20">
        <v>44861</v>
      </c>
      <c r="U760" s="20"/>
      <c r="V760" s="20"/>
      <c r="W760" s="27"/>
    </row>
    <row r="761" spans="1:23" ht="60" hidden="1" customHeight="1" x14ac:dyDescent="0.25">
      <c r="A761" s="45" t="str">
        <f>CONCATENATE(Tabla2[[#This Row],[id_solicitud]],Tabla2[[#This Row],[tipo]])</f>
        <v>438Decreto</v>
      </c>
      <c r="B761" s="45">
        <f>COUNTIF($A$2:A761,A761)</f>
        <v>2</v>
      </c>
      <c r="C761" s="45" t="str">
        <f>Tabla2[[#This Row],[(id_solicitud-tipo_documento)]]&amp;B761</f>
        <v>438Decreto2</v>
      </c>
      <c r="D761" s="45">
        <v>763</v>
      </c>
      <c r="E761" s="45">
        <v>438</v>
      </c>
      <c r="F761" s="45" t="s">
        <v>47</v>
      </c>
      <c r="G761" s="45" t="s">
        <v>60</v>
      </c>
      <c r="H761" s="50" t="s">
        <v>532</v>
      </c>
      <c r="I761" s="51">
        <v>1935</v>
      </c>
      <c r="J761" s="80"/>
      <c r="K7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1935 DA_FETCovid19</v>
      </c>
      <c r="L761" s="48">
        <v>44875</v>
      </c>
      <c r="M761" s="48"/>
      <c r="N761" s="49" t="s">
        <v>1007</v>
      </c>
      <c r="O761" s="45"/>
      <c r="P761" s="80"/>
      <c r="Q761" s="48"/>
      <c r="R761" s="45"/>
      <c r="S761" s="115">
        <v>1160</v>
      </c>
      <c r="T761" s="20">
        <v>44861</v>
      </c>
      <c r="U761" s="20"/>
      <c r="V761" s="20"/>
      <c r="W761" s="27"/>
    </row>
    <row r="762" spans="1:23" ht="60" customHeight="1" x14ac:dyDescent="0.25">
      <c r="A762" s="45" t="str">
        <f>CONCATENATE(Tabla2[[#This Row],[id_solicitud]],Tabla2[[#This Row],[tipo]])</f>
        <v>401Oficio_Solicitud</v>
      </c>
      <c r="B762" s="45">
        <f>COUNTIF($A$2:A762,A762)</f>
        <v>1</v>
      </c>
      <c r="C762" s="45" t="str">
        <f>Tabla2[[#This Row],[(id_solicitud-tipo_documento)]]&amp;B762</f>
        <v>401Oficio_Solicitud1</v>
      </c>
      <c r="D762" s="45">
        <v>1333</v>
      </c>
      <c r="E762" s="45">
        <v>401</v>
      </c>
      <c r="F762" s="45" t="s">
        <v>53</v>
      </c>
      <c r="G762" s="45" t="s">
        <v>44</v>
      </c>
      <c r="H762" s="50" t="s">
        <v>26</v>
      </c>
      <c r="I762" s="51">
        <v>8537</v>
      </c>
      <c r="J762" s="80"/>
      <c r="K7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8537 DV</v>
      </c>
      <c r="L762" s="48">
        <v>44806</v>
      </c>
      <c r="M762" s="48">
        <v>44806</v>
      </c>
      <c r="N762" s="49" t="s">
        <v>395</v>
      </c>
      <c r="O762" s="45"/>
      <c r="P762" s="80" t="s">
        <v>498</v>
      </c>
      <c r="Q762" s="48">
        <v>44806</v>
      </c>
      <c r="R762" s="45"/>
      <c r="S762" s="114"/>
      <c r="T762" s="52"/>
      <c r="U762" s="48"/>
      <c r="V762" s="48"/>
      <c r="W762" s="27"/>
    </row>
    <row r="763" spans="1:23" ht="60" hidden="1" customHeight="1" x14ac:dyDescent="0.25">
      <c r="A763" s="45" t="str">
        <f>CONCATENATE(Tabla2[[#This Row],[id_solicitud]],Tabla2[[#This Row],[tipo]])</f>
        <v>473Proposicion</v>
      </c>
      <c r="B763" s="45">
        <f>COUNTIF($A$2:A763,A763)</f>
        <v>1</v>
      </c>
      <c r="C763" s="45" t="str">
        <f>Tabla2[[#This Row],[(id_solicitud-tipo_documento)]]&amp;B763</f>
        <v>473Proposicion1</v>
      </c>
      <c r="D763" s="45">
        <v>765</v>
      </c>
      <c r="E763" s="45">
        <v>473</v>
      </c>
      <c r="F763" s="45" t="s">
        <v>46</v>
      </c>
      <c r="G763" s="45" t="s">
        <v>40</v>
      </c>
      <c r="H763" s="50" t="s">
        <v>18</v>
      </c>
      <c r="I763" s="51">
        <v>728</v>
      </c>
      <c r="J763" s="80"/>
      <c r="K7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728 DGOP</v>
      </c>
      <c r="L763" s="48">
        <v>44851</v>
      </c>
      <c r="M763" s="48">
        <v>44852</v>
      </c>
      <c r="N763" s="49" t="s">
        <v>443</v>
      </c>
      <c r="O763" s="45"/>
      <c r="P763" s="80" t="s">
        <v>494</v>
      </c>
      <c r="Q763" s="24"/>
      <c r="R763" s="24" t="s">
        <v>24</v>
      </c>
      <c r="S763" s="114"/>
      <c r="T763" s="45"/>
      <c r="U763" s="48"/>
      <c r="V763" s="48"/>
      <c r="W763" s="27"/>
    </row>
    <row r="764" spans="1:23" ht="60" hidden="1" customHeight="1" x14ac:dyDescent="0.25">
      <c r="A764" s="45" t="str">
        <f>CONCATENATE(Tabla2[[#This Row],[id_solicitud]],Tabla2[[#This Row],[tipo]])</f>
        <v>144Oficio_Solicitud</v>
      </c>
      <c r="B764" s="45">
        <f>COUNTIF($A$2:A764,A764)</f>
        <v>1</v>
      </c>
      <c r="C764" s="45" t="str">
        <f>Tabla2[[#This Row],[(id_solicitud-tipo_documento)]]&amp;B764</f>
        <v>144Oficio_Solicitud1</v>
      </c>
      <c r="D764" s="45">
        <v>766</v>
      </c>
      <c r="E764" s="45">
        <v>144</v>
      </c>
      <c r="F764" s="45" t="s">
        <v>53</v>
      </c>
      <c r="G764" s="45" t="s">
        <v>43</v>
      </c>
      <c r="H764" s="50" t="s">
        <v>582</v>
      </c>
      <c r="I764" s="51">
        <v>731</v>
      </c>
      <c r="J764" s="80"/>
      <c r="K7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731 DOH-APR-DOH_FETCovid19-APR_FETCovid19</v>
      </c>
      <c r="L764" s="48">
        <v>44648</v>
      </c>
      <c r="M764" s="48">
        <v>44648</v>
      </c>
      <c r="N764" s="49" t="s">
        <v>1265</v>
      </c>
      <c r="O764" s="45"/>
      <c r="P764" s="80" t="s">
        <v>505</v>
      </c>
      <c r="Q764" s="48"/>
      <c r="R764" s="45"/>
      <c r="S764" s="114"/>
      <c r="T764" s="52"/>
      <c r="U764" s="48"/>
      <c r="V764" s="48"/>
      <c r="W764" s="27"/>
    </row>
    <row r="765" spans="1:23" ht="60" hidden="1" customHeight="1" x14ac:dyDescent="0.25">
      <c r="A765" s="45" t="str">
        <f>CONCATENATE(Tabla2[[#This Row],[id_solicitud]],Tabla2[[#This Row],[tipo]])</f>
        <v>179Resolucion</v>
      </c>
      <c r="B765" s="45">
        <f>COUNTIF($A$2:A765,A765)</f>
        <v>1</v>
      </c>
      <c r="C765" s="45" t="str">
        <f>Tabla2[[#This Row],[(id_solicitud-tipo_documento)]]&amp;B765</f>
        <v>179Resolucion1</v>
      </c>
      <c r="D765" s="45">
        <v>767</v>
      </c>
      <c r="E765" s="45">
        <v>179</v>
      </c>
      <c r="F765" s="45" t="s">
        <v>48</v>
      </c>
      <c r="G765" s="45"/>
      <c r="H765" s="50" t="s">
        <v>22</v>
      </c>
      <c r="I765" s="51">
        <v>733</v>
      </c>
      <c r="J765" s="80"/>
      <c r="K7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765" s="48">
        <v>44735</v>
      </c>
      <c r="M765" s="48"/>
      <c r="N765" s="49"/>
      <c r="O765" s="45"/>
      <c r="P765" s="80"/>
      <c r="Q765" s="48"/>
      <c r="R765" s="45"/>
      <c r="S765" s="114"/>
      <c r="T765" s="45"/>
      <c r="U765" s="48"/>
      <c r="V765" s="48"/>
      <c r="W765" s="27"/>
    </row>
    <row r="766" spans="1:23" ht="60" hidden="1" customHeight="1" x14ac:dyDescent="0.25">
      <c r="A766" s="45" t="str">
        <f>CONCATENATE(Tabla2[[#This Row],[id_solicitud]],Tabla2[[#This Row],[tipo]])</f>
        <v>256Resolucion</v>
      </c>
      <c r="B766" s="45">
        <f>COUNTIF($A$2:A766,A766)</f>
        <v>1</v>
      </c>
      <c r="C766" s="45" t="str">
        <f>Tabla2[[#This Row],[(id_solicitud-tipo_documento)]]&amp;B766</f>
        <v>256Resolucion1</v>
      </c>
      <c r="D766" s="45">
        <v>768</v>
      </c>
      <c r="E766" s="45">
        <v>256</v>
      </c>
      <c r="F766" s="45" t="s">
        <v>48</v>
      </c>
      <c r="G766" s="45"/>
      <c r="H766" s="50" t="s">
        <v>8</v>
      </c>
      <c r="I766" s="51">
        <v>733</v>
      </c>
      <c r="J766" s="80"/>
      <c r="K7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766" s="48">
        <v>44756</v>
      </c>
      <c r="M766" s="48"/>
      <c r="N766" s="49"/>
      <c r="O766" s="45"/>
      <c r="P766" s="80"/>
      <c r="Q766" s="48"/>
      <c r="R766" s="45"/>
      <c r="S766" s="114"/>
      <c r="T766" s="45"/>
      <c r="U766" s="48"/>
      <c r="V766" s="48"/>
      <c r="W766" s="27"/>
    </row>
    <row r="767" spans="1:23" ht="60" hidden="1" customHeight="1" x14ac:dyDescent="0.25">
      <c r="A767" s="45" t="str">
        <f>CONCATENATE(Tabla2[[#This Row],[id_solicitud]],Tabla2[[#This Row],[tipo]])</f>
        <v>204Resolucion</v>
      </c>
      <c r="B767" s="45">
        <f>COUNTIF($A$2:A767,A767)</f>
        <v>1</v>
      </c>
      <c r="C767" s="45" t="str">
        <f>Tabla2[[#This Row],[(id_solicitud-tipo_documento)]]&amp;B767</f>
        <v>204Resolucion1</v>
      </c>
      <c r="D767" s="45">
        <v>769</v>
      </c>
      <c r="E767" s="45">
        <v>204</v>
      </c>
      <c r="F767" s="45" t="s">
        <v>48</v>
      </c>
      <c r="G767" s="45"/>
      <c r="H767" s="50" t="s">
        <v>544</v>
      </c>
      <c r="I767" s="51">
        <v>735</v>
      </c>
      <c r="J767" s="80"/>
      <c r="K7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767" s="48">
        <v>44699</v>
      </c>
      <c r="M767" s="48"/>
      <c r="N767" s="49"/>
      <c r="O767" s="45"/>
      <c r="P767" s="80"/>
      <c r="Q767" s="48"/>
      <c r="R767" s="45"/>
      <c r="S767" s="114"/>
      <c r="T767" s="45"/>
      <c r="U767" s="48"/>
      <c r="V767" s="48"/>
      <c r="W767" s="27"/>
    </row>
    <row r="768" spans="1:23" ht="60" hidden="1" customHeight="1" x14ac:dyDescent="0.25">
      <c r="A768" s="45" t="str">
        <f>CONCATENATE(Tabla2[[#This Row],[id_solicitud]],Tabla2[[#This Row],[tipo]])</f>
        <v>495Proposicion</v>
      </c>
      <c r="B768" s="45">
        <f>COUNTIF($A$2:A768,A768)</f>
        <v>1</v>
      </c>
      <c r="C768" s="45" t="str">
        <f>Tabla2[[#This Row],[(id_solicitud-tipo_documento)]]&amp;B768</f>
        <v>495Proposicion1</v>
      </c>
      <c r="D768" s="45">
        <v>770</v>
      </c>
      <c r="E768" s="45">
        <v>495</v>
      </c>
      <c r="F768" s="45" t="s">
        <v>46</v>
      </c>
      <c r="G768" s="45" t="s">
        <v>41</v>
      </c>
      <c r="H768" s="50" t="s">
        <v>16</v>
      </c>
      <c r="I768" s="51">
        <v>736</v>
      </c>
      <c r="J768" s="80"/>
      <c r="K7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736 DGC</v>
      </c>
      <c r="L768" s="48">
        <v>44855</v>
      </c>
      <c r="M768" s="48">
        <v>44858</v>
      </c>
      <c r="N768" s="49" t="s">
        <v>463</v>
      </c>
      <c r="O768" s="45">
        <v>3</v>
      </c>
      <c r="P768" s="80" t="s">
        <v>494</v>
      </c>
      <c r="Q768" s="24"/>
      <c r="R768" s="24" t="s">
        <v>24</v>
      </c>
      <c r="S768" s="114"/>
      <c r="T768" s="45"/>
      <c r="U768" s="48"/>
      <c r="V768" s="48"/>
      <c r="W768" s="27"/>
    </row>
    <row r="769" spans="1:23" ht="60" hidden="1" customHeight="1" x14ac:dyDescent="0.25">
      <c r="A769" s="45" t="str">
        <f>CONCATENATE(Tabla2[[#This Row],[id_solicitud]],Tabla2[[#This Row],[tipo]])</f>
        <v>454Proposicion</v>
      </c>
      <c r="B769" s="45">
        <f>COUNTIF($A$2:A769,A769)</f>
        <v>1</v>
      </c>
      <c r="C769" s="45" t="str">
        <f>Tabla2[[#This Row],[(id_solicitud-tipo_documento)]]&amp;B769</f>
        <v>454Proposicion1</v>
      </c>
      <c r="D769" s="45">
        <v>771</v>
      </c>
      <c r="E769" s="45">
        <v>454</v>
      </c>
      <c r="F769" s="45" t="s">
        <v>46</v>
      </c>
      <c r="G769" s="45" t="s">
        <v>60</v>
      </c>
      <c r="H769" s="50" t="s">
        <v>22</v>
      </c>
      <c r="I769" s="51">
        <v>737</v>
      </c>
      <c r="J769" s="80"/>
      <c r="K7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737 DOP</v>
      </c>
      <c r="L769" s="48">
        <v>44855</v>
      </c>
      <c r="M769" s="48">
        <v>44858</v>
      </c>
      <c r="N769" s="49" t="s">
        <v>432</v>
      </c>
      <c r="O769" s="45">
        <v>20</v>
      </c>
      <c r="P769" s="80" t="s">
        <v>494</v>
      </c>
      <c r="Q769" s="24"/>
      <c r="R769" s="24" t="s">
        <v>24</v>
      </c>
      <c r="S769" s="114"/>
      <c r="T769" s="45"/>
      <c r="U769" s="48"/>
      <c r="V769" s="48"/>
      <c r="W769" s="27"/>
    </row>
    <row r="770" spans="1:23" ht="60" hidden="1" customHeight="1" x14ac:dyDescent="0.25">
      <c r="A770" s="45" t="str">
        <f>CONCATENATE(Tabla2[[#This Row],[id_solicitud]],Tabla2[[#This Row],[tipo]])</f>
        <v>471Proposicion</v>
      </c>
      <c r="B770" s="45">
        <f>COUNTIF($A$2:A770,A770)</f>
        <v>1</v>
      </c>
      <c r="C770" s="45" t="str">
        <f>Tabla2[[#This Row],[(id_solicitud-tipo_documento)]]&amp;B770</f>
        <v>471Proposicion1</v>
      </c>
      <c r="D770" s="45">
        <v>772</v>
      </c>
      <c r="E770" s="45">
        <v>471</v>
      </c>
      <c r="F770" s="45" t="s">
        <v>46</v>
      </c>
      <c r="G770" s="45" t="s">
        <v>41</v>
      </c>
      <c r="H770" s="50" t="s">
        <v>544</v>
      </c>
      <c r="I770" s="51">
        <v>738</v>
      </c>
      <c r="J770" s="80"/>
      <c r="K7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738 DAP_FETCovid19</v>
      </c>
      <c r="L770" s="48">
        <v>44855</v>
      </c>
      <c r="M770" s="48">
        <v>44855</v>
      </c>
      <c r="N770" s="49" t="s">
        <v>441</v>
      </c>
      <c r="O770" s="45">
        <v>14</v>
      </c>
      <c r="P770" s="80" t="s">
        <v>494</v>
      </c>
      <c r="Q770" s="24"/>
      <c r="R770" s="24" t="s">
        <v>24</v>
      </c>
      <c r="S770" s="114"/>
      <c r="T770" s="45"/>
      <c r="U770" s="48"/>
      <c r="V770" s="48"/>
      <c r="W770" s="27"/>
    </row>
    <row r="771" spans="1:23" ht="60" hidden="1" customHeight="1" x14ac:dyDescent="0.25">
      <c r="A771" s="45" t="str">
        <f>CONCATENATE(Tabla2[[#This Row],[id_solicitud]],Tabla2[[#This Row],[tipo]])</f>
        <v>448Proposicion</v>
      </c>
      <c r="B771" s="45">
        <f>COUNTIF($A$2:A771,A771)</f>
        <v>1</v>
      </c>
      <c r="C771" s="45" t="str">
        <f>Tabla2[[#This Row],[(id_solicitud-tipo_documento)]]&amp;B771</f>
        <v>448Proposicion1</v>
      </c>
      <c r="D771" s="45">
        <v>773</v>
      </c>
      <c r="E771" s="45">
        <v>448</v>
      </c>
      <c r="F771" s="45" t="s">
        <v>46</v>
      </c>
      <c r="G771" s="45" t="s">
        <v>60</v>
      </c>
      <c r="H771" s="50" t="s">
        <v>6</v>
      </c>
      <c r="I771" s="51">
        <v>739</v>
      </c>
      <c r="J771" s="80"/>
      <c r="K7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739 APR</v>
      </c>
      <c r="L771" s="48">
        <v>44855</v>
      </c>
      <c r="M771" s="48">
        <v>44855</v>
      </c>
      <c r="N771" s="49" t="s">
        <v>427</v>
      </c>
      <c r="O771" s="45">
        <v>42</v>
      </c>
      <c r="P771" s="80" t="s">
        <v>494</v>
      </c>
      <c r="Q771" s="24"/>
      <c r="R771" s="24" t="s">
        <v>24</v>
      </c>
      <c r="S771" s="114"/>
      <c r="T771" s="45"/>
      <c r="U771" s="48"/>
      <c r="V771" s="48"/>
      <c r="W771" s="27"/>
    </row>
    <row r="772" spans="1:23" ht="60" hidden="1" customHeight="1" x14ac:dyDescent="0.25">
      <c r="A772" s="45" t="str">
        <f>CONCATENATE(Tabla2[[#This Row],[id_solicitud]],Tabla2[[#This Row],[tipo]])</f>
        <v>153Decreto</v>
      </c>
      <c r="B772" s="45">
        <f>COUNTIF($A$2:A772,A772)</f>
        <v>1</v>
      </c>
      <c r="C772" s="45" t="str">
        <f>Tabla2[[#This Row],[(id_solicitud-tipo_documento)]]&amp;B772</f>
        <v>153Decreto1</v>
      </c>
      <c r="D772" s="45">
        <v>774</v>
      </c>
      <c r="E772" s="45">
        <v>153</v>
      </c>
      <c r="F772" s="45" t="s">
        <v>47</v>
      </c>
      <c r="G772" s="45" t="s">
        <v>60</v>
      </c>
      <c r="H772" s="50" t="s">
        <v>8</v>
      </c>
      <c r="I772" s="51">
        <v>740</v>
      </c>
      <c r="J772" s="80"/>
      <c r="K7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740 DA</v>
      </c>
      <c r="L772" s="48">
        <v>44701</v>
      </c>
      <c r="M772" s="48"/>
      <c r="N772" s="49" t="s">
        <v>834</v>
      </c>
      <c r="O772" s="45"/>
      <c r="P772" s="80"/>
      <c r="Q772" s="48"/>
      <c r="R772" s="45"/>
      <c r="S772" s="115">
        <v>308</v>
      </c>
      <c r="T772" s="20">
        <v>44687</v>
      </c>
      <c r="U772" s="20">
        <v>44718</v>
      </c>
      <c r="V772" s="20">
        <v>44718</v>
      </c>
      <c r="W772" s="27"/>
    </row>
    <row r="773" spans="1:23" ht="60" hidden="1" customHeight="1" x14ac:dyDescent="0.25">
      <c r="A773" s="45" t="str">
        <f>CONCATENATE(Tabla2[[#This Row],[id_solicitud]],Tabla2[[#This Row],[tipo]])</f>
        <v>446Oficio_Solicitud</v>
      </c>
      <c r="B773" s="45">
        <f>COUNTIF($A$2:A773,A773)</f>
        <v>1</v>
      </c>
      <c r="C773" s="45" t="str">
        <f>Tabla2[[#This Row],[(id_solicitud-tipo_documento)]]&amp;B773</f>
        <v>446Oficio_Solicitud1</v>
      </c>
      <c r="D773" s="45">
        <v>775</v>
      </c>
      <c r="E773" s="45">
        <v>446</v>
      </c>
      <c r="F773" s="45" t="s">
        <v>53</v>
      </c>
      <c r="G773" s="45" t="s">
        <v>63</v>
      </c>
      <c r="H773" s="50" t="s">
        <v>22</v>
      </c>
      <c r="I773" s="51">
        <v>741</v>
      </c>
      <c r="J773" s="80"/>
      <c r="K7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741 DOP</v>
      </c>
      <c r="L773" s="48">
        <v>44834</v>
      </c>
      <c r="M773" s="48">
        <v>44837</v>
      </c>
      <c r="N773" s="49" t="s">
        <v>425</v>
      </c>
      <c r="O773" s="45">
        <v>2</v>
      </c>
      <c r="P773" s="80" t="s">
        <v>524</v>
      </c>
      <c r="Q773" s="48">
        <v>44837</v>
      </c>
      <c r="R773" s="45"/>
      <c r="S773" s="114"/>
      <c r="T773" s="52"/>
      <c r="U773" s="48"/>
      <c r="V773" s="48"/>
      <c r="W773" s="27"/>
    </row>
    <row r="774" spans="1:23" ht="60" hidden="1" customHeight="1" x14ac:dyDescent="0.25">
      <c r="A774" s="45" t="str">
        <f>CONCATENATE(Tabla2[[#This Row],[id_solicitud]],Tabla2[[#This Row],[tipo]])</f>
        <v>530Oficio_Solicitud</v>
      </c>
      <c r="B774" s="45">
        <f>COUNTIF($A$2:A774,A774)</f>
        <v>1</v>
      </c>
      <c r="C774" s="45" t="str">
        <f>Tabla2[[#This Row],[(id_solicitud-tipo_documento)]]&amp;B774</f>
        <v>530Oficio_Solicitud1</v>
      </c>
      <c r="D774" s="45">
        <v>776</v>
      </c>
      <c r="E774" s="45">
        <v>530</v>
      </c>
      <c r="F774" s="45" t="s">
        <v>53</v>
      </c>
      <c r="G774" s="45" t="s">
        <v>40</v>
      </c>
      <c r="H774" s="50" t="s">
        <v>603</v>
      </c>
      <c r="I774" s="51">
        <v>741</v>
      </c>
      <c r="J774" s="80"/>
      <c r="K7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741 DV-DOP</v>
      </c>
      <c r="L774" s="48">
        <v>44834</v>
      </c>
      <c r="M774" s="48">
        <v>44837</v>
      </c>
      <c r="N774" s="49" t="s">
        <v>425</v>
      </c>
      <c r="O774" s="45">
        <v>2</v>
      </c>
      <c r="P774" s="80" t="s">
        <v>526</v>
      </c>
      <c r="Q774" s="48">
        <v>44837</v>
      </c>
      <c r="R774" s="45"/>
      <c r="S774" s="114"/>
      <c r="T774" s="52"/>
      <c r="U774" s="48"/>
      <c r="V774" s="48"/>
      <c r="W774" s="27"/>
    </row>
    <row r="775" spans="1:23" ht="60" hidden="1" customHeight="1" x14ac:dyDescent="0.25">
      <c r="A775" s="45" t="str">
        <f>CONCATENATE(Tabla2[[#This Row],[id_solicitud]],Tabla2[[#This Row],[tipo]])</f>
        <v>490Proposicion</v>
      </c>
      <c r="B775" s="45">
        <f>COUNTIF($A$2:A775,A775)</f>
        <v>1</v>
      </c>
      <c r="C775" s="45" t="str">
        <f>Tabla2[[#This Row],[(id_solicitud-tipo_documento)]]&amp;B775</f>
        <v>490Proposicion1</v>
      </c>
      <c r="D775" s="45">
        <v>777</v>
      </c>
      <c r="E775" s="45">
        <v>490</v>
      </c>
      <c r="F775" s="45" t="s">
        <v>46</v>
      </c>
      <c r="G775" s="45" t="s">
        <v>41</v>
      </c>
      <c r="H775" s="50" t="s">
        <v>14</v>
      </c>
      <c r="I775" s="51">
        <v>744</v>
      </c>
      <c r="J775" s="80"/>
      <c r="K7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744 DGA</v>
      </c>
      <c r="L775" s="48">
        <v>44859</v>
      </c>
      <c r="M775" s="48">
        <v>44860</v>
      </c>
      <c r="N775" s="49" t="s">
        <v>458</v>
      </c>
      <c r="O775" s="45">
        <v>6</v>
      </c>
      <c r="P775" s="80" t="s">
        <v>494</v>
      </c>
      <c r="Q775" s="24"/>
      <c r="R775" s="24" t="s">
        <v>24</v>
      </c>
      <c r="S775" s="114"/>
      <c r="T775" s="45"/>
      <c r="U775" s="48"/>
      <c r="V775" s="48"/>
      <c r="W775" s="27"/>
    </row>
    <row r="776" spans="1:23" ht="60" hidden="1" customHeight="1" x14ac:dyDescent="0.25">
      <c r="A776" s="45" t="str">
        <f>CONCATENATE(Tabla2[[#This Row],[id_solicitud]],Tabla2[[#This Row],[tipo]])</f>
        <v>491Proposicion</v>
      </c>
      <c r="B776" s="45">
        <f>COUNTIF($A$2:A776,A776)</f>
        <v>1</v>
      </c>
      <c r="C776" s="45" t="str">
        <f>Tabla2[[#This Row],[(id_solicitud-tipo_documento)]]&amp;B776</f>
        <v>491Proposicion1</v>
      </c>
      <c r="D776" s="45">
        <v>778</v>
      </c>
      <c r="E776" s="45">
        <v>491</v>
      </c>
      <c r="F776" s="45" t="s">
        <v>46</v>
      </c>
      <c r="G776" s="45" t="s">
        <v>41</v>
      </c>
      <c r="H776" s="50" t="s">
        <v>565</v>
      </c>
      <c r="I776" s="51">
        <v>745</v>
      </c>
      <c r="J776" s="80"/>
      <c r="K7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745 DGA_FETCovid19</v>
      </c>
      <c r="L776" s="48">
        <v>44859</v>
      </c>
      <c r="M776" s="48">
        <v>44860</v>
      </c>
      <c r="N776" s="49" t="s">
        <v>734</v>
      </c>
      <c r="O776" s="45">
        <v>6</v>
      </c>
      <c r="P776" s="80" t="s">
        <v>494</v>
      </c>
      <c r="Q776" s="24"/>
      <c r="R776" s="24" t="s">
        <v>24</v>
      </c>
      <c r="S776" s="114"/>
      <c r="T776" s="45"/>
      <c r="U776" s="48"/>
      <c r="V776" s="48"/>
      <c r="W776" s="27"/>
    </row>
    <row r="777" spans="1:23" ht="60" hidden="1" customHeight="1" x14ac:dyDescent="0.25">
      <c r="A777" s="45" t="str">
        <f>CONCATENATE(Tabla2[[#This Row],[id_solicitud]],Tabla2[[#This Row],[tipo]])</f>
        <v>490Proposicion</v>
      </c>
      <c r="B777" s="45">
        <f>COUNTIF($A$2:A777,A777)</f>
        <v>2</v>
      </c>
      <c r="C777" s="45" t="str">
        <f>Tabla2[[#This Row],[(id_solicitud-tipo_documento)]]&amp;B777</f>
        <v>490Proposicion2</v>
      </c>
      <c r="D777" s="45">
        <v>779</v>
      </c>
      <c r="E777" s="45">
        <v>490</v>
      </c>
      <c r="F777" s="45" t="s">
        <v>46</v>
      </c>
      <c r="G777" s="45" t="s">
        <v>41</v>
      </c>
      <c r="H777" s="50" t="s">
        <v>14</v>
      </c>
      <c r="I777" s="51">
        <v>745</v>
      </c>
      <c r="J777" s="80"/>
      <c r="K7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745 DGA</v>
      </c>
      <c r="L777" s="48">
        <v>44859</v>
      </c>
      <c r="M777" s="48">
        <v>44860</v>
      </c>
      <c r="N777" s="49" t="s">
        <v>734</v>
      </c>
      <c r="O777" s="45">
        <v>6</v>
      </c>
      <c r="P777" s="80" t="s">
        <v>494</v>
      </c>
      <c r="Q777" s="24"/>
      <c r="R777" s="24" t="s">
        <v>24</v>
      </c>
      <c r="S777" s="114"/>
      <c r="T777" s="45"/>
      <c r="U777" s="48"/>
      <c r="V777" s="48"/>
      <c r="W777" s="27"/>
    </row>
    <row r="778" spans="1:23" ht="60" hidden="1" customHeight="1" x14ac:dyDescent="0.25">
      <c r="A778" s="45" t="str">
        <f>CONCATENATE(Tabla2[[#This Row],[id_solicitud]],Tabla2[[#This Row],[tipo]])</f>
        <v>203Resolucion</v>
      </c>
      <c r="B778" s="45">
        <f>COUNTIF($A$2:A778,A778)</f>
        <v>1</v>
      </c>
      <c r="C778" s="45" t="str">
        <f>Tabla2[[#This Row],[(id_solicitud-tipo_documento)]]&amp;B778</f>
        <v>203Resolucion1</v>
      </c>
      <c r="D778" s="45">
        <v>780</v>
      </c>
      <c r="E778" s="45">
        <v>203</v>
      </c>
      <c r="F778" s="45" t="s">
        <v>48</v>
      </c>
      <c r="G778" s="45"/>
      <c r="H778" s="50" t="s">
        <v>541</v>
      </c>
      <c r="I778" s="51">
        <v>746</v>
      </c>
      <c r="J778" s="80"/>
      <c r="K7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778" s="48">
        <v>44740</v>
      </c>
      <c r="M778" s="48"/>
      <c r="N778" s="49"/>
      <c r="O778" s="45"/>
      <c r="P778" s="80"/>
      <c r="Q778" s="48"/>
      <c r="R778" s="45"/>
      <c r="S778" s="114"/>
      <c r="T778" s="45"/>
      <c r="U778" s="48"/>
      <c r="V778" s="48"/>
      <c r="W778" s="27"/>
    </row>
    <row r="779" spans="1:23" ht="60" hidden="1" customHeight="1" x14ac:dyDescent="0.25">
      <c r="A779" s="45" t="str">
        <f>CONCATENATE(Tabla2[[#This Row],[id_solicitud]],Tabla2[[#This Row],[tipo]])</f>
        <v>499Proposicion</v>
      </c>
      <c r="B779" s="45">
        <f>COUNTIF($A$2:A779,A779)</f>
        <v>1</v>
      </c>
      <c r="C779" s="45" t="str">
        <f>Tabla2[[#This Row],[(id_solicitud-tipo_documento)]]&amp;B779</f>
        <v>499Proposicion1</v>
      </c>
      <c r="D779" s="45">
        <v>781</v>
      </c>
      <c r="E779" s="45">
        <v>499</v>
      </c>
      <c r="F779" s="45" t="s">
        <v>46</v>
      </c>
      <c r="G779" s="45" t="s">
        <v>60</v>
      </c>
      <c r="H779" s="50" t="s">
        <v>26</v>
      </c>
      <c r="I779" s="51">
        <v>746</v>
      </c>
      <c r="J779" s="80"/>
      <c r="K7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746 DV</v>
      </c>
      <c r="L779" s="48">
        <v>44859</v>
      </c>
      <c r="M779" s="48">
        <v>44860</v>
      </c>
      <c r="N779" s="49" t="s">
        <v>736</v>
      </c>
      <c r="O779" s="45"/>
      <c r="P779" s="80" t="s">
        <v>494</v>
      </c>
      <c r="Q779" s="24"/>
      <c r="R779" s="24" t="s">
        <v>24</v>
      </c>
      <c r="S779" s="114"/>
      <c r="T779" s="45"/>
      <c r="U779" s="48"/>
      <c r="V779" s="48"/>
      <c r="W779" s="27"/>
    </row>
    <row r="780" spans="1:23" ht="60" hidden="1" customHeight="1" x14ac:dyDescent="0.25">
      <c r="A780" s="45" t="str">
        <f>CONCATENATE(Tabla2[[#This Row],[id_solicitud]],Tabla2[[#This Row],[tipo]])</f>
        <v>513Proposicion</v>
      </c>
      <c r="B780" s="45">
        <f>COUNTIF($A$2:A780,A780)</f>
        <v>1</v>
      </c>
      <c r="C780" s="45" t="str">
        <f>Tabla2[[#This Row],[(id_solicitud-tipo_documento)]]&amp;B780</f>
        <v>513Proposicion1</v>
      </c>
      <c r="D780" s="45">
        <v>782</v>
      </c>
      <c r="E780" s="45">
        <v>513</v>
      </c>
      <c r="F780" s="45" t="s">
        <v>46</v>
      </c>
      <c r="G780" s="45" t="s">
        <v>60</v>
      </c>
      <c r="H780" s="50" t="s">
        <v>6</v>
      </c>
      <c r="I780" s="51">
        <v>747</v>
      </c>
      <c r="J780" s="80"/>
      <c r="K7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747 APR</v>
      </c>
      <c r="L780" s="48">
        <v>44859</v>
      </c>
      <c r="M780" s="48">
        <v>44859</v>
      </c>
      <c r="N780" s="49" t="s">
        <v>478</v>
      </c>
      <c r="O780" s="45">
        <v>24</v>
      </c>
      <c r="P780" s="80" t="s">
        <v>494</v>
      </c>
      <c r="Q780" s="24"/>
      <c r="R780" s="24" t="s">
        <v>24</v>
      </c>
      <c r="S780" s="114"/>
      <c r="T780" s="45"/>
      <c r="U780" s="48"/>
      <c r="V780" s="48"/>
      <c r="W780" s="27"/>
    </row>
    <row r="781" spans="1:23" ht="60" hidden="1" customHeight="1" x14ac:dyDescent="0.25">
      <c r="A781" s="45" t="str">
        <f>CONCATENATE(Tabla2[[#This Row],[id_solicitud]],Tabla2[[#This Row],[tipo]])</f>
        <v>514Proposicion</v>
      </c>
      <c r="B781" s="45">
        <f>COUNTIF($A$2:A781,A781)</f>
        <v>1</v>
      </c>
      <c r="C781" s="45" t="str">
        <f>Tabla2[[#This Row],[(id_solicitud-tipo_documento)]]&amp;B781</f>
        <v>514Proposicion1</v>
      </c>
      <c r="D781" s="45">
        <v>783</v>
      </c>
      <c r="E781" s="45">
        <v>514</v>
      </c>
      <c r="F781" s="45" t="s">
        <v>46</v>
      </c>
      <c r="G781" s="45" t="s">
        <v>60</v>
      </c>
      <c r="H781" s="50" t="s">
        <v>535</v>
      </c>
      <c r="I781" s="51">
        <v>750</v>
      </c>
      <c r="J781" s="80"/>
      <c r="K7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750 DOH_FETCovid19</v>
      </c>
      <c r="L781" s="48">
        <v>44859</v>
      </c>
      <c r="M781" s="48">
        <v>44859</v>
      </c>
      <c r="N781" s="49" t="s">
        <v>479</v>
      </c>
      <c r="O781" s="45">
        <v>7</v>
      </c>
      <c r="P781" s="80" t="s">
        <v>494</v>
      </c>
      <c r="Q781" s="24"/>
      <c r="R781" s="24" t="s">
        <v>24</v>
      </c>
      <c r="S781" s="114"/>
      <c r="T781" s="45"/>
      <c r="U781" s="48"/>
      <c r="V781" s="48"/>
      <c r="W781" s="27"/>
    </row>
    <row r="782" spans="1:23" ht="60" hidden="1" customHeight="1" x14ac:dyDescent="0.25">
      <c r="A782" s="45" t="str">
        <f>CONCATENATE(Tabla2[[#This Row],[id_solicitud]],Tabla2[[#This Row],[tipo]])</f>
        <v>326Oficio_Solicitud</v>
      </c>
      <c r="B782" s="45">
        <f>COUNTIF($A$2:A782,A782)</f>
        <v>1</v>
      </c>
      <c r="C782" s="45" t="str">
        <f>Tabla2[[#This Row],[(id_solicitud-tipo_documento)]]&amp;B782</f>
        <v>326Oficio_Solicitud1</v>
      </c>
      <c r="D782" s="45">
        <v>784</v>
      </c>
      <c r="E782" s="45">
        <v>326</v>
      </c>
      <c r="F782" s="45" t="s">
        <v>53</v>
      </c>
      <c r="G782" s="45" t="s">
        <v>1258</v>
      </c>
      <c r="H782" s="50" t="s">
        <v>16</v>
      </c>
      <c r="I782" s="51">
        <v>752</v>
      </c>
      <c r="J782" s="80"/>
      <c r="K7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752 DGC</v>
      </c>
      <c r="L782" s="48">
        <v>44776</v>
      </c>
      <c r="M782" s="48">
        <v>44776</v>
      </c>
      <c r="N782" s="49" t="s">
        <v>336</v>
      </c>
      <c r="O782" s="45">
        <v>17</v>
      </c>
      <c r="P782" s="80" t="s">
        <v>494</v>
      </c>
      <c r="Q782" s="48"/>
      <c r="R782" s="45"/>
      <c r="S782" s="114"/>
      <c r="T782" s="52"/>
      <c r="U782" s="48"/>
      <c r="V782" s="48"/>
      <c r="W782" s="27"/>
    </row>
    <row r="783" spans="1:23" ht="60" hidden="1" customHeight="1" x14ac:dyDescent="0.25">
      <c r="A783" s="45" t="str">
        <f>CONCATENATE(Tabla2[[#This Row],[id_solicitud]],Tabla2[[#This Row],[tipo]])</f>
        <v>95Resolucion</v>
      </c>
      <c r="B783" s="45">
        <f>COUNTIF($A$2:A783,A783)</f>
        <v>1</v>
      </c>
      <c r="C783" s="45" t="str">
        <f>Tabla2[[#This Row],[(id_solicitud-tipo_documento)]]&amp;B783</f>
        <v>95Resolucion1</v>
      </c>
      <c r="D783" s="45">
        <v>785</v>
      </c>
      <c r="E783" s="45">
        <v>95</v>
      </c>
      <c r="F783" s="45" t="s">
        <v>48</v>
      </c>
      <c r="G783" s="45"/>
      <c r="H783" s="50" t="s">
        <v>10</v>
      </c>
      <c r="I783" s="51">
        <v>753</v>
      </c>
      <c r="J783" s="80"/>
      <c r="K7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783" s="48">
        <v>44701</v>
      </c>
      <c r="M783" s="48"/>
      <c r="N783" s="49"/>
      <c r="O783" s="45"/>
      <c r="P783" s="80"/>
      <c r="Q783" s="48"/>
      <c r="R783" s="45"/>
      <c r="S783" s="114"/>
      <c r="T783" s="45"/>
      <c r="U783" s="48"/>
      <c r="V783" s="48"/>
      <c r="W783" s="27"/>
    </row>
    <row r="784" spans="1:23" ht="60" hidden="1" customHeight="1" x14ac:dyDescent="0.25">
      <c r="A784" s="45" t="str">
        <f>CONCATENATE(Tabla2[[#This Row],[id_solicitud]],Tabla2[[#This Row],[tipo]])</f>
        <v>464Proposicion</v>
      </c>
      <c r="B784" s="45">
        <f>COUNTIF($A$2:A784,A784)</f>
        <v>1</v>
      </c>
      <c r="C784" s="45" t="str">
        <f>Tabla2[[#This Row],[(id_solicitud-tipo_documento)]]&amp;B784</f>
        <v>464Proposicion1</v>
      </c>
      <c r="D784" s="45">
        <v>786</v>
      </c>
      <c r="E784" s="45">
        <v>464</v>
      </c>
      <c r="F784" s="45" t="s">
        <v>46</v>
      </c>
      <c r="G784" s="45" t="s">
        <v>60</v>
      </c>
      <c r="H784" s="50" t="s">
        <v>538</v>
      </c>
      <c r="I784" s="51">
        <v>754</v>
      </c>
      <c r="J784" s="80"/>
      <c r="K7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754 DV_FETCovid19</v>
      </c>
      <c r="L784" s="48">
        <v>44860</v>
      </c>
      <c r="M784" s="48">
        <v>44860</v>
      </c>
      <c r="N784" s="49" t="s">
        <v>727</v>
      </c>
      <c r="O784" s="45"/>
      <c r="P784" s="80" t="s">
        <v>494</v>
      </c>
      <c r="Q784" s="24"/>
      <c r="R784" s="24" t="s">
        <v>24</v>
      </c>
      <c r="S784" s="114"/>
      <c r="T784" s="45"/>
      <c r="U784" s="48"/>
      <c r="V784" s="48"/>
      <c r="W784" s="27"/>
    </row>
    <row r="785" spans="1:23" ht="60" hidden="1" customHeight="1" x14ac:dyDescent="0.25">
      <c r="A785" s="45" t="str">
        <f>CONCATENATE(Tabla2[[#This Row],[id_solicitud]],Tabla2[[#This Row],[tipo]])</f>
        <v>365Oficio_Solicitud</v>
      </c>
      <c r="B785" s="45">
        <f>COUNTIF($A$2:A785,A785)</f>
        <v>1</v>
      </c>
      <c r="C785" s="45" t="str">
        <f>Tabla2[[#This Row],[(id_solicitud-tipo_documento)]]&amp;B785</f>
        <v>365Oficio_Solicitud1</v>
      </c>
      <c r="D785" s="45">
        <v>787</v>
      </c>
      <c r="E785" s="45">
        <v>365</v>
      </c>
      <c r="F785" s="45" t="s">
        <v>53</v>
      </c>
      <c r="G785" s="45" t="s">
        <v>44</v>
      </c>
      <c r="H785" s="50" t="s">
        <v>16</v>
      </c>
      <c r="I785" s="51">
        <v>755</v>
      </c>
      <c r="J785" s="80"/>
      <c r="K7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755 DGC</v>
      </c>
      <c r="L785" s="48">
        <v>44778</v>
      </c>
      <c r="M785" s="48"/>
      <c r="N785" s="49" t="s">
        <v>368</v>
      </c>
      <c r="O785" s="45"/>
      <c r="P785" s="80" t="s">
        <v>497</v>
      </c>
      <c r="Q785" s="48"/>
      <c r="R785" s="45"/>
      <c r="S785" s="114"/>
      <c r="T785" s="52"/>
      <c r="U785" s="48"/>
      <c r="V785" s="48"/>
      <c r="W785" s="27"/>
    </row>
    <row r="786" spans="1:23" ht="60" hidden="1" customHeight="1" x14ac:dyDescent="0.25">
      <c r="A786" s="45" t="str">
        <f>CONCATENATE(Tabla2[[#This Row],[id_solicitud]],Tabla2[[#This Row],[tipo]])</f>
        <v>487Proposicion</v>
      </c>
      <c r="B786" s="45">
        <f>COUNTIF($A$2:A786,A786)</f>
        <v>1</v>
      </c>
      <c r="C786" s="45" t="str">
        <f>Tabla2[[#This Row],[(id_solicitud-tipo_documento)]]&amp;B786</f>
        <v>487Proposicion1</v>
      </c>
      <c r="D786" s="45">
        <v>788</v>
      </c>
      <c r="E786" s="45">
        <v>487</v>
      </c>
      <c r="F786" s="45" t="s">
        <v>46</v>
      </c>
      <c r="G786" s="45" t="s">
        <v>41</v>
      </c>
      <c r="H786" s="50" t="s">
        <v>541</v>
      </c>
      <c r="I786" s="51">
        <v>755</v>
      </c>
      <c r="J786" s="80"/>
      <c r="K7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755 DOP_FETCovid19</v>
      </c>
      <c r="L786" s="48">
        <v>44860</v>
      </c>
      <c r="M786" s="48">
        <v>44861</v>
      </c>
      <c r="N786" s="49" t="s">
        <v>455</v>
      </c>
      <c r="O786" s="45">
        <v>21</v>
      </c>
      <c r="P786" s="80" t="s">
        <v>494</v>
      </c>
      <c r="Q786" s="24"/>
      <c r="R786" s="24" t="s">
        <v>24</v>
      </c>
      <c r="S786" s="114"/>
      <c r="T786" s="45"/>
      <c r="U786" s="48"/>
      <c r="V786" s="48"/>
      <c r="W786" s="27"/>
    </row>
    <row r="787" spans="1:23" ht="60" hidden="1" customHeight="1" x14ac:dyDescent="0.25">
      <c r="A787" s="45" t="str">
        <f>CONCATENATE(Tabla2[[#This Row],[id_solicitud]],Tabla2[[#This Row],[tipo]])</f>
        <v>474Proposicion</v>
      </c>
      <c r="B787" s="45">
        <f>COUNTIF($A$2:A787,A787)</f>
        <v>1</v>
      </c>
      <c r="C787" s="45" t="str">
        <f>Tabla2[[#This Row],[(id_solicitud-tipo_documento)]]&amp;B787</f>
        <v>474Proposicion1</v>
      </c>
      <c r="D787" s="45">
        <v>789</v>
      </c>
      <c r="E787" s="45">
        <v>474</v>
      </c>
      <c r="F787" s="45" t="s">
        <v>46</v>
      </c>
      <c r="G787" s="45" t="s">
        <v>41</v>
      </c>
      <c r="H787" s="50" t="s">
        <v>10</v>
      </c>
      <c r="I787" s="51">
        <v>756</v>
      </c>
      <c r="J787" s="80"/>
      <c r="K7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756 DAP</v>
      </c>
      <c r="L787" s="48">
        <v>44860</v>
      </c>
      <c r="M787" s="48">
        <v>44860</v>
      </c>
      <c r="N787" s="49" t="s">
        <v>444</v>
      </c>
      <c r="O787" s="45">
        <f>2+1+33</f>
        <v>36</v>
      </c>
      <c r="P787" s="80" t="s">
        <v>494</v>
      </c>
      <c r="Q787" s="24"/>
      <c r="R787" s="24" t="s">
        <v>24</v>
      </c>
      <c r="S787" s="114"/>
      <c r="T787" s="45"/>
      <c r="U787" s="48"/>
      <c r="V787" s="48"/>
      <c r="W787" s="27"/>
    </row>
    <row r="788" spans="1:23" ht="60" hidden="1" customHeight="1" x14ac:dyDescent="0.25">
      <c r="A788" s="45" t="str">
        <f>CONCATENATE(Tabla2[[#This Row],[id_solicitud]],Tabla2[[#This Row],[tipo]])</f>
        <v>181Decreto</v>
      </c>
      <c r="B788" s="45">
        <f>COUNTIF($A$2:A788,A788)</f>
        <v>1</v>
      </c>
      <c r="C788" s="45" t="str">
        <f>Tabla2[[#This Row],[(id_solicitud-tipo_documento)]]&amp;B788</f>
        <v>181Decreto1</v>
      </c>
      <c r="D788" s="45">
        <v>790</v>
      </c>
      <c r="E788" s="45">
        <v>181</v>
      </c>
      <c r="F788" s="45" t="s">
        <v>47</v>
      </c>
      <c r="G788" s="45" t="s">
        <v>40</v>
      </c>
      <c r="H788" s="50" t="s">
        <v>20</v>
      </c>
      <c r="I788" s="51">
        <v>758</v>
      </c>
      <c r="J788" s="80"/>
      <c r="K7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758 DOH</v>
      </c>
      <c r="L788" s="48">
        <v>44706</v>
      </c>
      <c r="M788" s="48"/>
      <c r="N788" s="49" t="s">
        <v>877</v>
      </c>
      <c r="O788" s="45"/>
      <c r="P788" s="80"/>
      <c r="Q788" s="48"/>
      <c r="R788" s="45"/>
      <c r="S788" s="115">
        <v>357</v>
      </c>
      <c r="T788" s="20">
        <v>44694</v>
      </c>
      <c r="U788" s="20">
        <v>44707</v>
      </c>
      <c r="V788" s="20">
        <v>44707</v>
      </c>
      <c r="W788" s="27"/>
    </row>
    <row r="789" spans="1:23" ht="60" hidden="1" customHeight="1" x14ac:dyDescent="0.25">
      <c r="A789" s="45" t="str">
        <f>CONCATENATE(Tabla2[[#This Row],[id_solicitud]],Tabla2[[#This Row],[tipo]])</f>
        <v>181Decreto</v>
      </c>
      <c r="B789" s="45">
        <f>COUNTIF($A$2:A789,A789)</f>
        <v>2</v>
      </c>
      <c r="C789" s="45" t="str">
        <f>Tabla2[[#This Row],[(id_solicitud-tipo_documento)]]&amp;B789</f>
        <v>181Decreto2</v>
      </c>
      <c r="D789" s="45">
        <v>791</v>
      </c>
      <c r="E789" s="45">
        <v>181</v>
      </c>
      <c r="F789" s="45" t="s">
        <v>47</v>
      </c>
      <c r="G789" s="45" t="s">
        <v>60</v>
      </c>
      <c r="H789" s="50" t="s">
        <v>20</v>
      </c>
      <c r="I789" s="51">
        <v>760</v>
      </c>
      <c r="J789" s="80"/>
      <c r="K7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760 DOH</v>
      </c>
      <c r="L789" s="48">
        <v>44706</v>
      </c>
      <c r="M789" s="48"/>
      <c r="N789" s="49" t="s">
        <v>850</v>
      </c>
      <c r="O789" s="45"/>
      <c r="P789" s="80"/>
      <c r="Q789" s="48"/>
      <c r="R789" s="45"/>
      <c r="S789" s="115">
        <v>356</v>
      </c>
      <c r="T789" s="20">
        <v>44694</v>
      </c>
      <c r="U789" s="20">
        <v>44707</v>
      </c>
      <c r="V789" s="20">
        <v>44707</v>
      </c>
      <c r="W789" s="27"/>
    </row>
    <row r="790" spans="1:23" ht="60" hidden="1" customHeight="1" x14ac:dyDescent="0.25">
      <c r="A790" s="45" t="str">
        <f>CONCATENATE(Tabla2[[#This Row],[id_solicitud]],Tabla2[[#This Row],[tipo]])</f>
        <v>459Proposicion</v>
      </c>
      <c r="B790" s="45">
        <f>COUNTIF($A$2:A790,A790)</f>
        <v>1</v>
      </c>
      <c r="C790" s="45" t="str">
        <f>Tabla2[[#This Row],[(id_solicitud-tipo_documento)]]&amp;B790</f>
        <v>459Proposicion1</v>
      </c>
      <c r="D790" s="45">
        <v>792</v>
      </c>
      <c r="E790" s="45">
        <v>459</v>
      </c>
      <c r="F790" s="45" t="s">
        <v>46</v>
      </c>
      <c r="G790" s="45" t="s">
        <v>60</v>
      </c>
      <c r="H790" s="50" t="s">
        <v>20</v>
      </c>
      <c r="I790" s="51">
        <v>760</v>
      </c>
      <c r="J790" s="80"/>
      <c r="K7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760 DOH</v>
      </c>
      <c r="L790" s="48">
        <v>44861</v>
      </c>
      <c r="M790" s="48">
        <v>44861</v>
      </c>
      <c r="N790" s="49" t="s">
        <v>434</v>
      </c>
      <c r="O790" s="45">
        <f>2+3+18</f>
        <v>23</v>
      </c>
      <c r="P790" s="80" t="s">
        <v>494</v>
      </c>
      <c r="Q790" s="24"/>
      <c r="R790" s="24" t="s">
        <v>24</v>
      </c>
      <c r="S790" s="114"/>
      <c r="T790" s="45"/>
      <c r="U790" s="48"/>
      <c r="V790" s="48"/>
      <c r="W790" s="27"/>
    </row>
    <row r="791" spans="1:23" ht="60" hidden="1" customHeight="1" x14ac:dyDescent="0.25">
      <c r="A791" s="45" t="str">
        <f>CONCATENATE(Tabla2[[#This Row],[id_solicitud]],Tabla2[[#This Row],[tipo]])</f>
        <v>515Proposicion</v>
      </c>
      <c r="B791" s="45">
        <f>COUNTIF($A$2:A791,A791)</f>
        <v>1</v>
      </c>
      <c r="C791" s="45" t="str">
        <f>Tabla2[[#This Row],[(id_solicitud-tipo_documento)]]&amp;B791</f>
        <v>515Proposicion1</v>
      </c>
      <c r="D791" s="45">
        <v>793</v>
      </c>
      <c r="E791" s="45">
        <v>515</v>
      </c>
      <c r="F791" s="45" t="s">
        <v>46</v>
      </c>
      <c r="G791" s="45" t="s">
        <v>40</v>
      </c>
      <c r="H791" s="50" t="s">
        <v>20</v>
      </c>
      <c r="I791" s="51">
        <v>761</v>
      </c>
      <c r="J791" s="80"/>
      <c r="K7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761 DOH</v>
      </c>
      <c r="L791" s="48">
        <v>44861</v>
      </c>
      <c r="M791" s="48">
        <v>44861</v>
      </c>
      <c r="N791" s="49" t="s">
        <v>480</v>
      </c>
      <c r="O791" s="45"/>
      <c r="P791" s="80" t="s">
        <v>528</v>
      </c>
      <c r="Q791" s="24"/>
      <c r="R791" s="24" t="s">
        <v>24</v>
      </c>
      <c r="S791" s="114"/>
      <c r="T791" s="45"/>
      <c r="U791" s="48"/>
      <c r="V791" s="48"/>
      <c r="W791" s="27"/>
    </row>
    <row r="792" spans="1:23" ht="60" hidden="1" customHeight="1" x14ac:dyDescent="0.25">
      <c r="A792" s="45" t="str">
        <f>CONCATENATE(Tabla2[[#This Row],[id_solicitud]],Tabla2[[#This Row],[tipo]])</f>
        <v>454Oficio_Solicitud</v>
      </c>
      <c r="B792" s="45">
        <f>COUNTIF($A$2:A792,A792)</f>
        <v>1</v>
      </c>
      <c r="C792" s="45" t="str">
        <f>Tabla2[[#This Row],[(id_solicitud-tipo_documento)]]&amp;B792</f>
        <v>454Oficio_Solicitud1</v>
      </c>
      <c r="D792" s="45">
        <v>794</v>
      </c>
      <c r="E792" s="45">
        <v>454</v>
      </c>
      <c r="F792" s="45" t="s">
        <v>53</v>
      </c>
      <c r="G792" s="45" t="s">
        <v>60</v>
      </c>
      <c r="H792" s="50" t="s">
        <v>22</v>
      </c>
      <c r="I792" s="51">
        <v>762</v>
      </c>
      <c r="J792" s="80"/>
      <c r="K7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762 DOP</v>
      </c>
      <c r="L792" s="48">
        <v>44840</v>
      </c>
      <c r="M792" s="48">
        <v>44841</v>
      </c>
      <c r="N792" s="49" t="s">
        <v>432</v>
      </c>
      <c r="O792" s="45">
        <v>20</v>
      </c>
      <c r="P792" s="80" t="s">
        <v>494</v>
      </c>
      <c r="Q792" s="48"/>
      <c r="R792" s="45"/>
      <c r="S792" s="114"/>
      <c r="T792" s="52"/>
      <c r="U792" s="48"/>
      <c r="V792" s="48"/>
      <c r="W792" s="27"/>
    </row>
    <row r="793" spans="1:23" ht="60" hidden="1" customHeight="1" x14ac:dyDescent="0.25">
      <c r="A793" s="45" t="str">
        <f>CONCATENATE(Tabla2[[#This Row],[id_solicitud]],Tabla2[[#This Row],[tipo]])</f>
        <v>516Proposicion</v>
      </c>
      <c r="B793" s="45">
        <f>COUNTIF($A$2:A793,A793)</f>
        <v>1</v>
      </c>
      <c r="C793" s="45" t="str">
        <f>Tabla2[[#This Row],[(id_solicitud-tipo_documento)]]&amp;B793</f>
        <v>516Proposicion1</v>
      </c>
      <c r="D793" s="45">
        <v>795</v>
      </c>
      <c r="E793" s="45">
        <v>516</v>
      </c>
      <c r="F793" s="45" t="s">
        <v>46</v>
      </c>
      <c r="G793" s="45" t="s">
        <v>1258</v>
      </c>
      <c r="H793" s="50" t="s">
        <v>20</v>
      </c>
      <c r="I793" s="51">
        <v>763</v>
      </c>
      <c r="J793" s="80"/>
      <c r="K7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763 DOH</v>
      </c>
      <c r="L793" s="48">
        <v>44861</v>
      </c>
      <c r="M793" s="48">
        <v>44861</v>
      </c>
      <c r="N793" s="49" t="s">
        <v>481</v>
      </c>
      <c r="O793" s="45">
        <v>1</v>
      </c>
      <c r="P793" s="80" t="s">
        <v>494</v>
      </c>
      <c r="Q793" s="24"/>
      <c r="R793" s="24" t="s">
        <v>24</v>
      </c>
      <c r="S793" s="114"/>
      <c r="T793" s="45"/>
      <c r="U793" s="48"/>
      <c r="V793" s="48"/>
      <c r="W793" s="27"/>
    </row>
    <row r="794" spans="1:23" ht="60" hidden="1" customHeight="1" x14ac:dyDescent="0.25">
      <c r="A794" s="45" t="str">
        <f>CONCATENATE(Tabla2[[#This Row],[id_solicitud]],Tabla2[[#This Row],[tipo]])</f>
        <v>517Proposicion</v>
      </c>
      <c r="B794" s="45">
        <f>COUNTIF($A$2:A794,A794)</f>
        <v>1</v>
      </c>
      <c r="C794" s="45" t="str">
        <f>Tabla2[[#This Row],[(id_solicitud-tipo_documento)]]&amp;B794</f>
        <v>517Proposicion1</v>
      </c>
      <c r="D794" s="45">
        <v>796</v>
      </c>
      <c r="E794" s="45">
        <v>517</v>
      </c>
      <c r="F794" s="45" t="s">
        <v>46</v>
      </c>
      <c r="G794" s="45" t="s">
        <v>1258</v>
      </c>
      <c r="H794" s="50" t="s">
        <v>535</v>
      </c>
      <c r="I794" s="51">
        <v>765</v>
      </c>
      <c r="J794" s="80"/>
      <c r="K7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765 DOH_FETCovid19</v>
      </c>
      <c r="L794" s="48">
        <v>44861</v>
      </c>
      <c r="M794" s="48">
        <v>44861</v>
      </c>
      <c r="N794" s="49" t="s">
        <v>482</v>
      </c>
      <c r="O794" s="45">
        <v>4</v>
      </c>
      <c r="P794" s="80" t="s">
        <v>494</v>
      </c>
      <c r="Q794" s="24"/>
      <c r="R794" s="24" t="s">
        <v>24</v>
      </c>
      <c r="S794" s="114"/>
      <c r="T794" s="45"/>
      <c r="U794" s="48"/>
      <c r="V794" s="48"/>
      <c r="W794" s="27"/>
    </row>
    <row r="795" spans="1:23" ht="60" hidden="1" customHeight="1" x14ac:dyDescent="0.25">
      <c r="A795" s="45" t="str">
        <f>CONCATENATE(Tabla2[[#This Row],[id_solicitud]],Tabla2[[#This Row],[tipo]])</f>
        <v>175Decreto</v>
      </c>
      <c r="B795" s="45">
        <f>COUNTIF($A$2:A795,A795)</f>
        <v>1</v>
      </c>
      <c r="C795" s="45" t="str">
        <f>Tabla2[[#This Row],[(id_solicitud-tipo_documento)]]&amp;B795</f>
        <v>175Decreto1</v>
      </c>
      <c r="D795" s="45">
        <v>797</v>
      </c>
      <c r="E795" s="45">
        <v>175</v>
      </c>
      <c r="F795" s="45" t="s">
        <v>47</v>
      </c>
      <c r="G795" s="45" t="s">
        <v>60</v>
      </c>
      <c r="H795" s="50" t="s">
        <v>20</v>
      </c>
      <c r="I795" s="51">
        <v>766</v>
      </c>
      <c r="J795" s="80"/>
      <c r="K7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766 DOH</v>
      </c>
      <c r="L795" s="48">
        <v>44706</v>
      </c>
      <c r="M795" s="48"/>
      <c r="N795" s="49" t="s">
        <v>846</v>
      </c>
      <c r="O795" s="45"/>
      <c r="P795" s="80"/>
      <c r="Q795" s="48"/>
      <c r="R795" s="45"/>
      <c r="S795" s="115">
        <v>341</v>
      </c>
      <c r="T795" s="20">
        <v>44692</v>
      </c>
      <c r="U795" s="20">
        <v>44755</v>
      </c>
      <c r="V795" s="20">
        <v>44755</v>
      </c>
      <c r="W795" s="27"/>
    </row>
    <row r="796" spans="1:23" ht="60" hidden="1" customHeight="1" x14ac:dyDescent="0.25">
      <c r="A796" s="45" t="str">
        <f>CONCATENATE(Tabla2[[#This Row],[id_solicitud]],Tabla2[[#This Row],[tipo]])</f>
        <v>147Decreto</v>
      </c>
      <c r="B796" s="45">
        <f>COUNTIF($A$2:A796,A796)</f>
        <v>1</v>
      </c>
      <c r="C796" s="45" t="str">
        <f>Tabla2[[#This Row],[(id_solicitud-tipo_documento)]]&amp;B796</f>
        <v>147Decreto1</v>
      </c>
      <c r="D796" s="45">
        <v>798</v>
      </c>
      <c r="E796" s="45">
        <v>147</v>
      </c>
      <c r="F796" s="45" t="s">
        <v>47</v>
      </c>
      <c r="G796" s="45" t="s">
        <v>60</v>
      </c>
      <c r="H796" s="50" t="s">
        <v>10</v>
      </c>
      <c r="I796" s="51">
        <v>767</v>
      </c>
      <c r="J796" s="80"/>
      <c r="K7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767 DAP</v>
      </c>
      <c r="L796" s="48">
        <v>44706</v>
      </c>
      <c r="M796" s="48"/>
      <c r="N796" s="49" t="s">
        <v>190</v>
      </c>
      <c r="O796" s="45"/>
      <c r="P796" s="80"/>
      <c r="Q796" s="48"/>
      <c r="R796" s="45"/>
      <c r="S796" s="115">
        <v>300</v>
      </c>
      <c r="T796" s="20">
        <v>44692</v>
      </c>
      <c r="U796" s="20">
        <v>44719</v>
      </c>
      <c r="V796" s="20">
        <v>44719</v>
      </c>
      <c r="W796" s="27"/>
    </row>
    <row r="797" spans="1:23" ht="60" hidden="1" customHeight="1" x14ac:dyDescent="0.25">
      <c r="A797" s="45" t="str">
        <f>CONCATENATE(Tabla2[[#This Row],[id_solicitud]],Tabla2[[#This Row],[tipo]])</f>
        <v>512Proposicion</v>
      </c>
      <c r="B797" s="45">
        <f>COUNTIF($A$2:A797,A797)</f>
        <v>1</v>
      </c>
      <c r="C797" s="45" t="str">
        <f>Tabla2[[#This Row],[(id_solicitud-tipo_documento)]]&amp;B797</f>
        <v>512Proposicion1</v>
      </c>
      <c r="D797" s="45">
        <v>799</v>
      </c>
      <c r="E797" s="45">
        <v>512</v>
      </c>
      <c r="F797" s="45" t="s">
        <v>46</v>
      </c>
      <c r="G797" s="45" t="s">
        <v>41</v>
      </c>
      <c r="H797" s="50" t="s">
        <v>24</v>
      </c>
      <c r="I797" s="51">
        <v>767</v>
      </c>
      <c r="J797" s="80"/>
      <c r="K7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767 DP</v>
      </c>
      <c r="L797" s="48">
        <v>44862</v>
      </c>
      <c r="M797" s="48">
        <v>44862</v>
      </c>
      <c r="N797" s="49" t="s">
        <v>477</v>
      </c>
      <c r="O797" s="45">
        <v>1</v>
      </c>
      <c r="P797" s="80" t="s">
        <v>494</v>
      </c>
      <c r="Q797" s="24"/>
      <c r="R797" s="24" t="s">
        <v>24</v>
      </c>
      <c r="S797" s="114"/>
      <c r="T797" s="45"/>
      <c r="U797" s="48"/>
      <c r="V797" s="48"/>
      <c r="W797" s="27"/>
    </row>
    <row r="798" spans="1:23" ht="60" hidden="1" customHeight="1" x14ac:dyDescent="0.25">
      <c r="A798" s="45" t="str">
        <f>CONCATENATE(Tabla2[[#This Row],[id_solicitud]],Tabla2[[#This Row],[tipo]])</f>
        <v>168Decreto</v>
      </c>
      <c r="B798" s="45">
        <f>COUNTIF($A$2:A798,A798)</f>
        <v>1</v>
      </c>
      <c r="C798" s="45" t="str">
        <f>Tabla2[[#This Row],[(id_solicitud-tipo_documento)]]&amp;B798</f>
        <v>168Decreto1</v>
      </c>
      <c r="D798" s="45">
        <v>800</v>
      </c>
      <c r="E798" s="45">
        <v>168</v>
      </c>
      <c r="F798" s="45" t="s">
        <v>47</v>
      </c>
      <c r="G798" s="45" t="s">
        <v>60</v>
      </c>
      <c r="H798" s="50" t="s">
        <v>559</v>
      </c>
      <c r="I798" s="51">
        <v>768</v>
      </c>
      <c r="J798" s="80"/>
      <c r="K7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768 APR_FETCovid19</v>
      </c>
      <c r="L798" s="48">
        <v>44706</v>
      </c>
      <c r="M798" s="48"/>
      <c r="N798" s="49" t="s">
        <v>841</v>
      </c>
      <c r="O798" s="45"/>
      <c r="P798" s="80"/>
      <c r="Q798" s="48"/>
      <c r="R798" s="45"/>
      <c r="S798" s="115">
        <v>344</v>
      </c>
      <c r="T798" s="20">
        <v>44691</v>
      </c>
      <c r="U798" s="20">
        <v>44713</v>
      </c>
      <c r="V798" s="20">
        <v>44713</v>
      </c>
      <c r="W798" s="27"/>
    </row>
    <row r="799" spans="1:23" ht="60" hidden="1" customHeight="1" x14ac:dyDescent="0.25">
      <c r="A799" s="45" t="str">
        <f>CONCATENATE(Tabla2[[#This Row],[id_solicitud]],Tabla2[[#This Row],[tipo]])</f>
        <v>480Proposicion</v>
      </c>
      <c r="B799" s="45">
        <f>COUNTIF($A$2:A799,A799)</f>
        <v>1</v>
      </c>
      <c r="C799" s="45" t="str">
        <f>Tabla2[[#This Row],[(id_solicitud-tipo_documento)]]&amp;B799</f>
        <v>480Proposicion1</v>
      </c>
      <c r="D799" s="45">
        <v>801</v>
      </c>
      <c r="E799" s="45">
        <v>480</v>
      </c>
      <c r="F799" s="45" t="s">
        <v>46</v>
      </c>
      <c r="G799" s="45" t="s">
        <v>68</v>
      </c>
      <c r="H799" s="50" t="s">
        <v>26</v>
      </c>
      <c r="I799" s="51">
        <v>768</v>
      </c>
      <c r="J799" s="80"/>
      <c r="K7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768 DV</v>
      </c>
      <c r="L799" s="48">
        <v>44862</v>
      </c>
      <c r="M799" s="48">
        <v>44862</v>
      </c>
      <c r="N799" s="49" t="s">
        <v>730</v>
      </c>
      <c r="O799" s="45">
        <v>837</v>
      </c>
      <c r="P799" s="80" t="s">
        <v>525</v>
      </c>
      <c r="Q799" s="24"/>
      <c r="R799" s="24" t="s">
        <v>24</v>
      </c>
      <c r="S799" s="114"/>
      <c r="T799" s="45"/>
      <c r="U799" s="48"/>
      <c r="V799" s="48"/>
      <c r="W799" s="27"/>
    </row>
    <row r="800" spans="1:23" ht="60" hidden="1" customHeight="1" x14ac:dyDescent="0.25">
      <c r="A800" s="45" t="str">
        <f>CONCATENATE(Tabla2[[#This Row],[id_solicitud]],Tabla2[[#This Row],[tipo]])</f>
        <v>477Proposicion</v>
      </c>
      <c r="B800" s="45">
        <f>COUNTIF($A$2:A800,A800)</f>
        <v>1</v>
      </c>
      <c r="C800" s="45" t="str">
        <f>Tabla2[[#This Row],[(id_solicitud-tipo_documento)]]&amp;B800</f>
        <v>477Proposicion1</v>
      </c>
      <c r="D800" s="45">
        <v>802</v>
      </c>
      <c r="E800" s="45">
        <v>477</v>
      </c>
      <c r="F800" s="45" t="s">
        <v>46</v>
      </c>
      <c r="G800" s="45" t="s">
        <v>41</v>
      </c>
      <c r="H800" s="50" t="s">
        <v>8</v>
      </c>
      <c r="I800" s="51">
        <v>769</v>
      </c>
      <c r="J800" s="80"/>
      <c r="K8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769 DA</v>
      </c>
      <c r="L800" s="48">
        <v>44862</v>
      </c>
      <c r="M800" s="48">
        <v>44862</v>
      </c>
      <c r="N800" s="49" t="s">
        <v>446</v>
      </c>
      <c r="O800" s="45">
        <v>23</v>
      </c>
      <c r="P800" s="80" t="s">
        <v>494</v>
      </c>
      <c r="Q800" s="24"/>
      <c r="R800" s="24" t="s">
        <v>24</v>
      </c>
      <c r="S800" s="114"/>
      <c r="T800" s="45"/>
      <c r="U800" s="48"/>
      <c r="V800" s="48"/>
      <c r="W800" s="27"/>
    </row>
    <row r="801" spans="1:23" ht="60" hidden="1" customHeight="1" x14ac:dyDescent="0.25">
      <c r="A801" s="45" t="str">
        <f>CONCATENATE(Tabla2[[#This Row],[id_solicitud]],Tabla2[[#This Row],[tipo]])</f>
        <v>479Proposicion</v>
      </c>
      <c r="B801" s="45">
        <f>COUNTIF($A$2:A801,A801)</f>
        <v>1</v>
      </c>
      <c r="C801" s="45" t="str">
        <f>Tabla2[[#This Row],[(id_solicitud-tipo_documento)]]&amp;B801</f>
        <v>479Proposicion1</v>
      </c>
      <c r="D801" s="45">
        <v>803</v>
      </c>
      <c r="E801" s="45">
        <v>479</v>
      </c>
      <c r="F801" s="45" t="s">
        <v>46</v>
      </c>
      <c r="G801" s="45" t="s">
        <v>41</v>
      </c>
      <c r="H801" s="50" t="s">
        <v>16</v>
      </c>
      <c r="I801" s="51">
        <v>770</v>
      </c>
      <c r="J801" s="80"/>
      <c r="K8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770 DGC</v>
      </c>
      <c r="L801" s="48">
        <v>44862</v>
      </c>
      <c r="M801" s="48">
        <v>44862</v>
      </c>
      <c r="N801" s="49" t="s">
        <v>447</v>
      </c>
      <c r="O801" s="45">
        <v>168</v>
      </c>
      <c r="P801" s="80" t="s">
        <v>494</v>
      </c>
      <c r="Q801" s="24"/>
      <c r="R801" s="24" t="s">
        <v>24</v>
      </c>
      <c r="S801" s="114"/>
      <c r="T801" s="45"/>
      <c r="U801" s="48"/>
      <c r="V801" s="48"/>
      <c r="W801" s="27"/>
    </row>
    <row r="802" spans="1:23" ht="60" hidden="1" customHeight="1" x14ac:dyDescent="0.25">
      <c r="A802" s="45" t="str">
        <f>CONCATENATE(Tabla2[[#This Row],[id_solicitud]],Tabla2[[#This Row],[tipo]])</f>
        <v>485Proposicion</v>
      </c>
      <c r="B802" s="45">
        <f>COUNTIF($A$2:A802,A802)</f>
        <v>1</v>
      </c>
      <c r="C802" s="45" t="str">
        <f>Tabla2[[#This Row],[(id_solicitud-tipo_documento)]]&amp;B802</f>
        <v>485Proposicion1</v>
      </c>
      <c r="D802" s="45">
        <v>804</v>
      </c>
      <c r="E802" s="45">
        <v>485</v>
      </c>
      <c r="F802" s="45" t="s">
        <v>46</v>
      </c>
      <c r="G802" s="45" t="s">
        <v>68</v>
      </c>
      <c r="H802" s="50" t="s">
        <v>559</v>
      </c>
      <c r="I802" s="51">
        <v>771</v>
      </c>
      <c r="J802" s="80"/>
      <c r="K8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771 APR_FETCovid19</v>
      </c>
      <c r="L802" s="48">
        <v>44862</v>
      </c>
      <c r="M802" s="48">
        <v>44862</v>
      </c>
      <c r="N802" s="49" t="s">
        <v>453</v>
      </c>
      <c r="O802" s="45">
        <v>73</v>
      </c>
      <c r="P802" s="80" t="s">
        <v>494</v>
      </c>
      <c r="Q802" s="24"/>
      <c r="R802" s="24" t="s">
        <v>24</v>
      </c>
      <c r="S802" s="114"/>
      <c r="T802" s="45"/>
      <c r="U802" s="48"/>
      <c r="V802" s="48"/>
      <c r="W802" s="27"/>
    </row>
    <row r="803" spans="1:23" ht="60" hidden="1" customHeight="1" x14ac:dyDescent="0.25">
      <c r="A803" s="45" t="str">
        <f>CONCATENATE(Tabla2[[#This Row],[id_solicitud]],Tabla2[[#This Row],[tipo]])</f>
        <v>169Decreto</v>
      </c>
      <c r="B803" s="45">
        <f>COUNTIF($A$2:A803,A803)</f>
        <v>1</v>
      </c>
      <c r="C803" s="45" t="str">
        <f>Tabla2[[#This Row],[(id_solicitud-tipo_documento)]]&amp;B803</f>
        <v>169Decreto1</v>
      </c>
      <c r="D803" s="45">
        <v>805</v>
      </c>
      <c r="E803" s="45">
        <v>169</v>
      </c>
      <c r="F803" s="45" t="s">
        <v>47</v>
      </c>
      <c r="G803" s="45" t="s">
        <v>60</v>
      </c>
      <c r="H803" s="50" t="s">
        <v>8</v>
      </c>
      <c r="I803" s="51">
        <v>772</v>
      </c>
      <c r="J803" s="80"/>
      <c r="K8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772 DA</v>
      </c>
      <c r="L803" s="48">
        <v>44706</v>
      </c>
      <c r="M803" s="48"/>
      <c r="N803" s="49" t="s">
        <v>842</v>
      </c>
      <c r="O803" s="45"/>
      <c r="P803" s="80"/>
      <c r="Q803" s="48"/>
      <c r="R803" s="45"/>
      <c r="S803" s="115">
        <v>312</v>
      </c>
      <c r="T803" s="20">
        <v>44691</v>
      </c>
      <c r="U803" s="20">
        <v>44715</v>
      </c>
      <c r="V803" s="20">
        <v>44715</v>
      </c>
      <c r="W803" s="27"/>
    </row>
    <row r="804" spans="1:23" ht="60" hidden="1" customHeight="1" x14ac:dyDescent="0.25">
      <c r="A804" s="45" t="str">
        <f>CONCATENATE(Tabla2[[#This Row],[id_solicitud]],Tabla2[[#This Row],[tipo]])</f>
        <v>509Proposicion</v>
      </c>
      <c r="B804" s="45">
        <f>COUNTIF($A$2:A804,A804)</f>
        <v>1</v>
      </c>
      <c r="C804" s="45" t="str">
        <f>Tabla2[[#This Row],[(id_solicitud-tipo_documento)]]&amp;B804</f>
        <v>509Proposicion1</v>
      </c>
      <c r="D804" s="45">
        <v>806</v>
      </c>
      <c r="E804" s="45">
        <v>509</v>
      </c>
      <c r="F804" s="45" t="s">
        <v>46</v>
      </c>
      <c r="G804" s="45" t="s">
        <v>40</v>
      </c>
      <c r="H804" s="50" t="s">
        <v>22</v>
      </c>
      <c r="I804" s="51">
        <v>772</v>
      </c>
      <c r="J804" s="80"/>
      <c r="K8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772 DOP</v>
      </c>
      <c r="L804" s="48">
        <v>44862</v>
      </c>
      <c r="M804" s="48">
        <v>44862</v>
      </c>
      <c r="N804" s="49" t="s">
        <v>474</v>
      </c>
      <c r="O804" s="45"/>
      <c r="P804" s="80" t="s">
        <v>498</v>
      </c>
      <c r="Q804" s="24"/>
      <c r="R804" s="24" t="s">
        <v>24</v>
      </c>
      <c r="S804" s="114"/>
      <c r="T804" s="45"/>
      <c r="U804" s="48"/>
      <c r="V804" s="48"/>
      <c r="W804" s="27"/>
    </row>
    <row r="805" spans="1:23" ht="60" hidden="1" customHeight="1" x14ac:dyDescent="0.25">
      <c r="A805" s="45" t="str">
        <f>CONCATENATE(Tabla2[[#This Row],[id_solicitud]],Tabla2[[#This Row],[tipo]])</f>
        <v>518Proposicion</v>
      </c>
      <c r="B805" s="45">
        <f>COUNTIF($A$2:A805,A805)</f>
        <v>1</v>
      </c>
      <c r="C805" s="45" t="str">
        <f>Tabla2[[#This Row],[(id_solicitud-tipo_documento)]]&amp;B805</f>
        <v>518Proposicion1</v>
      </c>
      <c r="D805" s="45">
        <v>807</v>
      </c>
      <c r="E805" s="45">
        <v>518</v>
      </c>
      <c r="F805" s="45" t="s">
        <v>46</v>
      </c>
      <c r="G805" s="45" t="s">
        <v>1258</v>
      </c>
      <c r="H805" s="50" t="s">
        <v>559</v>
      </c>
      <c r="I805" s="51">
        <v>773</v>
      </c>
      <c r="J805" s="80"/>
      <c r="K8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773 APR_FETCovid19</v>
      </c>
      <c r="L805" s="48">
        <v>44862</v>
      </c>
      <c r="M805" s="48">
        <v>44862</v>
      </c>
      <c r="N805" s="49" t="s">
        <v>483</v>
      </c>
      <c r="O805" s="45">
        <v>3</v>
      </c>
      <c r="P805" s="80" t="s">
        <v>494</v>
      </c>
      <c r="Q805" s="24"/>
      <c r="R805" s="24" t="s">
        <v>24</v>
      </c>
      <c r="S805" s="114"/>
      <c r="T805" s="45"/>
      <c r="U805" s="48"/>
      <c r="V805" s="48"/>
      <c r="W805" s="27"/>
    </row>
    <row r="806" spans="1:23" ht="60" hidden="1" customHeight="1" x14ac:dyDescent="0.25">
      <c r="A806" s="45" t="str">
        <f>CONCATENATE(Tabla2[[#This Row],[id_solicitud]],Tabla2[[#This Row],[tipo]])</f>
        <v>505Proposicion</v>
      </c>
      <c r="B806" s="45">
        <f>COUNTIF($A$2:A806,A806)</f>
        <v>1</v>
      </c>
      <c r="C806" s="45" t="str">
        <f>Tabla2[[#This Row],[(id_solicitud-tipo_documento)]]&amp;B806</f>
        <v>505Proposicion1</v>
      </c>
      <c r="D806" s="45">
        <v>808</v>
      </c>
      <c r="E806" s="45">
        <v>505</v>
      </c>
      <c r="F806" s="45" t="s">
        <v>46</v>
      </c>
      <c r="G806" s="45" t="s">
        <v>67</v>
      </c>
      <c r="H806" s="50" t="s">
        <v>26</v>
      </c>
      <c r="I806" s="51">
        <v>774</v>
      </c>
      <c r="J806" s="80"/>
      <c r="K8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774 DV</v>
      </c>
      <c r="L806" s="48">
        <v>44862</v>
      </c>
      <c r="M806" s="48">
        <v>44862</v>
      </c>
      <c r="N806" s="49" t="s">
        <v>472</v>
      </c>
      <c r="O806" s="45"/>
      <c r="P806" s="80" t="s">
        <v>498</v>
      </c>
      <c r="Q806" s="24"/>
      <c r="R806" s="24" t="s">
        <v>24</v>
      </c>
      <c r="S806" s="114"/>
      <c r="T806" s="45"/>
      <c r="U806" s="48"/>
      <c r="V806" s="48"/>
      <c r="W806" s="27"/>
    </row>
    <row r="807" spans="1:23" ht="60" hidden="1" customHeight="1" x14ac:dyDescent="0.25">
      <c r="A807" s="45" t="str">
        <f>CONCATENATE(Tabla2[[#This Row],[id_solicitud]],Tabla2[[#This Row],[tipo]])</f>
        <v>486Proposicion</v>
      </c>
      <c r="B807" s="45">
        <f>COUNTIF($A$2:A807,A807)</f>
        <v>1</v>
      </c>
      <c r="C807" s="45" t="str">
        <f>Tabla2[[#This Row],[(id_solicitud-tipo_documento)]]&amp;B807</f>
        <v>486Proposicion1</v>
      </c>
      <c r="D807" s="45">
        <v>809</v>
      </c>
      <c r="E807" s="45">
        <v>486</v>
      </c>
      <c r="F807" s="45" t="s">
        <v>46</v>
      </c>
      <c r="G807" s="45" t="s">
        <v>41</v>
      </c>
      <c r="H807" s="50" t="s">
        <v>22</v>
      </c>
      <c r="I807" s="51">
        <v>775</v>
      </c>
      <c r="J807" s="80"/>
      <c r="K8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775 DOP</v>
      </c>
      <c r="L807" s="48">
        <v>44862</v>
      </c>
      <c r="M807" s="48">
        <v>44862</v>
      </c>
      <c r="N807" s="49" t="s">
        <v>733</v>
      </c>
      <c r="O807" s="45">
        <v>105</v>
      </c>
      <c r="P807" s="80" t="s">
        <v>494</v>
      </c>
      <c r="Q807" s="24"/>
      <c r="R807" s="24" t="s">
        <v>24</v>
      </c>
      <c r="S807" s="114"/>
      <c r="T807" s="45"/>
      <c r="U807" s="48"/>
      <c r="V807" s="48"/>
      <c r="W807" s="27"/>
    </row>
    <row r="808" spans="1:23" ht="60" hidden="1" customHeight="1" x14ac:dyDescent="0.25">
      <c r="A808" s="45" t="str">
        <f>CONCATENATE(Tabla2[[#This Row],[id_solicitud]],Tabla2[[#This Row],[tipo]])</f>
        <v>463Proposicion</v>
      </c>
      <c r="B808" s="45">
        <f>COUNTIF($A$2:A808,A808)</f>
        <v>1</v>
      </c>
      <c r="C808" s="45" t="str">
        <f>Tabla2[[#This Row],[(id_solicitud-tipo_documento)]]&amp;B808</f>
        <v>463Proposicion1</v>
      </c>
      <c r="D808" s="45">
        <v>810</v>
      </c>
      <c r="E808" s="45">
        <v>463</v>
      </c>
      <c r="F808" s="45" t="s">
        <v>46</v>
      </c>
      <c r="G808" s="45" t="s">
        <v>60</v>
      </c>
      <c r="H808" s="50" t="s">
        <v>26</v>
      </c>
      <c r="I808" s="51">
        <v>776</v>
      </c>
      <c r="J808" s="80"/>
      <c r="K8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776 DV</v>
      </c>
      <c r="L808" s="48">
        <v>44862</v>
      </c>
      <c r="M808" s="48">
        <v>44862</v>
      </c>
      <c r="N808" s="49" t="s">
        <v>726</v>
      </c>
      <c r="O808" s="45">
        <v>78</v>
      </c>
      <c r="P808" s="80" t="s">
        <v>494</v>
      </c>
      <c r="Q808" s="24"/>
      <c r="R808" s="24" t="s">
        <v>24</v>
      </c>
      <c r="S808" s="114"/>
      <c r="T808" s="45"/>
      <c r="U808" s="48"/>
      <c r="V808" s="48"/>
      <c r="W808" s="27"/>
    </row>
    <row r="809" spans="1:23" ht="60" hidden="1" customHeight="1" x14ac:dyDescent="0.25">
      <c r="A809" s="45" t="str">
        <f>CONCATENATE(Tabla2[[#This Row],[id_solicitud]],Tabla2[[#This Row],[tipo]])</f>
        <v>519Proposicion</v>
      </c>
      <c r="B809" s="45">
        <f>COUNTIF($A$2:A809,A809)</f>
        <v>1</v>
      </c>
      <c r="C809" s="45" t="str">
        <f>Tabla2[[#This Row],[(id_solicitud-tipo_documento)]]&amp;B809</f>
        <v>519Proposicion1</v>
      </c>
      <c r="D809" s="45">
        <v>811</v>
      </c>
      <c r="E809" s="45">
        <v>519</v>
      </c>
      <c r="F809" s="45" t="s">
        <v>46</v>
      </c>
      <c r="G809" s="45" t="s">
        <v>1258</v>
      </c>
      <c r="H809" s="50" t="s">
        <v>6</v>
      </c>
      <c r="I809" s="51">
        <v>777</v>
      </c>
      <c r="J809" s="80"/>
      <c r="K8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777 APR</v>
      </c>
      <c r="L809" s="48">
        <v>44862</v>
      </c>
      <c r="M809" s="48">
        <v>44862</v>
      </c>
      <c r="N809" s="49" t="s">
        <v>483</v>
      </c>
      <c r="O809" s="45">
        <v>3</v>
      </c>
      <c r="P809" s="80" t="s">
        <v>494</v>
      </c>
      <c r="Q809" s="24"/>
      <c r="R809" s="24" t="s">
        <v>24</v>
      </c>
      <c r="S809" s="114"/>
      <c r="T809" s="45"/>
      <c r="U809" s="48"/>
      <c r="V809" s="48"/>
      <c r="W809" s="27"/>
    </row>
    <row r="810" spans="1:23" ht="60" hidden="1" customHeight="1" x14ac:dyDescent="0.25">
      <c r="A810" s="45" t="str">
        <f>CONCATENATE(Tabla2[[#This Row],[id_solicitud]],Tabla2[[#This Row],[tipo]])</f>
        <v>483Proposicion</v>
      </c>
      <c r="B810" s="45">
        <f>COUNTIF($A$2:A810,A810)</f>
        <v>1</v>
      </c>
      <c r="C810" s="45" t="str">
        <f>Tabla2[[#This Row],[(id_solicitud-tipo_documento)]]&amp;B810</f>
        <v>483Proposicion1</v>
      </c>
      <c r="D810" s="45">
        <v>812</v>
      </c>
      <c r="E810" s="45">
        <v>483</v>
      </c>
      <c r="F810" s="45" t="s">
        <v>46</v>
      </c>
      <c r="G810" s="45" t="s">
        <v>68</v>
      </c>
      <c r="H810" s="50" t="s">
        <v>20</v>
      </c>
      <c r="I810" s="51">
        <v>778</v>
      </c>
      <c r="J810" s="80"/>
      <c r="K8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778 DOH</v>
      </c>
      <c r="L810" s="48">
        <v>44862</v>
      </c>
      <c r="M810" s="48">
        <v>44862</v>
      </c>
      <c r="N810" s="49" t="s">
        <v>732</v>
      </c>
      <c r="O810" s="45">
        <f>10+13+85</f>
        <v>108</v>
      </c>
      <c r="P810" s="80" t="s">
        <v>494</v>
      </c>
      <c r="Q810" s="24"/>
      <c r="R810" s="24" t="s">
        <v>24</v>
      </c>
      <c r="S810" s="114"/>
      <c r="T810" s="45"/>
      <c r="U810" s="48"/>
      <c r="V810" s="48"/>
      <c r="W810" s="27"/>
    </row>
    <row r="811" spans="1:23" ht="60" hidden="1" customHeight="1" x14ac:dyDescent="0.25">
      <c r="A811" s="45" t="str">
        <f>CONCATENATE(Tabla2[[#This Row],[id_solicitud]],Tabla2[[#This Row],[tipo]])</f>
        <v>484Proposicion</v>
      </c>
      <c r="B811" s="45">
        <f>COUNTIF($A$2:A811,A811)</f>
        <v>1</v>
      </c>
      <c r="C811" s="45" t="str">
        <f>Tabla2[[#This Row],[(id_solicitud-tipo_documento)]]&amp;B811</f>
        <v>484Proposicion1</v>
      </c>
      <c r="D811" s="45">
        <v>813</v>
      </c>
      <c r="E811" s="45">
        <v>484</v>
      </c>
      <c r="F811" s="45" t="s">
        <v>46</v>
      </c>
      <c r="G811" s="45" t="s">
        <v>68</v>
      </c>
      <c r="H811" s="50" t="s">
        <v>6</v>
      </c>
      <c r="I811" s="51">
        <v>779</v>
      </c>
      <c r="J811" s="80"/>
      <c r="K8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779 APR</v>
      </c>
      <c r="L811" s="48">
        <v>44862</v>
      </c>
      <c r="M811" s="48">
        <v>44862</v>
      </c>
      <c r="N811" s="49" t="s">
        <v>452</v>
      </c>
      <c r="O811" s="45">
        <v>182</v>
      </c>
      <c r="P811" s="80" t="s">
        <v>494</v>
      </c>
      <c r="Q811" s="24"/>
      <c r="R811" s="24" t="s">
        <v>24</v>
      </c>
      <c r="S811" s="114"/>
      <c r="T811" s="45"/>
      <c r="U811" s="48"/>
      <c r="V811" s="48"/>
      <c r="W811" s="27"/>
    </row>
    <row r="812" spans="1:23" ht="60" hidden="1" customHeight="1" x14ac:dyDescent="0.25">
      <c r="A812" s="45" t="str">
        <f>CONCATENATE(Tabla2[[#This Row],[id_solicitud]],Tabla2[[#This Row],[tipo]])</f>
        <v>359Oficio_Solicitud</v>
      </c>
      <c r="B812" s="45">
        <f>COUNTIF($A$2:A812,A812)</f>
        <v>1</v>
      </c>
      <c r="C812" s="45" t="str">
        <f>Tabla2[[#This Row],[(id_solicitud-tipo_documento)]]&amp;B812</f>
        <v>359Oficio_Solicitud1</v>
      </c>
      <c r="D812" s="45">
        <v>814</v>
      </c>
      <c r="E812" s="45">
        <v>359</v>
      </c>
      <c r="F812" s="45" t="s">
        <v>53</v>
      </c>
      <c r="G812" s="45" t="s">
        <v>40</v>
      </c>
      <c r="H812" s="50" t="s">
        <v>595</v>
      </c>
      <c r="I812" s="51">
        <v>782</v>
      </c>
      <c r="J812" s="80"/>
      <c r="K8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782 DGC-DOH</v>
      </c>
      <c r="L812" s="48">
        <v>44789</v>
      </c>
      <c r="M812" s="48">
        <v>44790</v>
      </c>
      <c r="N812" s="49" t="s">
        <v>363</v>
      </c>
      <c r="O812" s="45"/>
      <c r="P812" s="80" t="s">
        <v>501</v>
      </c>
      <c r="Q812" s="48"/>
      <c r="R812" s="45"/>
      <c r="S812" s="114"/>
      <c r="T812" s="52"/>
      <c r="U812" s="48"/>
      <c r="V812" s="48"/>
      <c r="W812" s="27"/>
    </row>
    <row r="813" spans="1:23" ht="60" hidden="1" customHeight="1" x14ac:dyDescent="0.25">
      <c r="A813" s="45" t="str">
        <f>CONCATENATE(Tabla2[[#This Row],[id_solicitud]],Tabla2[[#This Row],[tipo]])</f>
        <v>380Oficio_Solicitud</v>
      </c>
      <c r="B813" s="45">
        <f>COUNTIF($A$2:A813,A813)</f>
        <v>1</v>
      </c>
      <c r="C813" s="45" t="str">
        <f>Tabla2[[#This Row],[(id_solicitud-tipo_documento)]]&amp;B813</f>
        <v>380Oficio_Solicitud1</v>
      </c>
      <c r="D813" s="45">
        <v>815</v>
      </c>
      <c r="E813" s="45">
        <v>380</v>
      </c>
      <c r="F813" s="45" t="s">
        <v>53</v>
      </c>
      <c r="G813" s="45" t="s">
        <v>44</v>
      </c>
      <c r="H813" s="50" t="s">
        <v>16</v>
      </c>
      <c r="I813" s="51">
        <v>782</v>
      </c>
      <c r="J813" s="80"/>
      <c r="K8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782 DGC</v>
      </c>
      <c r="L813" s="48">
        <v>44789</v>
      </c>
      <c r="M813" s="48">
        <v>44790</v>
      </c>
      <c r="N813" s="49" t="s">
        <v>377</v>
      </c>
      <c r="O813" s="45"/>
      <c r="P813" s="80" t="s">
        <v>498</v>
      </c>
      <c r="Q813" s="48">
        <v>44797</v>
      </c>
      <c r="R813" s="45"/>
      <c r="S813" s="114"/>
      <c r="T813" s="52"/>
      <c r="U813" s="48"/>
      <c r="V813" s="48"/>
      <c r="W813" s="27"/>
    </row>
    <row r="814" spans="1:23" ht="60" hidden="1" customHeight="1" x14ac:dyDescent="0.25">
      <c r="A814" s="45" t="str">
        <f>CONCATENATE(Tabla2[[#This Row],[id_solicitud]],Tabla2[[#This Row],[tipo]])</f>
        <v>279Resolucion</v>
      </c>
      <c r="B814" s="45">
        <f>COUNTIF($A$2:A814,A814)</f>
        <v>1</v>
      </c>
      <c r="C814" s="45" t="str">
        <f>Tabla2[[#This Row],[(id_solicitud-tipo_documento)]]&amp;B814</f>
        <v>279Resolucion1</v>
      </c>
      <c r="D814" s="45">
        <v>816</v>
      </c>
      <c r="E814" s="45">
        <v>279</v>
      </c>
      <c r="F814" s="45" t="s">
        <v>48</v>
      </c>
      <c r="G814" s="45"/>
      <c r="H814" s="50" t="s">
        <v>22</v>
      </c>
      <c r="I814" s="51">
        <v>782</v>
      </c>
      <c r="J814" s="80"/>
      <c r="K8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14" s="48">
        <v>44748</v>
      </c>
      <c r="M814" s="48"/>
      <c r="N814" s="49"/>
      <c r="O814" s="45"/>
      <c r="P814" s="80"/>
      <c r="Q814" s="48"/>
      <c r="R814" s="45"/>
      <c r="S814" s="114"/>
      <c r="T814" s="45"/>
      <c r="U814" s="48"/>
      <c r="V814" s="48"/>
      <c r="W814" s="27"/>
    </row>
    <row r="815" spans="1:23" ht="60" hidden="1" customHeight="1" x14ac:dyDescent="0.25">
      <c r="A815" s="45" t="str">
        <f>CONCATENATE(Tabla2[[#This Row],[id_solicitud]],Tabla2[[#This Row],[tipo]])</f>
        <v>486Oficio_Solicitud</v>
      </c>
      <c r="B815" s="45">
        <f>COUNTIF($A$2:A815,A815)</f>
        <v>1</v>
      </c>
      <c r="C815" s="45" t="str">
        <f>Tabla2[[#This Row],[(id_solicitud-tipo_documento)]]&amp;B815</f>
        <v>486Oficio_Solicitud1</v>
      </c>
      <c r="D815" s="45">
        <v>817</v>
      </c>
      <c r="E815" s="45">
        <v>486</v>
      </c>
      <c r="F815" s="45" t="s">
        <v>53</v>
      </c>
      <c r="G815" s="45" t="s">
        <v>41</v>
      </c>
      <c r="H815" s="50" t="s">
        <v>22</v>
      </c>
      <c r="I815" s="51">
        <v>782</v>
      </c>
      <c r="J815" s="80"/>
      <c r="K8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782 DOP</v>
      </c>
      <c r="L815" s="48">
        <v>44848</v>
      </c>
      <c r="M815" s="48">
        <v>44851</v>
      </c>
      <c r="N815" s="49" t="s">
        <v>454</v>
      </c>
      <c r="O815" s="45">
        <v>105</v>
      </c>
      <c r="P815" s="80" t="s">
        <v>494</v>
      </c>
      <c r="Q815" s="48"/>
      <c r="R815" s="45"/>
      <c r="S815" s="114"/>
      <c r="T815" s="52"/>
      <c r="U815" s="48"/>
      <c r="V815" s="48"/>
      <c r="W815" s="27"/>
    </row>
    <row r="816" spans="1:23" ht="60" hidden="1" customHeight="1" x14ac:dyDescent="0.25">
      <c r="A816" s="45" t="str">
        <f>CONCATENATE(Tabla2[[#This Row],[id_solicitud]],Tabla2[[#This Row],[tipo]])</f>
        <v>458Proposicion</v>
      </c>
      <c r="B816" s="45">
        <f>COUNTIF($A$2:A816,A816)</f>
        <v>1</v>
      </c>
      <c r="C816" s="45" t="str">
        <f>Tabla2[[#This Row],[(id_solicitud-tipo_documento)]]&amp;B816</f>
        <v>458Proposicion1</v>
      </c>
      <c r="D816" s="45">
        <v>818</v>
      </c>
      <c r="E816" s="45">
        <v>458</v>
      </c>
      <c r="F816" s="45" t="s">
        <v>46</v>
      </c>
      <c r="G816" s="45" t="s">
        <v>60</v>
      </c>
      <c r="H816" s="50" t="s">
        <v>20</v>
      </c>
      <c r="I816" s="51">
        <v>782</v>
      </c>
      <c r="J816" s="80"/>
      <c r="K8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782 DOH</v>
      </c>
      <c r="L816" s="48">
        <v>44862</v>
      </c>
      <c r="M816" s="48">
        <v>44862</v>
      </c>
      <c r="N816" s="49" t="s">
        <v>433</v>
      </c>
      <c r="O816" s="45">
        <v>8</v>
      </c>
      <c r="P816" s="80" t="s">
        <v>494</v>
      </c>
      <c r="Q816" s="24"/>
      <c r="R816" s="24" t="s">
        <v>24</v>
      </c>
      <c r="S816" s="114"/>
      <c r="T816" s="45"/>
      <c r="U816" s="48"/>
      <c r="V816" s="48"/>
      <c r="W816" s="27"/>
    </row>
    <row r="817" spans="1:23" ht="60" hidden="1" customHeight="1" x14ac:dyDescent="0.25">
      <c r="A817" s="45" t="str">
        <f>CONCATENATE(Tabla2[[#This Row],[id_solicitud]],Tabla2[[#This Row],[tipo]])</f>
        <v>487Oficio_Solicitud</v>
      </c>
      <c r="B817" s="45">
        <f>COUNTIF($A$2:A817,A817)</f>
        <v>1</v>
      </c>
      <c r="C817" s="45" t="str">
        <f>Tabla2[[#This Row],[(id_solicitud-tipo_documento)]]&amp;B817</f>
        <v>487Oficio_Solicitud1</v>
      </c>
      <c r="D817" s="45">
        <v>819</v>
      </c>
      <c r="E817" s="45">
        <v>487</v>
      </c>
      <c r="F817" s="45" t="s">
        <v>53</v>
      </c>
      <c r="G817" s="45" t="s">
        <v>41</v>
      </c>
      <c r="H817" s="50" t="s">
        <v>541</v>
      </c>
      <c r="I817" s="51">
        <v>783</v>
      </c>
      <c r="J817" s="80"/>
      <c r="K8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783 DOP_FETCovid19</v>
      </c>
      <c r="L817" s="48">
        <v>44851</v>
      </c>
      <c r="M817" s="48">
        <v>44851</v>
      </c>
      <c r="N817" s="49" t="s">
        <v>455</v>
      </c>
      <c r="O817" s="45">
        <v>21</v>
      </c>
      <c r="P817" s="80" t="s">
        <v>494</v>
      </c>
      <c r="Q817" s="48"/>
      <c r="R817" s="45"/>
      <c r="S817" s="114"/>
      <c r="T817" s="52"/>
      <c r="U817" s="48"/>
      <c r="V817" s="48"/>
      <c r="W817" s="27"/>
    </row>
    <row r="818" spans="1:23" ht="60" hidden="1" customHeight="1" x14ac:dyDescent="0.25">
      <c r="A818" s="45" t="str">
        <f>CONCATENATE(Tabla2[[#This Row],[id_solicitud]],Tabla2[[#This Row],[tipo]])</f>
        <v>482Proposicion</v>
      </c>
      <c r="B818" s="45">
        <f>COUNTIF($A$2:A818,A818)</f>
        <v>1</v>
      </c>
      <c r="C818" s="45" t="str">
        <f>Tabla2[[#This Row],[(id_solicitud-tipo_documento)]]&amp;B818</f>
        <v>482Proposicion1</v>
      </c>
      <c r="D818" s="45">
        <v>820</v>
      </c>
      <c r="E818" s="45">
        <v>482</v>
      </c>
      <c r="F818" s="45" t="s">
        <v>46</v>
      </c>
      <c r="G818" s="45" t="s">
        <v>68</v>
      </c>
      <c r="H818" s="50" t="s">
        <v>535</v>
      </c>
      <c r="I818" s="51">
        <v>783</v>
      </c>
      <c r="J818" s="80"/>
      <c r="K8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783 DOH_FETCovid19</v>
      </c>
      <c r="L818" s="48">
        <v>44862</v>
      </c>
      <c r="M818" s="48">
        <v>44862</v>
      </c>
      <c r="N818" s="49" t="s">
        <v>450</v>
      </c>
      <c r="O818" s="45">
        <v>46</v>
      </c>
      <c r="P818" s="80" t="s">
        <v>494</v>
      </c>
      <c r="Q818" s="24"/>
      <c r="R818" s="24" t="s">
        <v>24</v>
      </c>
      <c r="S818" s="114"/>
      <c r="T818" s="45"/>
      <c r="U818" s="48"/>
      <c r="V818" s="48"/>
      <c r="W818" s="27"/>
    </row>
    <row r="819" spans="1:23" ht="60" hidden="1" customHeight="1" x14ac:dyDescent="0.25">
      <c r="A819" s="45" t="str">
        <f>CONCATENATE(Tabla2[[#This Row],[id_solicitud]],Tabla2[[#This Row],[tipo]])</f>
        <v>302Oficio_Solicitud</v>
      </c>
      <c r="B819" s="45">
        <f>COUNTIF($A$2:A819,A819)</f>
        <v>1</v>
      </c>
      <c r="C819" s="45" t="str">
        <f>Tabla2[[#This Row],[(id_solicitud-tipo_documento)]]&amp;B819</f>
        <v>302Oficio_Solicitud1</v>
      </c>
      <c r="D819" s="45">
        <v>821</v>
      </c>
      <c r="E819" s="45">
        <v>302</v>
      </c>
      <c r="F819" s="45" t="s">
        <v>53</v>
      </c>
      <c r="G819" s="45" t="s">
        <v>44</v>
      </c>
      <c r="H819" s="50" t="s">
        <v>8</v>
      </c>
      <c r="I819" s="51">
        <v>784</v>
      </c>
      <c r="J819" s="80"/>
      <c r="K8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784 DA</v>
      </c>
      <c r="L819" s="48">
        <v>44762</v>
      </c>
      <c r="M819" s="48">
        <v>44763</v>
      </c>
      <c r="N819" s="49" t="s">
        <v>315</v>
      </c>
      <c r="O819" s="45"/>
      <c r="P819" s="80" t="s">
        <v>494</v>
      </c>
      <c r="Q819" s="48"/>
      <c r="R819" s="45"/>
      <c r="S819" s="114"/>
      <c r="T819" s="52"/>
      <c r="U819" s="48"/>
      <c r="V819" s="48"/>
      <c r="W819" s="27"/>
    </row>
    <row r="820" spans="1:23" ht="60" hidden="1" customHeight="1" x14ac:dyDescent="0.25">
      <c r="A820" s="45" t="str">
        <f>CONCATENATE(Tabla2[[#This Row],[id_solicitud]],Tabla2[[#This Row],[tipo]])</f>
        <v>481Proposicion</v>
      </c>
      <c r="B820" s="45">
        <f>COUNTIF($A$2:A820,A820)</f>
        <v>1</v>
      </c>
      <c r="C820" s="45" t="str">
        <f>Tabla2[[#This Row],[(id_solicitud-tipo_documento)]]&amp;B820</f>
        <v>481Proposicion1</v>
      </c>
      <c r="D820" s="45">
        <v>822</v>
      </c>
      <c r="E820" s="45">
        <v>481</v>
      </c>
      <c r="F820" s="45" t="s">
        <v>46</v>
      </c>
      <c r="G820" s="45" t="s">
        <v>68</v>
      </c>
      <c r="H820" s="50" t="s">
        <v>538</v>
      </c>
      <c r="I820" s="51">
        <v>784</v>
      </c>
      <c r="J820" s="80"/>
      <c r="K8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784 DV_FETCovid19</v>
      </c>
      <c r="L820" s="48">
        <v>44862</v>
      </c>
      <c r="M820" s="48">
        <v>44862</v>
      </c>
      <c r="N820" s="49" t="s">
        <v>731</v>
      </c>
      <c r="O820" s="45">
        <v>160</v>
      </c>
      <c r="P820" s="80" t="s">
        <v>494</v>
      </c>
      <c r="Q820" s="24"/>
      <c r="R820" s="24" t="s">
        <v>24</v>
      </c>
      <c r="S820" s="114"/>
      <c r="T820" s="45"/>
      <c r="U820" s="48"/>
      <c r="V820" s="48"/>
      <c r="W820" s="27"/>
    </row>
    <row r="821" spans="1:23" ht="60" hidden="1" customHeight="1" x14ac:dyDescent="0.25">
      <c r="A821" s="45" t="str">
        <f>CONCATENATE(Tabla2[[#This Row],[id_solicitud]],Tabla2[[#This Row],[tipo]])</f>
        <v>68Oficio_Autorizacion</v>
      </c>
      <c r="B821" s="45">
        <f>COUNTIF($A$2:A821,A821)</f>
        <v>1</v>
      </c>
      <c r="C821" s="45" t="str">
        <f>Tabla2[[#This Row],[(id_solicitud-tipo_documento)]]&amp;B821</f>
        <v>68Oficio_Autorizacion1</v>
      </c>
      <c r="D821" s="45">
        <v>823</v>
      </c>
      <c r="E821" s="45">
        <v>68</v>
      </c>
      <c r="F821" s="45" t="s">
        <v>1272</v>
      </c>
      <c r="G821" s="45" t="s">
        <v>44</v>
      </c>
      <c r="H821" s="50" t="s">
        <v>14</v>
      </c>
      <c r="I821" s="51">
        <v>788</v>
      </c>
      <c r="J821" s="80"/>
      <c r="K8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21" s="48">
        <v>44648</v>
      </c>
      <c r="M821" s="48"/>
      <c r="N821" s="49" t="s">
        <v>797</v>
      </c>
      <c r="O821" s="45"/>
      <c r="P821" s="80"/>
      <c r="Q821" s="48"/>
      <c r="R821" s="45"/>
      <c r="S821" s="115">
        <v>161</v>
      </c>
      <c r="T821" s="20">
        <v>44642</v>
      </c>
      <c r="U821" s="20"/>
      <c r="V821" s="20"/>
      <c r="W821" s="27"/>
    </row>
    <row r="822" spans="1:23" ht="60" hidden="1" customHeight="1" x14ac:dyDescent="0.25">
      <c r="A822" s="45" t="str">
        <f>CONCATENATE(Tabla2[[#This Row],[id_solicitud]],Tabla2[[#This Row],[tipo]])</f>
        <v>91Oficio_Autorizacion</v>
      </c>
      <c r="B822" s="45">
        <f>COUNTIF($A$2:A822,A822)</f>
        <v>1</v>
      </c>
      <c r="C822" s="45" t="str">
        <f>Tabla2[[#This Row],[(id_solicitud-tipo_documento)]]&amp;B822</f>
        <v>91Oficio_Autorizacion1</v>
      </c>
      <c r="D822" s="45">
        <v>824</v>
      </c>
      <c r="E822" s="45">
        <v>91</v>
      </c>
      <c r="F822" s="45" t="s">
        <v>1272</v>
      </c>
      <c r="G822" s="45" t="s">
        <v>44</v>
      </c>
      <c r="H822" s="50" t="s">
        <v>565</v>
      </c>
      <c r="I822" s="51">
        <v>788</v>
      </c>
      <c r="J822" s="80"/>
      <c r="K8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22" s="48">
        <v>44648</v>
      </c>
      <c r="M822" s="48"/>
      <c r="N822" s="49" t="s">
        <v>811</v>
      </c>
      <c r="O822" s="45"/>
      <c r="P822" s="80"/>
      <c r="Q822" s="48"/>
      <c r="R822" s="45"/>
      <c r="S822" s="115">
        <v>161</v>
      </c>
      <c r="T822" s="20">
        <v>44642</v>
      </c>
      <c r="U822" s="20"/>
      <c r="V822" s="20"/>
      <c r="W822" s="27"/>
    </row>
    <row r="823" spans="1:23" ht="60" hidden="1" customHeight="1" x14ac:dyDescent="0.25">
      <c r="A823" s="45" t="str">
        <f>CONCATENATE(Tabla2[[#This Row],[id_solicitud]],Tabla2[[#This Row],[tipo]])</f>
        <v>220Resolucion</v>
      </c>
      <c r="B823" s="45">
        <f>COUNTIF($A$2:A823,A823)</f>
        <v>1</v>
      </c>
      <c r="C823" s="45" t="str">
        <f>Tabla2[[#This Row],[(id_solicitud-tipo_documento)]]&amp;B823</f>
        <v>220Resolucion1</v>
      </c>
      <c r="D823" s="45">
        <v>825</v>
      </c>
      <c r="E823" s="45">
        <v>220</v>
      </c>
      <c r="F823" s="45" t="s">
        <v>48</v>
      </c>
      <c r="G823" s="45"/>
      <c r="H823" s="50" t="s">
        <v>544</v>
      </c>
      <c r="I823" s="51">
        <v>788</v>
      </c>
      <c r="J823" s="80"/>
      <c r="K8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23" s="48">
        <v>44706</v>
      </c>
      <c r="M823" s="48"/>
      <c r="N823" s="49"/>
      <c r="O823" s="45"/>
      <c r="P823" s="80"/>
      <c r="Q823" s="48"/>
      <c r="R823" s="45"/>
      <c r="S823" s="114"/>
      <c r="T823" s="45"/>
      <c r="U823" s="48"/>
      <c r="V823" s="48"/>
      <c r="W823" s="27"/>
    </row>
    <row r="824" spans="1:23" ht="60" hidden="1" customHeight="1" x14ac:dyDescent="0.25">
      <c r="A824" s="45" t="str">
        <f>CONCATENATE(Tabla2[[#This Row],[id_solicitud]],Tabla2[[#This Row],[tipo]])</f>
        <v>498Proposicion</v>
      </c>
      <c r="B824" s="45">
        <f>COUNTIF($A$2:A824,A824)</f>
        <v>1</v>
      </c>
      <c r="C824" s="45" t="str">
        <f>Tabla2[[#This Row],[(id_solicitud-tipo_documento)]]&amp;B824</f>
        <v>498Proposicion1</v>
      </c>
      <c r="D824" s="45">
        <v>826</v>
      </c>
      <c r="E824" s="45">
        <v>498</v>
      </c>
      <c r="F824" s="45" t="s">
        <v>46</v>
      </c>
      <c r="G824" s="45" t="s">
        <v>1258</v>
      </c>
      <c r="H824" s="50" t="s">
        <v>10</v>
      </c>
      <c r="I824" s="51">
        <v>789</v>
      </c>
      <c r="J824" s="80"/>
      <c r="K8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789 DAP</v>
      </c>
      <c r="L824" s="48">
        <v>44869</v>
      </c>
      <c r="M824" s="48">
        <v>44869</v>
      </c>
      <c r="N824" s="49" t="s">
        <v>466</v>
      </c>
      <c r="O824" s="45">
        <v>6</v>
      </c>
      <c r="P824" s="80" t="s">
        <v>494</v>
      </c>
      <c r="Q824" s="24"/>
      <c r="R824" s="24" t="s">
        <v>24</v>
      </c>
      <c r="S824" s="114"/>
      <c r="T824" s="45"/>
      <c r="U824" s="48"/>
      <c r="V824" s="48"/>
      <c r="W824" s="27"/>
    </row>
    <row r="825" spans="1:23" ht="60" hidden="1" customHeight="1" x14ac:dyDescent="0.25">
      <c r="A825" s="45" t="str">
        <f>CONCATENATE(Tabla2[[#This Row],[id_solicitud]],Tabla2[[#This Row],[tipo]])</f>
        <v>207Resolucion</v>
      </c>
      <c r="B825" s="45">
        <f>COUNTIF($A$2:A825,A825)</f>
        <v>1</v>
      </c>
      <c r="C825" s="45" t="str">
        <f>Tabla2[[#This Row],[(id_solicitud-tipo_documento)]]&amp;B825</f>
        <v>207Resolucion1</v>
      </c>
      <c r="D825" s="45">
        <v>827</v>
      </c>
      <c r="E825" s="45">
        <v>207</v>
      </c>
      <c r="F825" s="45" t="s">
        <v>48</v>
      </c>
      <c r="G825" s="45"/>
      <c r="H825" s="50" t="s">
        <v>22</v>
      </c>
      <c r="I825" s="51">
        <v>790</v>
      </c>
      <c r="J825" s="80"/>
      <c r="K8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25" s="48">
        <v>44748</v>
      </c>
      <c r="M825" s="48"/>
      <c r="N825" s="49"/>
      <c r="O825" s="45"/>
      <c r="P825" s="80"/>
      <c r="Q825" s="48"/>
      <c r="R825" s="45"/>
      <c r="S825" s="114"/>
      <c r="T825" s="45"/>
      <c r="U825" s="48"/>
      <c r="V825" s="48"/>
      <c r="W825" s="27"/>
    </row>
    <row r="826" spans="1:23" ht="60" hidden="1" customHeight="1" x14ac:dyDescent="0.25">
      <c r="A826" s="45" t="str">
        <f>CONCATENATE(Tabla2[[#This Row],[id_solicitud]],Tabla2[[#This Row],[tipo]])</f>
        <v>373Oficio_Solicitud</v>
      </c>
      <c r="B826" s="45">
        <f>COUNTIF($A$2:A826,A826)</f>
        <v>1</v>
      </c>
      <c r="C826" s="45" t="str">
        <f>Tabla2[[#This Row],[(id_solicitud-tipo_documento)]]&amp;B826</f>
        <v>373Oficio_Solicitud1</v>
      </c>
      <c r="D826" s="45">
        <v>828</v>
      </c>
      <c r="E826" s="45">
        <v>373</v>
      </c>
      <c r="F826" s="45" t="s">
        <v>53</v>
      </c>
      <c r="G826" s="45" t="s">
        <v>60</v>
      </c>
      <c r="H826" s="50" t="s">
        <v>595</v>
      </c>
      <c r="I826" s="51">
        <v>791</v>
      </c>
      <c r="J826" s="80"/>
      <c r="K8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791 DGC-DOH</v>
      </c>
      <c r="L826" s="48">
        <v>44791</v>
      </c>
      <c r="M826" s="48">
        <v>44792</v>
      </c>
      <c r="N826" s="49" t="s">
        <v>372</v>
      </c>
      <c r="O826" s="45">
        <v>56</v>
      </c>
      <c r="P826" s="80" t="s">
        <v>494</v>
      </c>
      <c r="Q826" s="48">
        <v>44797</v>
      </c>
      <c r="R826" s="45"/>
      <c r="S826" s="114"/>
      <c r="T826" s="52"/>
      <c r="U826" s="48"/>
      <c r="V826" s="48"/>
      <c r="W826" s="27"/>
    </row>
    <row r="827" spans="1:23" ht="60" hidden="1" customHeight="1" x14ac:dyDescent="0.25">
      <c r="A827" s="45" t="str">
        <f>CONCATENATE(Tabla2[[#This Row],[id_solicitud]],Tabla2[[#This Row],[tipo]])</f>
        <v>496Proposicion</v>
      </c>
      <c r="B827" s="45">
        <f>COUNTIF($A$2:A827,A827)</f>
        <v>1</v>
      </c>
      <c r="C827" s="45" t="str">
        <f>Tabla2[[#This Row],[(id_solicitud-tipo_documento)]]&amp;B827</f>
        <v>496Proposicion1</v>
      </c>
      <c r="D827" s="45">
        <v>829</v>
      </c>
      <c r="E827" s="45">
        <v>496</v>
      </c>
      <c r="F827" s="45" t="s">
        <v>46</v>
      </c>
      <c r="G827" s="45" t="s">
        <v>1258</v>
      </c>
      <c r="H827" s="50" t="s">
        <v>544</v>
      </c>
      <c r="I827" s="51">
        <v>792</v>
      </c>
      <c r="J827" s="80"/>
      <c r="K8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792 DAP_FETCovid19</v>
      </c>
      <c r="L827" s="48">
        <v>44872</v>
      </c>
      <c r="M827" s="48">
        <v>44872</v>
      </c>
      <c r="N827" s="49" t="s">
        <v>464</v>
      </c>
      <c r="O827" s="45">
        <v>4</v>
      </c>
      <c r="P827" s="80" t="s">
        <v>494</v>
      </c>
      <c r="Q827" s="24"/>
      <c r="R827" s="24" t="s">
        <v>24</v>
      </c>
      <c r="S827" s="114"/>
      <c r="T827" s="45"/>
      <c r="U827" s="48"/>
      <c r="V827" s="48"/>
      <c r="W827" s="27"/>
    </row>
    <row r="828" spans="1:23" ht="60" hidden="1" customHeight="1" x14ac:dyDescent="0.25">
      <c r="A828" s="45" t="str">
        <f>CONCATENATE(Tabla2[[#This Row],[id_solicitud]],Tabla2[[#This Row],[tipo]])</f>
        <v>504Proposicion</v>
      </c>
      <c r="B828" s="45">
        <f>COUNTIF($A$2:A828,A828)</f>
        <v>1</v>
      </c>
      <c r="C828" s="45" t="str">
        <f>Tabla2[[#This Row],[(id_solicitud-tipo_documento)]]&amp;B828</f>
        <v>504Proposicion1</v>
      </c>
      <c r="D828" s="45">
        <v>830</v>
      </c>
      <c r="E828" s="45">
        <v>504</v>
      </c>
      <c r="F828" s="45" t="s">
        <v>46</v>
      </c>
      <c r="G828" s="45" t="s">
        <v>1258</v>
      </c>
      <c r="H828" s="50" t="s">
        <v>538</v>
      </c>
      <c r="I828" s="51">
        <v>794</v>
      </c>
      <c r="J828" s="80"/>
      <c r="K8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794 DV_FETCovid19</v>
      </c>
      <c r="L828" s="48">
        <v>44873</v>
      </c>
      <c r="M828" s="48">
        <v>44873</v>
      </c>
      <c r="N828" s="49" t="s">
        <v>738</v>
      </c>
      <c r="O828" s="45">
        <v>15</v>
      </c>
      <c r="P828" s="80" t="s">
        <v>494</v>
      </c>
      <c r="Q828" s="24"/>
      <c r="R828" s="24" t="s">
        <v>24</v>
      </c>
      <c r="S828" s="114"/>
      <c r="T828" s="45"/>
      <c r="U828" s="48"/>
      <c r="V828" s="48"/>
      <c r="W828" s="27"/>
    </row>
    <row r="829" spans="1:23" ht="60" hidden="1" customHeight="1" x14ac:dyDescent="0.25">
      <c r="A829" s="45" t="str">
        <f>CONCATENATE(Tabla2[[#This Row],[id_solicitud]],Tabla2[[#This Row],[tipo]])</f>
        <v>503Proposicion</v>
      </c>
      <c r="B829" s="45">
        <f>COUNTIF($A$2:A829,A829)</f>
        <v>1</v>
      </c>
      <c r="C829" s="45" t="str">
        <f>Tabla2[[#This Row],[(id_solicitud-tipo_documento)]]&amp;B829</f>
        <v>503Proposicion1</v>
      </c>
      <c r="D829" s="45">
        <v>831</v>
      </c>
      <c r="E829" s="45">
        <v>503</v>
      </c>
      <c r="F829" s="45" t="s">
        <v>46</v>
      </c>
      <c r="G829" s="45" t="s">
        <v>1258</v>
      </c>
      <c r="H829" s="50" t="s">
        <v>26</v>
      </c>
      <c r="I829" s="51">
        <v>795</v>
      </c>
      <c r="J829" s="80"/>
      <c r="K8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795 DV</v>
      </c>
      <c r="L829" s="48">
        <v>44873</v>
      </c>
      <c r="M829" s="48">
        <v>44873</v>
      </c>
      <c r="N829" s="49" t="s">
        <v>737</v>
      </c>
      <c r="O829" s="45">
        <v>92</v>
      </c>
      <c r="P829" s="80" t="s">
        <v>494</v>
      </c>
      <c r="Q829" s="24"/>
      <c r="R829" s="24" t="s">
        <v>24</v>
      </c>
      <c r="S829" s="114"/>
      <c r="T829" s="45"/>
      <c r="U829" s="48"/>
      <c r="V829" s="48"/>
      <c r="W829" s="27"/>
    </row>
    <row r="830" spans="1:23" ht="60" hidden="1" customHeight="1" x14ac:dyDescent="0.25">
      <c r="A830" s="45" t="str">
        <f>CONCATENATE(Tabla2[[#This Row],[id_solicitud]],Tabla2[[#This Row],[tipo]])</f>
        <v>427Oficio_Solicitud</v>
      </c>
      <c r="B830" s="45">
        <f>COUNTIF($A$2:A830,A830)</f>
        <v>1</v>
      </c>
      <c r="C830" s="45" t="str">
        <f>Tabla2[[#This Row],[(id_solicitud-tipo_documento)]]&amp;B830</f>
        <v>427Oficio_Solicitud1</v>
      </c>
      <c r="D830" s="45">
        <v>832</v>
      </c>
      <c r="E830" s="45">
        <v>427</v>
      </c>
      <c r="F830" s="45" t="s">
        <v>53</v>
      </c>
      <c r="G830" s="45" t="s">
        <v>40</v>
      </c>
      <c r="H830" s="50" t="s">
        <v>16</v>
      </c>
      <c r="I830" s="51">
        <v>796</v>
      </c>
      <c r="J830" s="80"/>
      <c r="K8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796 DGC</v>
      </c>
      <c r="L830" s="48">
        <v>44795</v>
      </c>
      <c r="M830" s="48">
        <v>44795</v>
      </c>
      <c r="N830" s="49" t="s">
        <v>411</v>
      </c>
      <c r="O830" s="45"/>
      <c r="P830" s="80" t="s">
        <v>497</v>
      </c>
      <c r="Q830" s="48"/>
      <c r="R830" s="45"/>
      <c r="S830" s="114"/>
      <c r="T830" s="52"/>
      <c r="U830" s="48"/>
      <c r="V830" s="48"/>
      <c r="W830" s="27"/>
    </row>
    <row r="831" spans="1:23" ht="60" hidden="1" customHeight="1" x14ac:dyDescent="0.25">
      <c r="A831" s="45" t="str">
        <f>CONCATENATE(Tabla2[[#This Row],[id_solicitud]],Tabla2[[#This Row],[tipo]])</f>
        <v>533Proposicion</v>
      </c>
      <c r="B831" s="45">
        <f>COUNTIF($A$2:A831,A831)</f>
        <v>1</v>
      </c>
      <c r="C831" s="45" t="str">
        <f>Tabla2[[#This Row],[(id_solicitud-tipo_documento)]]&amp;B831</f>
        <v>533Proposicion1</v>
      </c>
      <c r="D831" s="45">
        <v>833</v>
      </c>
      <c r="E831" s="45">
        <v>533</v>
      </c>
      <c r="F831" s="45" t="s">
        <v>46</v>
      </c>
      <c r="G831" s="45" t="s">
        <v>1258</v>
      </c>
      <c r="H831" s="50" t="s">
        <v>20</v>
      </c>
      <c r="I831" s="51">
        <v>799</v>
      </c>
      <c r="J831" s="80"/>
      <c r="K8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799 DOH</v>
      </c>
      <c r="L831" s="48">
        <v>44875</v>
      </c>
      <c r="M831" s="48">
        <v>44875</v>
      </c>
      <c r="N831" s="49" t="s">
        <v>491</v>
      </c>
      <c r="O831" s="45">
        <v>2</v>
      </c>
      <c r="P831" s="80" t="s">
        <v>494</v>
      </c>
      <c r="Q831" s="24"/>
      <c r="R831" s="24" t="s">
        <v>24</v>
      </c>
      <c r="S831" s="114"/>
      <c r="T831" s="45"/>
      <c r="U831" s="48"/>
      <c r="V831" s="48"/>
      <c r="W831" s="27"/>
    </row>
    <row r="832" spans="1:23" ht="60" hidden="1" customHeight="1" x14ac:dyDescent="0.25">
      <c r="A832" s="45" t="str">
        <f>CONCATENATE(Tabla2[[#This Row],[id_solicitud]],Tabla2[[#This Row],[tipo]])</f>
        <v>243Decreto</v>
      </c>
      <c r="B832" s="45">
        <f>COUNTIF($A$2:A832,A832)</f>
        <v>1</v>
      </c>
      <c r="C832" s="45" t="str">
        <f>Tabla2[[#This Row],[(id_solicitud-tipo_documento)]]&amp;B832</f>
        <v>243Decreto1</v>
      </c>
      <c r="D832" s="45">
        <v>834</v>
      </c>
      <c r="E832" s="45">
        <v>243</v>
      </c>
      <c r="F832" s="45" t="s">
        <v>47</v>
      </c>
      <c r="G832" s="45" t="s">
        <v>40</v>
      </c>
      <c r="H832" s="50" t="s">
        <v>26</v>
      </c>
      <c r="I832" s="51">
        <v>800</v>
      </c>
      <c r="J832" s="80"/>
      <c r="K8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800 DV</v>
      </c>
      <c r="L832" s="48">
        <v>44712</v>
      </c>
      <c r="M832" s="48"/>
      <c r="N832" s="49" t="s">
        <v>883</v>
      </c>
      <c r="O832" s="45"/>
      <c r="P832" s="80"/>
      <c r="Q832" s="48"/>
      <c r="R832" s="45"/>
      <c r="S832" s="115">
        <v>347</v>
      </c>
      <c r="T832" s="20">
        <v>44687</v>
      </c>
      <c r="U832" s="20">
        <v>44718</v>
      </c>
      <c r="V832" s="20">
        <v>44718</v>
      </c>
      <c r="W832" s="27"/>
    </row>
    <row r="833" spans="1:23" ht="60" hidden="1" customHeight="1" x14ac:dyDescent="0.25">
      <c r="A833" s="45" t="str">
        <f>CONCATENATE(Tabla2[[#This Row],[id_solicitud]],Tabla2[[#This Row],[tipo]])</f>
        <v>127Oficio_Autorizacion</v>
      </c>
      <c r="B833" s="45">
        <f>COUNTIF($A$2:A833,A833)</f>
        <v>1</v>
      </c>
      <c r="C833" s="45" t="str">
        <f>Tabla2[[#This Row],[(id_solicitud-tipo_documento)]]&amp;B833</f>
        <v>127Oficio_Autorizacion1</v>
      </c>
      <c r="D833" s="45">
        <v>835</v>
      </c>
      <c r="E833" s="45">
        <v>127</v>
      </c>
      <c r="F833" s="45" t="s">
        <v>1272</v>
      </c>
      <c r="G833" s="45" t="s">
        <v>44</v>
      </c>
      <c r="H833" s="50" t="s">
        <v>26</v>
      </c>
      <c r="I833" s="51">
        <v>801</v>
      </c>
      <c r="J833" s="80"/>
      <c r="K8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33" s="48">
        <v>44649</v>
      </c>
      <c r="M833" s="48"/>
      <c r="N833" s="49" t="s">
        <v>826</v>
      </c>
      <c r="O833" s="45"/>
      <c r="P833" s="80"/>
      <c r="Q833" s="48"/>
      <c r="R833" s="45"/>
      <c r="S833" s="115">
        <v>168</v>
      </c>
      <c r="T833" s="20">
        <v>44644</v>
      </c>
      <c r="U833" s="20"/>
      <c r="V833" s="20"/>
      <c r="W833" s="27"/>
    </row>
    <row r="834" spans="1:23" ht="60" hidden="1" customHeight="1" x14ac:dyDescent="0.25">
      <c r="A834" s="45" t="str">
        <f>CONCATENATE(Tabla2[[#This Row],[id_solicitud]],Tabla2[[#This Row],[tipo]])</f>
        <v>173Decreto</v>
      </c>
      <c r="B834" s="45">
        <f>COUNTIF($A$2:A834,A834)</f>
        <v>1</v>
      </c>
      <c r="C834" s="45" t="str">
        <f>Tabla2[[#This Row],[(id_solicitud-tipo_documento)]]&amp;B834</f>
        <v>173Decreto1</v>
      </c>
      <c r="D834" s="45">
        <v>836</v>
      </c>
      <c r="E834" s="45">
        <v>173</v>
      </c>
      <c r="F834" s="45" t="s">
        <v>47</v>
      </c>
      <c r="G834" s="45" t="s">
        <v>40</v>
      </c>
      <c r="H834" s="50" t="s">
        <v>26</v>
      </c>
      <c r="I834" s="51">
        <v>801</v>
      </c>
      <c r="J834" s="80"/>
      <c r="K8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801 DV</v>
      </c>
      <c r="L834" s="48">
        <v>44712</v>
      </c>
      <c r="M834" s="48"/>
      <c r="N834" s="49" t="s">
        <v>844</v>
      </c>
      <c r="O834" s="45"/>
      <c r="P834" s="80"/>
      <c r="Q834" s="48"/>
      <c r="R834" s="45"/>
      <c r="S834" s="115">
        <v>325</v>
      </c>
      <c r="T834" s="20">
        <v>44687</v>
      </c>
      <c r="U834" s="20">
        <v>44718</v>
      </c>
      <c r="V834" s="20">
        <v>44718</v>
      </c>
      <c r="W834" s="27"/>
    </row>
    <row r="835" spans="1:23" ht="60" hidden="1" customHeight="1" x14ac:dyDescent="0.25">
      <c r="A835" s="45" t="str">
        <f>CONCATENATE(Tabla2[[#This Row],[id_solicitud]],Tabla2[[#This Row],[tipo]])</f>
        <v>2Proposicion</v>
      </c>
      <c r="B835" s="45">
        <f>COUNTIF($A$2:A835,A835)</f>
        <v>1</v>
      </c>
      <c r="C835" s="45" t="str">
        <f>Tabla2[[#This Row],[(id_solicitud-tipo_documento)]]&amp;B835</f>
        <v>2Proposicion1</v>
      </c>
      <c r="D835" s="45">
        <v>837</v>
      </c>
      <c r="E835" s="45">
        <v>2</v>
      </c>
      <c r="F835" s="45" t="s">
        <v>46</v>
      </c>
      <c r="G835" s="45" t="s">
        <v>43</v>
      </c>
      <c r="H835" s="50" t="s">
        <v>10</v>
      </c>
      <c r="I835" s="51">
        <v>802</v>
      </c>
      <c r="J835" s="80"/>
      <c r="K8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802 DAP</v>
      </c>
      <c r="L835" s="48">
        <v>44539</v>
      </c>
      <c r="M835" s="48">
        <v>44539</v>
      </c>
      <c r="N835" s="49" t="s">
        <v>70</v>
      </c>
      <c r="O835" s="45">
        <f>1+44</f>
        <v>45</v>
      </c>
      <c r="P835" s="80" t="s">
        <v>494</v>
      </c>
      <c r="Q835" s="24"/>
      <c r="R835" s="24" t="s">
        <v>24</v>
      </c>
      <c r="S835" s="114"/>
      <c r="T835" s="45"/>
      <c r="U835" s="48"/>
      <c r="V835" s="48"/>
      <c r="W835" s="27"/>
    </row>
    <row r="836" spans="1:23" ht="60" hidden="1" customHeight="1" x14ac:dyDescent="0.25">
      <c r="A836" s="45" t="str">
        <f>CONCATENATE(Tabla2[[#This Row],[id_solicitud]],Tabla2[[#This Row],[tipo]])</f>
        <v>534Proposicion</v>
      </c>
      <c r="B836" s="45">
        <f>COUNTIF($A$2:A836,A836)</f>
        <v>1</v>
      </c>
      <c r="C836" s="45" t="str">
        <f>Tabla2[[#This Row],[(id_solicitud-tipo_documento)]]&amp;B836</f>
        <v>534Proposicion1</v>
      </c>
      <c r="D836" s="45">
        <v>838</v>
      </c>
      <c r="E836" s="45">
        <v>534</v>
      </c>
      <c r="F836" s="45" t="s">
        <v>46</v>
      </c>
      <c r="G836" s="45" t="s">
        <v>1258</v>
      </c>
      <c r="H836" s="50" t="s">
        <v>6</v>
      </c>
      <c r="I836" s="51">
        <v>802</v>
      </c>
      <c r="J836" s="80"/>
      <c r="K8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802 APR</v>
      </c>
      <c r="L836" s="48">
        <v>44875</v>
      </c>
      <c r="M836" s="48">
        <v>44875</v>
      </c>
      <c r="N836" s="49" t="s">
        <v>746</v>
      </c>
      <c r="O836" s="45">
        <v>3</v>
      </c>
      <c r="P836" s="80" t="s">
        <v>494</v>
      </c>
      <c r="Q836" s="24"/>
      <c r="R836" s="24" t="s">
        <v>24</v>
      </c>
      <c r="S836" s="114"/>
      <c r="T836" s="45"/>
      <c r="U836" s="48"/>
      <c r="V836" s="48"/>
      <c r="W836" s="27"/>
    </row>
    <row r="837" spans="1:23" ht="60" hidden="1" customHeight="1" x14ac:dyDescent="0.25">
      <c r="A837" s="45" t="str">
        <f>CONCATENATE(Tabla2[[#This Row],[id_solicitud]],Tabla2[[#This Row],[tipo]])</f>
        <v>6Proposicion</v>
      </c>
      <c r="B837" s="45">
        <f>COUNTIF($A$2:A837,A837)</f>
        <v>1</v>
      </c>
      <c r="C837" s="45" t="str">
        <f>Tabla2[[#This Row],[(id_solicitud-tipo_documento)]]&amp;B837</f>
        <v>6Proposicion1</v>
      </c>
      <c r="D837" s="45">
        <v>839</v>
      </c>
      <c r="E837" s="45">
        <v>6</v>
      </c>
      <c r="F837" s="45" t="s">
        <v>46</v>
      </c>
      <c r="G837" s="45" t="s">
        <v>43</v>
      </c>
      <c r="H837" s="50" t="s">
        <v>10</v>
      </c>
      <c r="I837" s="51">
        <v>803</v>
      </c>
      <c r="J837" s="80"/>
      <c r="K8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803 DAP</v>
      </c>
      <c r="L837" s="48">
        <v>44539</v>
      </c>
      <c r="M837" s="48">
        <v>44539</v>
      </c>
      <c r="N837" s="49" t="s">
        <v>74</v>
      </c>
      <c r="O837" s="45">
        <v>1</v>
      </c>
      <c r="P837" s="80" t="s">
        <v>494</v>
      </c>
      <c r="Q837" s="24"/>
      <c r="R837" s="24" t="s">
        <v>24</v>
      </c>
      <c r="S837" s="114"/>
      <c r="T837" s="45"/>
      <c r="U837" s="48"/>
      <c r="V837" s="48"/>
      <c r="W837" s="27"/>
    </row>
    <row r="838" spans="1:23" ht="60" hidden="1" customHeight="1" x14ac:dyDescent="0.25">
      <c r="A838" s="45" t="str">
        <f>CONCATENATE(Tabla2[[#This Row],[id_solicitud]],Tabla2[[#This Row],[tipo]])</f>
        <v>10Proposicion</v>
      </c>
      <c r="B838" s="45">
        <f>COUNTIF($A$2:A838,A838)</f>
        <v>1</v>
      </c>
      <c r="C838" s="45" t="str">
        <f>Tabla2[[#This Row],[(id_solicitud-tipo_documento)]]&amp;B838</f>
        <v>10Proposicion1</v>
      </c>
      <c r="D838" s="45">
        <v>840</v>
      </c>
      <c r="E838" s="45">
        <v>10</v>
      </c>
      <c r="F838" s="45" t="s">
        <v>46</v>
      </c>
      <c r="G838" s="45" t="s">
        <v>43</v>
      </c>
      <c r="H838" s="50" t="s">
        <v>24</v>
      </c>
      <c r="I838" s="51">
        <v>804</v>
      </c>
      <c r="J838" s="80"/>
      <c r="K8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804 DP</v>
      </c>
      <c r="L838" s="48">
        <v>44539</v>
      </c>
      <c r="M838" s="48">
        <v>44539</v>
      </c>
      <c r="N838" s="49" t="s">
        <v>78</v>
      </c>
      <c r="O838" s="45">
        <v>1</v>
      </c>
      <c r="P838" s="80" t="s">
        <v>494</v>
      </c>
      <c r="Q838" s="24"/>
      <c r="R838" s="24" t="s">
        <v>24</v>
      </c>
      <c r="S838" s="114"/>
      <c r="T838" s="45"/>
      <c r="U838" s="48"/>
      <c r="V838" s="48"/>
      <c r="W838" s="27"/>
    </row>
    <row r="839" spans="1:23" ht="60" hidden="1" customHeight="1" x14ac:dyDescent="0.25">
      <c r="A839" s="45" t="str">
        <f>CONCATENATE(Tabla2[[#This Row],[id_solicitud]],Tabla2[[#This Row],[tipo]])</f>
        <v>5Proposicion</v>
      </c>
      <c r="B839" s="45">
        <f>COUNTIF($A$2:A839,A839)</f>
        <v>1</v>
      </c>
      <c r="C839" s="45" t="str">
        <f>Tabla2[[#This Row],[(id_solicitud-tipo_documento)]]&amp;B839</f>
        <v>5Proposicion1</v>
      </c>
      <c r="D839" s="45">
        <v>841</v>
      </c>
      <c r="E839" s="45">
        <v>5</v>
      </c>
      <c r="F839" s="45" t="s">
        <v>46</v>
      </c>
      <c r="G839" s="45" t="s">
        <v>43</v>
      </c>
      <c r="H839" s="50" t="s">
        <v>18</v>
      </c>
      <c r="I839" s="51">
        <v>805</v>
      </c>
      <c r="J839" s="80"/>
      <c r="K8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805 DGOP</v>
      </c>
      <c r="L839" s="48">
        <v>44539</v>
      </c>
      <c r="M839" s="48">
        <v>44540</v>
      </c>
      <c r="N839" s="49" t="s">
        <v>73</v>
      </c>
      <c r="O839" s="45">
        <v>1</v>
      </c>
      <c r="P839" s="80" t="s">
        <v>494</v>
      </c>
      <c r="Q839" s="24"/>
      <c r="R839" s="24" t="s">
        <v>24</v>
      </c>
      <c r="S839" s="114"/>
      <c r="T839" s="45"/>
      <c r="U839" s="48"/>
      <c r="V839" s="48"/>
      <c r="W839" s="27"/>
    </row>
    <row r="840" spans="1:23" ht="60" hidden="1" customHeight="1" x14ac:dyDescent="0.25">
      <c r="A840" s="45" t="str">
        <f>CONCATENATE(Tabla2[[#This Row],[id_solicitud]],Tabla2[[#This Row],[tipo]])</f>
        <v>1Proposicion</v>
      </c>
      <c r="B840" s="45">
        <f>COUNTIF($A$2:A840,A840)</f>
        <v>1</v>
      </c>
      <c r="C840" s="45" t="str">
        <f>Tabla2[[#This Row],[(id_solicitud-tipo_documento)]]&amp;B840</f>
        <v>1Proposicion1</v>
      </c>
      <c r="D840" s="45">
        <v>842</v>
      </c>
      <c r="E840" s="45">
        <v>1</v>
      </c>
      <c r="F840" s="45" t="s">
        <v>46</v>
      </c>
      <c r="G840" s="45" t="s">
        <v>43</v>
      </c>
      <c r="H840" s="50" t="s">
        <v>544</v>
      </c>
      <c r="I840" s="51">
        <v>807</v>
      </c>
      <c r="J840" s="80"/>
      <c r="K8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807 DAP_FETCovid19</v>
      </c>
      <c r="L840" s="48">
        <v>44539</v>
      </c>
      <c r="M840" s="48">
        <v>44539</v>
      </c>
      <c r="N840" s="49" t="s">
        <v>69</v>
      </c>
      <c r="O840" s="45">
        <f>5+28</f>
        <v>33</v>
      </c>
      <c r="P840" s="80" t="s">
        <v>494</v>
      </c>
      <c r="Q840" s="24"/>
      <c r="R840" s="24" t="s">
        <v>24</v>
      </c>
      <c r="S840" s="114"/>
      <c r="T840" s="45"/>
      <c r="U840" s="48"/>
      <c r="V840" s="48"/>
      <c r="W840" s="27"/>
    </row>
    <row r="841" spans="1:23" ht="60" hidden="1" customHeight="1" x14ac:dyDescent="0.25">
      <c r="A841" s="45" t="str">
        <f>CONCATENATE(Tabla2[[#This Row],[id_solicitud]],Tabla2[[#This Row],[tipo]])</f>
        <v>53Proposicion</v>
      </c>
      <c r="B841" s="45">
        <f>COUNTIF($A$2:A841,A841)</f>
        <v>1</v>
      </c>
      <c r="C841" s="45" t="str">
        <f>Tabla2[[#This Row],[(id_solicitud-tipo_documento)]]&amp;B841</f>
        <v>53Proposicion1</v>
      </c>
      <c r="D841" s="45">
        <v>843</v>
      </c>
      <c r="E841" s="45">
        <v>53</v>
      </c>
      <c r="F841" s="45" t="s">
        <v>46</v>
      </c>
      <c r="G841" s="45" t="s">
        <v>43</v>
      </c>
      <c r="H841" s="50" t="s">
        <v>544</v>
      </c>
      <c r="I841" s="51">
        <v>807</v>
      </c>
      <c r="J841" s="80"/>
      <c r="K8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807 DAP_FETCovid19</v>
      </c>
      <c r="L841" s="48">
        <v>44539</v>
      </c>
      <c r="M841" s="48">
        <v>44539</v>
      </c>
      <c r="N841" s="49" t="s">
        <v>69</v>
      </c>
      <c r="O841" s="45">
        <f>5+28</f>
        <v>33</v>
      </c>
      <c r="P841" s="80" t="s">
        <v>494</v>
      </c>
      <c r="Q841" s="24"/>
      <c r="R841" s="24" t="s">
        <v>24</v>
      </c>
      <c r="S841" s="114"/>
      <c r="T841" s="45"/>
      <c r="U841" s="48"/>
      <c r="V841" s="48"/>
      <c r="W841" s="27"/>
    </row>
    <row r="842" spans="1:23" ht="60" hidden="1" customHeight="1" x14ac:dyDescent="0.25">
      <c r="A842" s="45" t="str">
        <f>CONCATENATE(Tabla2[[#This Row],[id_solicitud]],Tabla2[[#This Row],[tipo]])</f>
        <v>54Proposicion</v>
      </c>
      <c r="B842" s="45">
        <f>COUNTIF($A$2:A842,A842)</f>
        <v>1</v>
      </c>
      <c r="C842" s="45" t="str">
        <f>Tabla2[[#This Row],[(id_solicitud-tipo_documento)]]&amp;B842</f>
        <v>54Proposicion1</v>
      </c>
      <c r="D842" s="45">
        <v>844</v>
      </c>
      <c r="E842" s="45">
        <v>54</v>
      </c>
      <c r="F842" s="45" t="s">
        <v>46</v>
      </c>
      <c r="G842" s="45" t="s">
        <v>43</v>
      </c>
      <c r="H842" s="50" t="s">
        <v>10</v>
      </c>
      <c r="I842" s="51">
        <v>807</v>
      </c>
      <c r="J842" s="80"/>
      <c r="K8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807 DAP</v>
      </c>
      <c r="L842" s="48">
        <v>44539</v>
      </c>
      <c r="M842" s="48">
        <v>44539</v>
      </c>
      <c r="N842" s="49" t="s">
        <v>69</v>
      </c>
      <c r="O842" s="45">
        <v>1</v>
      </c>
      <c r="P842" s="80" t="s">
        <v>494</v>
      </c>
      <c r="Q842" s="24"/>
      <c r="R842" s="24" t="s">
        <v>24</v>
      </c>
      <c r="S842" s="114"/>
      <c r="T842" s="45"/>
      <c r="U842" s="48"/>
      <c r="V842" s="48"/>
      <c r="W842" s="27"/>
    </row>
    <row r="843" spans="1:23" ht="60" hidden="1" customHeight="1" x14ac:dyDescent="0.25">
      <c r="A843" s="45" t="str">
        <f>CONCATENATE(Tabla2[[#This Row],[id_solicitud]],Tabla2[[#This Row],[tipo]])</f>
        <v>27Resolucion</v>
      </c>
      <c r="B843" s="45">
        <f>COUNTIF($A$2:A843,A843)</f>
        <v>1</v>
      </c>
      <c r="C843" s="45" t="str">
        <f>Tabla2[[#This Row],[(id_solicitud-tipo_documento)]]&amp;B843</f>
        <v>27Resolucion1</v>
      </c>
      <c r="D843" s="45">
        <v>845</v>
      </c>
      <c r="E843" s="45">
        <v>27</v>
      </c>
      <c r="F843" s="45" t="s">
        <v>48</v>
      </c>
      <c r="G843" s="45"/>
      <c r="H843" s="50" t="s">
        <v>6</v>
      </c>
      <c r="I843" s="51">
        <v>812</v>
      </c>
      <c r="J843" s="80"/>
      <c r="K8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43" s="48">
        <v>44630</v>
      </c>
      <c r="M843" s="48"/>
      <c r="N843" s="49"/>
      <c r="O843" s="45"/>
      <c r="P843" s="80"/>
      <c r="Q843" s="48"/>
      <c r="R843" s="45"/>
      <c r="S843" s="114"/>
      <c r="T843" s="45"/>
      <c r="U843" s="48"/>
      <c r="V843" s="48"/>
      <c r="W843" s="27"/>
    </row>
    <row r="844" spans="1:23" ht="60" hidden="1" customHeight="1" x14ac:dyDescent="0.25">
      <c r="A844" s="45" t="str">
        <f>CONCATENATE(Tabla2[[#This Row],[id_solicitud]],Tabla2[[#This Row],[tipo]])</f>
        <v>14Proposicion</v>
      </c>
      <c r="B844" s="45">
        <f>COUNTIF($A$2:A844,A844)</f>
        <v>1</v>
      </c>
      <c r="C844" s="45" t="str">
        <f>Tabla2[[#This Row],[(id_solicitud-tipo_documento)]]&amp;B844</f>
        <v>14Proposicion1</v>
      </c>
      <c r="D844" s="45">
        <v>846</v>
      </c>
      <c r="E844" s="45">
        <v>14</v>
      </c>
      <c r="F844" s="45" t="s">
        <v>46</v>
      </c>
      <c r="G844" s="45" t="s">
        <v>43</v>
      </c>
      <c r="H844" s="50" t="s">
        <v>24</v>
      </c>
      <c r="I844" s="51">
        <v>819</v>
      </c>
      <c r="J844" s="80"/>
      <c r="K8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819 DP</v>
      </c>
      <c r="L844" s="48">
        <v>44545</v>
      </c>
      <c r="M844" s="48">
        <v>44545</v>
      </c>
      <c r="N844" s="49" t="s">
        <v>82</v>
      </c>
      <c r="O844" s="45">
        <v>1</v>
      </c>
      <c r="P844" s="80" t="s">
        <v>494</v>
      </c>
      <c r="Q844" s="24"/>
      <c r="R844" s="24" t="s">
        <v>24</v>
      </c>
      <c r="S844" s="114"/>
      <c r="T844" s="45"/>
      <c r="U844" s="48"/>
      <c r="V844" s="48"/>
      <c r="W844" s="27"/>
    </row>
    <row r="845" spans="1:23" ht="60" hidden="1" customHeight="1" x14ac:dyDescent="0.25">
      <c r="A845" s="45" t="str">
        <f>CONCATENATE(Tabla2[[#This Row],[id_solicitud]],Tabla2[[#This Row],[tipo]])</f>
        <v>179Decreto</v>
      </c>
      <c r="B845" s="45">
        <f>COUNTIF($A$2:A845,A845)</f>
        <v>1</v>
      </c>
      <c r="C845" s="45" t="str">
        <f>Tabla2[[#This Row],[(id_solicitud-tipo_documento)]]&amp;B845</f>
        <v>179Decreto1</v>
      </c>
      <c r="D845" s="45">
        <v>847</v>
      </c>
      <c r="E845" s="45">
        <v>179</v>
      </c>
      <c r="F845" s="45" t="s">
        <v>47</v>
      </c>
      <c r="G845" s="45" t="s">
        <v>60</v>
      </c>
      <c r="H845" s="50" t="s">
        <v>22</v>
      </c>
      <c r="I845" s="51">
        <v>823</v>
      </c>
      <c r="J845" s="80"/>
      <c r="K8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823 DOP</v>
      </c>
      <c r="L845" s="48">
        <v>44719</v>
      </c>
      <c r="M845" s="48"/>
      <c r="N845" s="49" t="s">
        <v>848</v>
      </c>
      <c r="O845" s="45"/>
      <c r="P845" s="80"/>
      <c r="Q845" s="48"/>
      <c r="R845" s="45"/>
      <c r="S845" s="115">
        <v>365</v>
      </c>
      <c r="T845" s="20">
        <v>44698</v>
      </c>
      <c r="U845" s="20">
        <v>44734</v>
      </c>
      <c r="V845" s="20">
        <v>44734</v>
      </c>
      <c r="W845" s="27"/>
    </row>
    <row r="846" spans="1:23" ht="60" hidden="1" customHeight="1" x14ac:dyDescent="0.25">
      <c r="A846" s="45" t="str">
        <f>CONCATENATE(Tabla2[[#This Row],[id_solicitud]],Tabla2[[#This Row],[tipo]])</f>
        <v>287Resolucion</v>
      </c>
      <c r="B846" s="45">
        <f>COUNTIF($A$2:A846,A846)</f>
        <v>1</v>
      </c>
      <c r="C846" s="45" t="str">
        <f>Tabla2[[#This Row],[(id_solicitud-tipo_documento)]]&amp;B846</f>
        <v>287Resolucion1</v>
      </c>
      <c r="D846" s="45">
        <v>848</v>
      </c>
      <c r="E846" s="45">
        <v>287</v>
      </c>
      <c r="F846" s="45" t="s">
        <v>48</v>
      </c>
      <c r="G846" s="45"/>
      <c r="H846" s="50" t="s">
        <v>541</v>
      </c>
      <c r="I846" s="51">
        <v>823</v>
      </c>
      <c r="J846" s="80"/>
      <c r="K8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46" s="48">
        <v>44750</v>
      </c>
      <c r="M846" s="48"/>
      <c r="N846" s="49"/>
      <c r="O846" s="45"/>
      <c r="P846" s="80"/>
      <c r="Q846" s="48"/>
      <c r="R846" s="45"/>
      <c r="S846" s="114"/>
      <c r="T846" s="45"/>
      <c r="U846" s="48"/>
      <c r="V846" s="48"/>
      <c r="W846" s="27"/>
    </row>
    <row r="847" spans="1:23" ht="60" hidden="1" customHeight="1" x14ac:dyDescent="0.25">
      <c r="A847" s="45" t="str">
        <f>CONCATENATE(Tabla2[[#This Row],[id_solicitud]],Tabla2[[#This Row],[tipo]])</f>
        <v>509Oficio_Solicitud</v>
      </c>
      <c r="B847" s="45">
        <f>COUNTIF($A$2:A847,A847)</f>
        <v>1</v>
      </c>
      <c r="C847" s="45" t="str">
        <f>Tabla2[[#This Row],[(id_solicitud-tipo_documento)]]&amp;B847</f>
        <v>509Oficio_Solicitud1</v>
      </c>
      <c r="D847" s="45">
        <v>849</v>
      </c>
      <c r="E847" s="45">
        <v>509</v>
      </c>
      <c r="F847" s="45" t="s">
        <v>53</v>
      </c>
      <c r="G847" s="45" t="s">
        <v>40</v>
      </c>
      <c r="H847" s="50" t="s">
        <v>22</v>
      </c>
      <c r="I847" s="51">
        <v>824</v>
      </c>
      <c r="J847" s="80"/>
      <c r="K8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824 DOP</v>
      </c>
      <c r="L847" s="48">
        <v>44862</v>
      </c>
      <c r="M847" s="48">
        <v>44863</v>
      </c>
      <c r="N847" s="49" t="s">
        <v>474</v>
      </c>
      <c r="O847" s="45"/>
      <c r="P847" s="80" t="s">
        <v>498</v>
      </c>
      <c r="Q847" s="48"/>
      <c r="R847" s="45"/>
      <c r="S847" s="114"/>
      <c r="T847" s="52"/>
      <c r="U847" s="48"/>
      <c r="V847" s="48"/>
      <c r="W847" s="27"/>
    </row>
    <row r="848" spans="1:23" ht="60" hidden="1" customHeight="1" x14ac:dyDescent="0.25">
      <c r="A848" s="45" t="str">
        <f>CONCATENATE(Tabla2[[#This Row],[id_solicitud]],Tabla2[[#This Row],[tipo]])</f>
        <v>13Proposicion</v>
      </c>
      <c r="B848" s="45">
        <f>COUNTIF($A$2:A848,A848)</f>
        <v>1</v>
      </c>
      <c r="C848" s="45" t="str">
        <f>Tabla2[[#This Row],[(id_solicitud-tipo_documento)]]&amp;B848</f>
        <v>13Proposicion1</v>
      </c>
      <c r="D848" s="45">
        <v>850</v>
      </c>
      <c r="E848" s="45">
        <v>13</v>
      </c>
      <c r="F848" s="45" t="s">
        <v>46</v>
      </c>
      <c r="G848" s="45" t="s">
        <v>43</v>
      </c>
      <c r="H848" s="50" t="s">
        <v>18</v>
      </c>
      <c r="I848" s="51">
        <v>824</v>
      </c>
      <c r="J848" s="80"/>
      <c r="K8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824 DGOP</v>
      </c>
      <c r="L848" s="48">
        <v>44546</v>
      </c>
      <c r="M848" s="48">
        <v>44546</v>
      </c>
      <c r="N848" s="49" t="s">
        <v>81</v>
      </c>
      <c r="O848" s="45"/>
      <c r="P848" s="80" t="s">
        <v>494</v>
      </c>
      <c r="Q848" s="24"/>
      <c r="R848" s="24" t="s">
        <v>24</v>
      </c>
      <c r="S848" s="114"/>
      <c r="T848" s="45"/>
      <c r="U848" s="48"/>
      <c r="V848" s="48"/>
      <c r="W848" s="27"/>
    </row>
    <row r="849" spans="1:23" ht="60" hidden="1" customHeight="1" x14ac:dyDescent="0.25">
      <c r="A849" s="45" t="str">
        <f>CONCATENATE(Tabla2[[#This Row],[id_solicitud]],Tabla2[[#This Row],[tipo]])</f>
        <v>396Oficio_Solicitud</v>
      </c>
      <c r="B849" s="45">
        <f>COUNTIF($A$2:A849,A849)</f>
        <v>1</v>
      </c>
      <c r="C849" s="45" t="str">
        <f>Tabla2[[#This Row],[(id_solicitud-tipo_documento)]]&amp;B849</f>
        <v>396Oficio_Solicitud1</v>
      </c>
      <c r="D849" s="45">
        <v>851</v>
      </c>
      <c r="E849" s="45">
        <v>396</v>
      </c>
      <c r="F849" s="45" t="s">
        <v>53</v>
      </c>
      <c r="G849" s="45" t="s">
        <v>60</v>
      </c>
      <c r="H849" s="50" t="s">
        <v>16</v>
      </c>
      <c r="I849" s="51">
        <v>827</v>
      </c>
      <c r="J849" s="80"/>
      <c r="K8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827 DGC</v>
      </c>
      <c r="L849" s="48">
        <v>44804</v>
      </c>
      <c r="M849" s="48">
        <v>44805</v>
      </c>
      <c r="N849" s="49" t="s">
        <v>392</v>
      </c>
      <c r="O849" s="45">
        <v>10</v>
      </c>
      <c r="P849" s="80" t="s">
        <v>494</v>
      </c>
      <c r="Q849" s="48"/>
      <c r="R849" s="45"/>
      <c r="S849" s="114"/>
      <c r="T849" s="52"/>
      <c r="U849" s="48"/>
      <c r="V849" s="48"/>
      <c r="W849" s="27"/>
    </row>
    <row r="850" spans="1:23" ht="60" hidden="1" customHeight="1" x14ac:dyDescent="0.25">
      <c r="A850" s="45" t="str">
        <f>CONCATENATE(Tabla2[[#This Row],[id_solicitud]],Tabla2[[#This Row],[tipo]])</f>
        <v>15Proposicion</v>
      </c>
      <c r="B850" s="45">
        <f>COUNTIF($A$2:A850,A850)</f>
        <v>1</v>
      </c>
      <c r="C850" s="45" t="str">
        <f>Tabla2[[#This Row],[(id_solicitud-tipo_documento)]]&amp;B850</f>
        <v>15Proposicion1</v>
      </c>
      <c r="D850" s="45">
        <v>852</v>
      </c>
      <c r="E850" s="45">
        <v>15</v>
      </c>
      <c r="F850" s="45" t="s">
        <v>46</v>
      </c>
      <c r="G850" s="45" t="s">
        <v>43</v>
      </c>
      <c r="H850" s="50" t="s">
        <v>541</v>
      </c>
      <c r="I850" s="51">
        <v>827</v>
      </c>
      <c r="J850" s="80"/>
      <c r="K8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827 DOP_FETCovid19</v>
      </c>
      <c r="L850" s="48">
        <v>44550</v>
      </c>
      <c r="M850" s="48">
        <v>44550</v>
      </c>
      <c r="N850" s="49" t="s">
        <v>83</v>
      </c>
      <c r="O850" s="45">
        <v>5</v>
      </c>
      <c r="P850" s="80" t="s">
        <v>494</v>
      </c>
      <c r="Q850" s="24"/>
      <c r="R850" s="24" t="s">
        <v>24</v>
      </c>
      <c r="S850" s="114"/>
      <c r="T850" s="45"/>
      <c r="U850" s="48"/>
      <c r="V850" s="48"/>
      <c r="W850" s="27"/>
    </row>
    <row r="851" spans="1:23" ht="60" hidden="1" customHeight="1" x14ac:dyDescent="0.25">
      <c r="A851" s="45" t="str">
        <f>CONCATENATE(Tabla2[[#This Row],[id_solicitud]],Tabla2[[#This Row],[tipo]])</f>
        <v>174Decreto</v>
      </c>
      <c r="B851" s="45">
        <f>COUNTIF($A$2:A851,A851)</f>
        <v>1</v>
      </c>
      <c r="C851" s="45" t="str">
        <f>Tabla2[[#This Row],[(id_solicitud-tipo_documento)]]&amp;B851</f>
        <v>174Decreto1</v>
      </c>
      <c r="D851" s="45">
        <v>853</v>
      </c>
      <c r="E851" s="45">
        <v>174</v>
      </c>
      <c r="F851" s="45" t="s">
        <v>47</v>
      </c>
      <c r="G851" s="45" t="s">
        <v>60</v>
      </c>
      <c r="H851" s="50" t="s">
        <v>535</v>
      </c>
      <c r="I851" s="51">
        <v>827</v>
      </c>
      <c r="J851" s="80"/>
      <c r="K8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827 DOH_FETCovid19</v>
      </c>
      <c r="L851" s="48">
        <v>44719</v>
      </c>
      <c r="M851" s="48"/>
      <c r="N851" s="49" t="s">
        <v>845</v>
      </c>
      <c r="O851" s="45"/>
      <c r="P851" s="80"/>
      <c r="Q851" s="48"/>
      <c r="R851" s="45"/>
      <c r="S851" s="115">
        <v>374</v>
      </c>
      <c r="T851" s="20">
        <v>44701</v>
      </c>
      <c r="U851" s="20">
        <v>44727</v>
      </c>
      <c r="V851" s="20">
        <v>44727</v>
      </c>
      <c r="W851" s="27"/>
    </row>
    <row r="852" spans="1:23" ht="60" hidden="1" customHeight="1" x14ac:dyDescent="0.25">
      <c r="A852" s="45" t="str">
        <f>CONCATENATE(Tabla2[[#This Row],[id_solicitud]],Tabla2[[#This Row],[tipo]])</f>
        <v>237Resolucion</v>
      </c>
      <c r="B852" s="45">
        <f>COUNTIF($A$2:A852,A852)</f>
        <v>1</v>
      </c>
      <c r="C852" s="45" t="str">
        <f>Tabla2[[#This Row],[(id_solicitud-tipo_documento)]]&amp;B852</f>
        <v>237Resolucion1</v>
      </c>
      <c r="D852" s="45">
        <v>854</v>
      </c>
      <c r="E852" s="45">
        <v>237</v>
      </c>
      <c r="F852" s="45" t="s">
        <v>48</v>
      </c>
      <c r="G852" s="45"/>
      <c r="H852" s="50" t="s">
        <v>8</v>
      </c>
      <c r="I852" s="51">
        <v>830</v>
      </c>
      <c r="J852" s="80"/>
      <c r="K8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52" s="48">
        <v>44776</v>
      </c>
      <c r="M852" s="48"/>
      <c r="N852" s="49"/>
      <c r="O852" s="45"/>
      <c r="P852" s="80"/>
      <c r="Q852" s="48"/>
      <c r="R852" s="45"/>
      <c r="S852" s="114"/>
      <c r="T852" s="45"/>
      <c r="U852" s="48"/>
      <c r="V852" s="48"/>
      <c r="W852" s="27"/>
    </row>
    <row r="853" spans="1:23" ht="60" hidden="1" customHeight="1" x14ac:dyDescent="0.25">
      <c r="A853" s="45" t="str">
        <f>CONCATENATE(Tabla2[[#This Row],[id_solicitud]],Tabla2[[#This Row],[tipo]])</f>
        <v>3Proposicion</v>
      </c>
      <c r="B853" s="45">
        <f>COUNTIF($A$2:A853,A853)</f>
        <v>1</v>
      </c>
      <c r="C853" s="45" t="str">
        <f>Tabla2[[#This Row],[(id_solicitud-tipo_documento)]]&amp;B853</f>
        <v>3Proposicion1</v>
      </c>
      <c r="D853" s="45">
        <v>855</v>
      </c>
      <c r="E853" s="45">
        <v>3</v>
      </c>
      <c r="F853" s="45" t="s">
        <v>46</v>
      </c>
      <c r="G853" s="45" t="s">
        <v>43</v>
      </c>
      <c r="H853" s="50" t="s">
        <v>22</v>
      </c>
      <c r="I853" s="51">
        <v>834</v>
      </c>
      <c r="J853" s="80"/>
      <c r="K8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834 DOP</v>
      </c>
      <c r="L853" s="48">
        <v>44550</v>
      </c>
      <c r="M853" s="48">
        <v>44551</v>
      </c>
      <c r="N853" s="49" t="s">
        <v>71</v>
      </c>
      <c r="O853" s="45">
        <v>72</v>
      </c>
      <c r="P853" s="80" t="s">
        <v>494</v>
      </c>
      <c r="Q853" s="24"/>
      <c r="R853" s="24" t="s">
        <v>24</v>
      </c>
      <c r="S853" s="114"/>
      <c r="T853" s="45"/>
      <c r="U853" s="48"/>
      <c r="V853" s="48"/>
      <c r="W853" s="27"/>
    </row>
    <row r="854" spans="1:23" ht="60" hidden="1" customHeight="1" x14ac:dyDescent="0.25">
      <c r="A854" s="45" t="str">
        <f>CONCATENATE(Tabla2[[#This Row],[id_solicitud]],Tabla2[[#This Row],[tipo]])</f>
        <v>143Resolucion</v>
      </c>
      <c r="B854" s="45">
        <f>COUNTIF($A$2:A854,A854)</f>
        <v>1</v>
      </c>
      <c r="C854" s="45" t="str">
        <f>Tabla2[[#This Row],[(id_solicitud-tipo_documento)]]&amp;B854</f>
        <v>143Resolucion1</v>
      </c>
      <c r="D854" s="45">
        <v>856</v>
      </c>
      <c r="E854" s="45">
        <v>143</v>
      </c>
      <c r="F854" s="45" t="s">
        <v>48</v>
      </c>
      <c r="G854" s="45"/>
      <c r="H854" s="50" t="s">
        <v>538</v>
      </c>
      <c r="I854" s="51">
        <v>834</v>
      </c>
      <c r="J854" s="80"/>
      <c r="K8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54" s="48">
        <v>44662</v>
      </c>
      <c r="M854" s="48"/>
      <c r="N854" s="49"/>
      <c r="O854" s="45"/>
      <c r="P854" s="80"/>
      <c r="Q854" s="48"/>
      <c r="R854" s="45"/>
      <c r="S854" s="114"/>
      <c r="T854" s="45"/>
      <c r="U854" s="48"/>
      <c r="V854" s="48"/>
      <c r="W854" s="27"/>
    </row>
    <row r="855" spans="1:23" ht="60" hidden="1" customHeight="1" x14ac:dyDescent="0.25">
      <c r="A855" s="45" t="str">
        <f>CONCATENATE(Tabla2[[#This Row],[id_solicitud]],Tabla2[[#This Row],[tipo]])</f>
        <v>4Proposicion</v>
      </c>
      <c r="B855" s="45">
        <f>COUNTIF($A$2:A855,A855)</f>
        <v>1</v>
      </c>
      <c r="C855" s="45" t="str">
        <f>Tabla2[[#This Row],[(id_solicitud-tipo_documento)]]&amp;B855</f>
        <v>4Proposicion1</v>
      </c>
      <c r="D855" s="45">
        <v>857</v>
      </c>
      <c r="E855" s="45">
        <v>4</v>
      </c>
      <c r="F855" s="45" t="s">
        <v>46</v>
      </c>
      <c r="G855" s="45" t="s">
        <v>43</v>
      </c>
      <c r="H855" s="50" t="s">
        <v>541</v>
      </c>
      <c r="I855" s="51">
        <v>835</v>
      </c>
      <c r="J855" s="80"/>
      <c r="K8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835 DOP_FETCovid19</v>
      </c>
      <c r="L855" s="48">
        <v>44915</v>
      </c>
      <c r="M855" s="48">
        <v>44916</v>
      </c>
      <c r="N855" s="49" t="s">
        <v>72</v>
      </c>
      <c r="O855" s="45">
        <v>11</v>
      </c>
      <c r="P855" s="80" t="s">
        <v>494</v>
      </c>
      <c r="Q855" s="24"/>
      <c r="R855" s="24" t="s">
        <v>24</v>
      </c>
      <c r="S855" s="114"/>
      <c r="T855" s="45"/>
      <c r="U855" s="48"/>
      <c r="V855" s="48"/>
      <c r="W855" s="27"/>
    </row>
    <row r="856" spans="1:23" ht="60" hidden="1" customHeight="1" x14ac:dyDescent="0.25">
      <c r="A856" s="45" t="str">
        <f>CONCATENATE(Tabla2[[#This Row],[id_solicitud]],Tabla2[[#This Row],[tipo]])</f>
        <v>137Resolucion</v>
      </c>
      <c r="B856" s="45">
        <f>COUNTIF($A$2:A856,A856)</f>
        <v>1</v>
      </c>
      <c r="C856" s="45" t="str">
        <f>Tabla2[[#This Row],[(id_solicitud-tipo_documento)]]&amp;B856</f>
        <v>137Resolucion1</v>
      </c>
      <c r="D856" s="45">
        <v>858</v>
      </c>
      <c r="E856" s="45">
        <v>137</v>
      </c>
      <c r="F856" s="45" t="s">
        <v>48</v>
      </c>
      <c r="G856" s="45"/>
      <c r="H856" s="50" t="s">
        <v>26</v>
      </c>
      <c r="I856" s="51">
        <v>835</v>
      </c>
      <c r="J856" s="80"/>
      <c r="K8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56" s="48">
        <v>44662</v>
      </c>
      <c r="M856" s="48"/>
      <c r="N856" s="49"/>
      <c r="O856" s="45"/>
      <c r="P856" s="80"/>
      <c r="Q856" s="48"/>
      <c r="R856" s="45"/>
      <c r="S856" s="114"/>
      <c r="T856" s="45"/>
      <c r="U856" s="48"/>
      <c r="V856" s="48"/>
      <c r="W856" s="27"/>
    </row>
    <row r="857" spans="1:23" ht="60" hidden="1" customHeight="1" x14ac:dyDescent="0.25">
      <c r="A857" s="45" t="str">
        <f>CONCATENATE(Tabla2[[#This Row],[id_solicitud]],Tabla2[[#This Row],[tipo]])</f>
        <v>238Decreto</v>
      </c>
      <c r="B857" s="45">
        <f>COUNTIF($A$2:A857,A857)</f>
        <v>1</v>
      </c>
      <c r="C857" s="45" t="str">
        <f>Tabla2[[#This Row],[(id_solicitud-tipo_documento)]]&amp;B857</f>
        <v>238Decreto1</v>
      </c>
      <c r="D857" s="45">
        <v>859</v>
      </c>
      <c r="E857" s="45">
        <v>238</v>
      </c>
      <c r="F857" s="45" t="s">
        <v>47</v>
      </c>
      <c r="G857" s="45" t="s">
        <v>40</v>
      </c>
      <c r="H857" s="50" t="s">
        <v>547</v>
      </c>
      <c r="I857" s="51">
        <v>835</v>
      </c>
      <c r="J857" s="80"/>
      <c r="K8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835 DGOP_FETCovid19</v>
      </c>
      <c r="L857" s="48">
        <v>44720</v>
      </c>
      <c r="M857" s="48"/>
      <c r="N857" s="49" t="s">
        <v>880</v>
      </c>
      <c r="O857" s="45"/>
      <c r="P857" s="80"/>
      <c r="Q857" s="48"/>
      <c r="R857" s="45"/>
      <c r="S857" s="115">
        <v>440</v>
      </c>
      <c r="T857" s="20">
        <v>44718</v>
      </c>
      <c r="U857" s="20">
        <v>44727</v>
      </c>
      <c r="V857" s="20">
        <v>44727</v>
      </c>
      <c r="W857" s="27"/>
    </row>
    <row r="858" spans="1:23" ht="60" hidden="1" customHeight="1" x14ac:dyDescent="0.25">
      <c r="A858" s="45" t="str">
        <f>CONCATENATE(Tabla2[[#This Row],[id_solicitud]],Tabla2[[#This Row],[tipo]])</f>
        <v>18Proposicion</v>
      </c>
      <c r="B858" s="45">
        <f>COUNTIF($A$2:A858,A858)</f>
        <v>1</v>
      </c>
      <c r="C858" s="45" t="str">
        <f>Tabla2[[#This Row],[(id_solicitud-tipo_documento)]]&amp;B858</f>
        <v>18Proposicion1</v>
      </c>
      <c r="D858" s="45">
        <v>860</v>
      </c>
      <c r="E858" s="45">
        <v>18</v>
      </c>
      <c r="F858" s="45" t="s">
        <v>46</v>
      </c>
      <c r="G858" s="45" t="s">
        <v>43</v>
      </c>
      <c r="H858" s="50" t="s">
        <v>10</v>
      </c>
      <c r="I858" s="51">
        <v>836</v>
      </c>
      <c r="J858" s="80"/>
      <c r="K8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836 DAP</v>
      </c>
      <c r="L858" s="48">
        <v>44551</v>
      </c>
      <c r="M858" s="48">
        <v>44551</v>
      </c>
      <c r="N858" s="49" t="s">
        <v>86</v>
      </c>
      <c r="O858" s="45">
        <v>11</v>
      </c>
      <c r="P858" s="80" t="s">
        <v>494</v>
      </c>
      <c r="Q858" s="24"/>
      <c r="R858" s="24" t="s">
        <v>24</v>
      </c>
      <c r="S858" s="114"/>
      <c r="T858" s="45"/>
      <c r="U858" s="48"/>
      <c r="V858" s="48"/>
      <c r="W858" s="27"/>
    </row>
    <row r="859" spans="1:23" ht="60" hidden="1" customHeight="1" x14ac:dyDescent="0.25">
      <c r="A859" s="45" t="str">
        <f>CONCATENATE(Tabla2[[#This Row],[id_solicitud]],Tabla2[[#This Row],[tipo]])</f>
        <v>12Proposicion</v>
      </c>
      <c r="B859" s="45">
        <f>COUNTIF($A$2:A859,A859)</f>
        <v>1</v>
      </c>
      <c r="C859" s="45" t="str">
        <f>Tabla2[[#This Row],[(id_solicitud-tipo_documento)]]&amp;B859</f>
        <v>12Proposicion1</v>
      </c>
      <c r="D859" s="45">
        <v>861</v>
      </c>
      <c r="E859" s="45">
        <v>12</v>
      </c>
      <c r="F859" s="45" t="s">
        <v>46</v>
      </c>
      <c r="G859" s="45" t="s">
        <v>43</v>
      </c>
      <c r="H859" s="50" t="s">
        <v>565</v>
      </c>
      <c r="I859" s="51">
        <v>838</v>
      </c>
      <c r="J859" s="80"/>
      <c r="K8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838 DGA_FETCovid19</v>
      </c>
      <c r="L859" s="48">
        <v>44551</v>
      </c>
      <c r="M859" s="48">
        <v>44551</v>
      </c>
      <c r="N859" s="49" t="s">
        <v>80</v>
      </c>
      <c r="O859" s="45">
        <v>4</v>
      </c>
      <c r="P859" s="80" t="s">
        <v>494</v>
      </c>
      <c r="Q859" s="24"/>
      <c r="R859" s="24" t="s">
        <v>24</v>
      </c>
      <c r="S859" s="114"/>
      <c r="T859" s="45"/>
      <c r="U859" s="48"/>
      <c r="V859" s="48"/>
      <c r="W859" s="27"/>
    </row>
    <row r="860" spans="1:23" ht="60" hidden="1" customHeight="1" x14ac:dyDescent="0.25">
      <c r="A860" s="45" t="str">
        <f>CONCATENATE(Tabla2[[#This Row],[id_solicitud]],Tabla2[[#This Row],[tipo]])</f>
        <v>92Oficio_Solicitud</v>
      </c>
      <c r="B860" s="45">
        <f>COUNTIF($A$2:A860,A860)</f>
        <v>1</v>
      </c>
      <c r="C860" s="45" t="str">
        <f>Tabla2[[#This Row],[(id_solicitud-tipo_documento)]]&amp;B860</f>
        <v>92Oficio_Solicitud1</v>
      </c>
      <c r="D860" s="45">
        <v>862</v>
      </c>
      <c r="E860" s="45">
        <v>92</v>
      </c>
      <c r="F860" s="45" t="s">
        <v>53</v>
      </c>
      <c r="G860" s="45" t="s">
        <v>40</v>
      </c>
      <c r="H860" s="50" t="s">
        <v>28</v>
      </c>
      <c r="I860" s="51">
        <v>839</v>
      </c>
      <c r="J860" s="80"/>
      <c r="K8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839 FISC</v>
      </c>
      <c r="L860" s="48">
        <v>44617</v>
      </c>
      <c r="M860" s="48">
        <v>44620</v>
      </c>
      <c r="N860" s="49" t="s">
        <v>143</v>
      </c>
      <c r="O860" s="45"/>
      <c r="P860" s="80" t="s">
        <v>498</v>
      </c>
      <c r="Q860" s="48">
        <v>44620</v>
      </c>
      <c r="R860" s="45"/>
      <c r="S860" s="114"/>
      <c r="T860" s="52"/>
      <c r="U860" s="48"/>
      <c r="V860" s="48"/>
      <c r="W860" s="27"/>
    </row>
    <row r="861" spans="1:23" ht="60" hidden="1" customHeight="1" x14ac:dyDescent="0.25">
      <c r="A861" s="45" t="str">
        <f>CONCATENATE(Tabla2[[#This Row],[id_solicitud]],Tabla2[[#This Row],[tipo]])</f>
        <v>11Proposicion</v>
      </c>
      <c r="B861" s="45">
        <f>COUNTIF($A$2:A861,A861)</f>
        <v>1</v>
      </c>
      <c r="C861" s="45" t="str">
        <f>Tabla2[[#This Row],[(id_solicitud-tipo_documento)]]&amp;B861</f>
        <v>11Proposicion1</v>
      </c>
      <c r="D861" s="45">
        <v>863</v>
      </c>
      <c r="E861" s="45">
        <v>11</v>
      </c>
      <c r="F861" s="45" t="s">
        <v>46</v>
      </c>
      <c r="G861" s="45" t="s">
        <v>43</v>
      </c>
      <c r="H861" s="50" t="s">
        <v>14</v>
      </c>
      <c r="I861" s="51">
        <v>839</v>
      </c>
      <c r="J861" s="80"/>
      <c r="K8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839 DGA</v>
      </c>
      <c r="L861" s="48">
        <v>44551</v>
      </c>
      <c r="M861" s="48">
        <v>44551</v>
      </c>
      <c r="N861" s="49" t="s">
        <v>79</v>
      </c>
      <c r="O861" s="45">
        <v>6</v>
      </c>
      <c r="P861" s="80" t="s">
        <v>494</v>
      </c>
      <c r="Q861" s="24"/>
      <c r="R861" s="24" t="s">
        <v>24</v>
      </c>
      <c r="S861" s="114"/>
      <c r="T861" s="45"/>
      <c r="U861" s="48"/>
      <c r="V861" s="48"/>
      <c r="W861" s="27"/>
    </row>
    <row r="862" spans="1:23" ht="60" hidden="1" customHeight="1" x14ac:dyDescent="0.25">
      <c r="A862" s="45" t="str">
        <f>CONCATENATE(Tabla2[[#This Row],[id_solicitud]],Tabla2[[#This Row],[tipo]])</f>
        <v>183Decreto</v>
      </c>
      <c r="B862" s="45">
        <f>COUNTIF($A$2:A862,A862)</f>
        <v>1</v>
      </c>
      <c r="C862" s="45" t="str">
        <f>Tabla2[[#This Row],[(id_solicitud-tipo_documento)]]&amp;B862</f>
        <v>183Decreto1</v>
      </c>
      <c r="D862" s="45">
        <v>864</v>
      </c>
      <c r="E862" s="45">
        <v>183</v>
      </c>
      <c r="F862" s="45" t="s">
        <v>47</v>
      </c>
      <c r="G862" s="45" t="s">
        <v>60</v>
      </c>
      <c r="H862" s="50" t="s">
        <v>6</v>
      </c>
      <c r="I862" s="51">
        <v>839</v>
      </c>
      <c r="J862" s="80"/>
      <c r="K8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839 APR</v>
      </c>
      <c r="L862" s="48">
        <v>44722</v>
      </c>
      <c r="M862" s="48"/>
      <c r="N862" s="49">
        <f>E862</f>
        <v>183</v>
      </c>
      <c r="O862" s="45"/>
      <c r="P862" s="80"/>
      <c r="Q862" s="48"/>
      <c r="R862" s="45"/>
      <c r="S862" s="115">
        <v>399</v>
      </c>
      <c r="T862" s="20">
        <v>44708</v>
      </c>
      <c r="U862" s="20">
        <v>44741</v>
      </c>
      <c r="V862" s="20">
        <v>44741</v>
      </c>
      <c r="W862" s="27"/>
    </row>
    <row r="863" spans="1:23" ht="60" hidden="1" customHeight="1" x14ac:dyDescent="0.25">
      <c r="A863" s="45" t="str">
        <f>CONCATENATE(Tabla2[[#This Row],[id_solicitud]],Tabla2[[#This Row],[tipo]])</f>
        <v>25Proposicion</v>
      </c>
      <c r="B863" s="45">
        <f>COUNTIF($A$2:A863,A863)</f>
        <v>1</v>
      </c>
      <c r="C863" s="45" t="str">
        <f>Tabla2[[#This Row],[(id_solicitud-tipo_documento)]]&amp;B863</f>
        <v>25Proposicion1</v>
      </c>
      <c r="D863" s="45">
        <v>865</v>
      </c>
      <c r="E863" s="45">
        <v>25</v>
      </c>
      <c r="F863" s="45" t="s">
        <v>46</v>
      </c>
      <c r="G863" s="45" t="s">
        <v>43</v>
      </c>
      <c r="H863" s="50" t="s">
        <v>22</v>
      </c>
      <c r="I863" s="51">
        <v>840</v>
      </c>
      <c r="J863" s="80"/>
      <c r="K8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840 DOP</v>
      </c>
      <c r="L863" s="48">
        <v>44551</v>
      </c>
      <c r="M863" s="48">
        <v>44551</v>
      </c>
      <c r="N863" s="49" t="s">
        <v>93</v>
      </c>
      <c r="O863" s="45">
        <v>17</v>
      </c>
      <c r="P863" s="80" t="s">
        <v>494</v>
      </c>
      <c r="Q863" s="24"/>
      <c r="R863" s="24" t="s">
        <v>24</v>
      </c>
      <c r="S863" s="114"/>
      <c r="T863" s="45"/>
      <c r="U863" s="48"/>
      <c r="V863" s="48"/>
      <c r="W863" s="27"/>
    </row>
    <row r="864" spans="1:23" ht="60" hidden="1" customHeight="1" x14ac:dyDescent="0.25">
      <c r="A864" s="45" t="str">
        <f>CONCATENATE(Tabla2[[#This Row],[id_solicitud]],Tabla2[[#This Row],[tipo]])</f>
        <v>24Proposicion</v>
      </c>
      <c r="B864" s="45">
        <f>COUNTIF($A$2:A864,A864)</f>
        <v>1</v>
      </c>
      <c r="C864" s="45" t="str">
        <f>Tabla2[[#This Row],[(id_solicitud-tipo_documento)]]&amp;B864</f>
        <v>24Proposicion1</v>
      </c>
      <c r="D864" s="45">
        <v>866</v>
      </c>
      <c r="E864" s="45">
        <v>24</v>
      </c>
      <c r="F864" s="45" t="s">
        <v>46</v>
      </c>
      <c r="G864" s="45" t="s">
        <v>43</v>
      </c>
      <c r="H864" s="50" t="s">
        <v>544</v>
      </c>
      <c r="I864" s="51">
        <v>845</v>
      </c>
      <c r="J864" s="80"/>
      <c r="K8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845 DAP_FETCovid19</v>
      </c>
      <c r="L864" s="48">
        <v>44552</v>
      </c>
      <c r="M864" s="48">
        <v>44552</v>
      </c>
      <c r="N864" s="49" t="s">
        <v>92</v>
      </c>
      <c r="O864" s="45">
        <v>9</v>
      </c>
      <c r="P864" s="80" t="s">
        <v>494</v>
      </c>
      <c r="Q864" s="24"/>
      <c r="R864" s="24" t="s">
        <v>24</v>
      </c>
      <c r="S864" s="114"/>
      <c r="T864" s="45"/>
      <c r="U864" s="48"/>
      <c r="V864" s="48"/>
      <c r="W864" s="27"/>
    </row>
    <row r="865" spans="1:23" ht="60" hidden="1" customHeight="1" x14ac:dyDescent="0.25">
      <c r="A865" s="45" t="str">
        <f>CONCATENATE(Tabla2[[#This Row],[id_solicitud]],Tabla2[[#This Row],[tipo]])</f>
        <v>26Proposicion</v>
      </c>
      <c r="B865" s="45">
        <f>COUNTIF($A$2:A865,A865)</f>
        <v>1</v>
      </c>
      <c r="C865" s="45" t="str">
        <f>Tabla2[[#This Row],[(id_solicitud-tipo_documento)]]&amp;B865</f>
        <v>26Proposicion1</v>
      </c>
      <c r="D865" s="45">
        <v>867</v>
      </c>
      <c r="E865" s="45">
        <v>26</v>
      </c>
      <c r="F865" s="45" t="s">
        <v>46</v>
      </c>
      <c r="G865" s="45" t="s">
        <v>43</v>
      </c>
      <c r="H865" s="50" t="s">
        <v>559</v>
      </c>
      <c r="I865" s="51">
        <v>847</v>
      </c>
      <c r="J865" s="80"/>
      <c r="K8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847 APR_FETCovid19</v>
      </c>
      <c r="L865" s="48">
        <v>44553</v>
      </c>
      <c r="M865" s="48">
        <v>44554</v>
      </c>
      <c r="N865" s="49" t="s">
        <v>94</v>
      </c>
      <c r="O865" s="45">
        <v>87</v>
      </c>
      <c r="P865" s="80" t="s">
        <v>494</v>
      </c>
      <c r="Q865" s="24"/>
      <c r="R865" s="24" t="s">
        <v>24</v>
      </c>
      <c r="S865" s="114"/>
      <c r="T865" s="45"/>
      <c r="U865" s="48"/>
      <c r="V865" s="48"/>
      <c r="W865" s="27"/>
    </row>
    <row r="866" spans="1:23" ht="60" hidden="1" customHeight="1" x14ac:dyDescent="0.25">
      <c r="A866" s="45" t="str">
        <f>CONCATENATE(Tabla2[[#This Row],[id_solicitud]],Tabla2[[#This Row],[tipo]])</f>
        <v>22Proposicion</v>
      </c>
      <c r="B866" s="45">
        <f>COUNTIF($A$2:A866,A866)</f>
        <v>1</v>
      </c>
      <c r="C866" s="45" t="str">
        <f>Tabla2[[#This Row],[(id_solicitud-tipo_documento)]]&amp;B866</f>
        <v>22Proposicion1</v>
      </c>
      <c r="D866" s="45">
        <v>868</v>
      </c>
      <c r="E866" s="45">
        <v>22</v>
      </c>
      <c r="F866" s="45" t="s">
        <v>46</v>
      </c>
      <c r="G866" s="45" t="s">
        <v>57</v>
      </c>
      <c r="H866" s="50" t="s">
        <v>562</v>
      </c>
      <c r="I866" s="51">
        <v>848</v>
      </c>
      <c r="J866" s="80"/>
      <c r="K8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848 DGC_FETCovid19</v>
      </c>
      <c r="L866" s="48">
        <v>44553</v>
      </c>
      <c r="M866" s="48">
        <v>44553</v>
      </c>
      <c r="N866" s="49" t="s">
        <v>613</v>
      </c>
      <c r="O866" s="45">
        <v>2</v>
      </c>
      <c r="P866" s="80" t="s">
        <v>494</v>
      </c>
      <c r="Q866" s="24"/>
      <c r="R866" s="24" t="s">
        <v>24</v>
      </c>
      <c r="S866" s="114"/>
      <c r="T866" s="45"/>
      <c r="U866" s="48"/>
      <c r="V866" s="48"/>
      <c r="W866" s="27"/>
    </row>
    <row r="867" spans="1:23" ht="60" hidden="1" customHeight="1" x14ac:dyDescent="0.25">
      <c r="A867" s="45" t="str">
        <f>CONCATENATE(Tabla2[[#This Row],[id_solicitud]],Tabla2[[#This Row],[tipo]])</f>
        <v>52Proposicion</v>
      </c>
      <c r="B867" s="45">
        <f>COUNTIF($A$2:A867,A867)</f>
        <v>1</v>
      </c>
      <c r="C867" s="45" t="str">
        <f>Tabla2[[#This Row],[(id_solicitud-tipo_documento)]]&amp;B867</f>
        <v>52Proposicion1</v>
      </c>
      <c r="D867" s="45">
        <v>869</v>
      </c>
      <c r="E867" s="45">
        <v>52</v>
      </c>
      <c r="F867" s="45" t="s">
        <v>46</v>
      </c>
      <c r="G867" s="45" t="s">
        <v>57</v>
      </c>
      <c r="H867" s="50" t="s">
        <v>16</v>
      </c>
      <c r="I867" s="51">
        <v>848</v>
      </c>
      <c r="J867" s="80"/>
      <c r="K8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848 DGC</v>
      </c>
      <c r="L867" s="48">
        <v>44553</v>
      </c>
      <c r="M867" s="48">
        <v>44553</v>
      </c>
      <c r="N867" s="49" t="s">
        <v>628</v>
      </c>
      <c r="O867" s="45">
        <v>1</v>
      </c>
      <c r="P867" s="80" t="s">
        <v>494</v>
      </c>
      <c r="Q867" s="24"/>
      <c r="R867" s="24" t="s">
        <v>24</v>
      </c>
      <c r="S867" s="114"/>
      <c r="T867" s="45"/>
      <c r="U867" s="48"/>
      <c r="V867" s="48"/>
      <c r="W867" s="27"/>
    </row>
    <row r="868" spans="1:23" ht="60" hidden="1" customHeight="1" x14ac:dyDescent="0.25">
      <c r="A868" s="45" t="str">
        <f>CONCATENATE(Tabla2[[#This Row],[id_solicitud]],Tabla2[[#This Row],[tipo]])</f>
        <v>289Resolucion</v>
      </c>
      <c r="B868" s="45">
        <f>COUNTIF($A$2:A868,A868)</f>
        <v>1</v>
      </c>
      <c r="C868" s="45" t="str">
        <f>Tabla2[[#This Row],[(id_solicitud-tipo_documento)]]&amp;B868</f>
        <v>289Resolucion1</v>
      </c>
      <c r="D868" s="45">
        <v>870</v>
      </c>
      <c r="E868" s="45">
        <v>289</v>
      </c>
      <c r="F868" s="45" t="s">
        <v>48</v>
      </c>
      <c r="G868" s="45"/>
      <c r="H868" s="50" t="s">
        <v>8</v>
      </c>
      <c r="I868" s="51">
        <v>850</v>
      </c>
      <c r="J868" s="80"/>
      <c r="K8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68" s="48">
        <v>44778</v>
      </c>
      <c r="M868" s="48"/>
      <c r="N868" s="49"/>
      <c r="O868" s="45"/>
      <c r="P868" s="80"/>
      <c r="Q868" s="48"/>
      <c r="R868" s="45"/>
      <c r="S868" s="114"/>
      <c r="T868" s="45"/>
      <c r="U868" s="48"/>
      <c r="V868" s="48"/>
      <c r="W868" s="27"/>
    </row>
    <row r="869" spans="1:23" ht="60" hidden="1" customHeight="1" x14ac:dyDescent="0.25">
      <c r="A869" s="45" t="str">
        <f>CONCATENATE(Tabla2[[#This Row],[id_solicitud]],Tabla2[[#This Row],[tipo]])</f>
        <v>180Decreto</v>
      </c>
      <c r="B869" s="45">
        <f>COUNTIF($A$2:A869,A869)</f>
        <v>1</v>
      </c>
      <c r="C869" s="45" t="str">
        <f>Tabla2[[#This Row],[(id_solicitud-tipo_documento)]]&amp;B869</f>
        <v>180Decreto1</v>
      </c>
      <c r="D869" s="45">
        <v>871</v>
      </c>
      <c r="E869" s="45">
        <v>180</v>
      </c>
      <c r="F869" s="45" t="s">
        <v>47</v>
      </c>
      <c r="G869" s="45" t="s">
        <v>60</v>
      </c>
      <c r="H869" s="50" t="s">
        <v>10</v>
      </c>
      <c r="I869" s="51">
        <v>853</v>
      </c>
      <c r="J869" s="80"/>
      <c r="K8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853 DAP</v>
      </c>
      <c r="L869" s="48">
        <v>44722</v>
      </c>
      <c r="M869" s="48"/>
      <c r="N869" s="49" t="s">
        <v>849</v>
      </c>
      <c r="O869" s="45"/>
      <c r="P869" s="80"/>
      <c r="Q869" s="48"/>
      <c r="R869" s="45"/>
      <c r="S869" s="115">
        <v>368</v>
      </c>
      <c r="T869" s="20">
        <v>44713</v>
      </c>
      <c r="U869" s="20">
        <v>44728</v>
      </c>
      <c r="V869" s="20">
        <v>44608</v>
      </c>
      <c r="W869" s="27"/>
    </row>
    <row r="870" spans="1:23" ht="60" hidden="1" customHeight="1" x14ac:dyDescent="0.25">
      <c r="A870" s="45" t="str">
        <f>CONCATENATE(Tabla2[[#This Row],[id_solicitud]],Tabla2[[#This Row],[tipo]])</f>
        <v>152Decreto</v>
      </c>
      <c r="B870" s="45">
        <f>COUNTIF($A$2:A870,A870)</f>
        <v>1</v>
      </c>
      <c r="C870" s="45" t="str">
        <f>Tabla2[[#This Row],[(id_solicitud-tipo_documento)]]&amp;B870</f>
        <v>152Decreto1</v>
      </c>
      <c r="D870" s="45">
        <v>872</v>
      </c>
      <c r="E870" s="45">
        <v>152</v>
      </c>
      <c r="F870" s="45" t="s">
        <v>47</v>
      </c>
      <c r="G870" s="45" t="s">
        <v>60</v>
      </c>
      <c r="H870" s="50" t="s">
        <v>26</v>
      </c>
      <c r="I870" s="51">
        <v>854</v>
      </c>
      <c r="J870" s="80"/>
      <c r="K8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854 DV</v>
      </c>
      <c r="L870" s="48">
        <v>44722</v>
      </c>
      <c r="M870" s="48"/>
      <c r="N870" s="49" t="s">
        <v>833</v>
      </c>
      <c r="O870" s="45"/>
      <c r="P870" s="80"/>
      <c r="Q870" s="48"/>
      <c r="R870" s="45"/>
      <c r="S870" s="115">
        <v>331</v>
      </c>
      <c r="T870" s="20">
        <v>44707</v>
      </c>
      <c r="U870" s="20">
        <v>44740</v>
      </c>
      <c r="V870" s="20">
        <v>44740</v>
      </c>
      <c r="W870" s="27"/>
    </row>
    <row r="871" spans="1:23" ht="60" hidden="1" customHeight="1" x14ac:dyDescent="0.25">
      <c r="A871" s="45" t="str">
        <f>CONCATENATE(Tabla2[[#This Row],[id_solicitud]],Tabla2[[#This Row],[tipo]])</f>
        <v>16Proposicion</v>
      </c>
      <c r="B871" s="45">
        <f>COUNTIF($A$2:A871,A871)</f>
        <v>1</v>
      </c>
      <c r="C871" s="45" t="str">
        <f>Tabla2[[#This Row],[(id_solicitud-tipo_documento)]]&amp;B871</f>
        <v>16Proposicion1</v>
      </c>
      <c r="D871" s="45">
        <v>873</v>
      </c>
      <c r="E871" s="45">
        <v>16</v>
      </c>
      <c r="F871" s="45" t="s">
        <v>46</v>
      </c>
      <c r="G871" s="45" t="s">
        <v>43</v>
      </c>
      <c r="H871" s="50" t="s">
        <v>14</v>
      </c>
      <c r="I871" s="51">
        <v>856</v>
      </c>
      <c r="J871" s="80"/>
      <c r="K8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856 DGA</v>
      </c>
      <c r="L871" s="48">
        <v>44558</v>
      </c>
      <c r="M871" s="48">
        <v>44558</v>
      </c>
      <c r="N871" s="49" t="s">
        <v>611</v>
      </c>
      <c r="O871" s="45">
        <v>15</v>
      </c>
      <c r="P871" s="80" t="s">
        <v>494</v>
      </c>
      <c r="Q871" s="24"/>
      <c r="R871" s="24" t="s">
        <v>24</v>
      </c>
      <c r="S871" s="114"/>
      <c r="T871" s="45"/>
      <c r="U871" s="48"/>
      <c r="V871" s="48"/>
      <c r="W871" s="27"/>
    </row>
    <row r="872" spans="1:23" ht="60" hidden="1" customHeight="1" x14ac:dyDescent="0.25">
      <c r="A872" s="45" t="str">
        <f>CONCATENATE(Tabla2[[#This Row],[id_solicitud]],Tabla2[[#This Row],[tipo]])</f>
        <v>180Decreto</v>
      </c>
      <c r="B872" s="45">
        <f>COUNTIF($A$2:A872,A872)</f>
        <v>2</v>
      </c>
      <c r="C872" s="45" t="str">
        <f>Tabla2[[#This Row],[(id_solicitud-tipo_documento)]]&amp;B872</f>
        <v>180Decreto2</v>
      </c>
      <c r="D872" s="45">
        <v>874</v>
      </c>
      <c r="E872" s="45">
        <v>180</v>
      </c>
      <c r="F872" s="45" t="s">
        <v>47</v>
      </c>
      <c r="G872" s="45" t="s">
        <v>40</v>
      </c>
      <c r="H872" s="50" t="s">
        <v>10</v>
      </c>
      <c r="I872" s="51">
        <v>856</v>
      </c>
      <c r="J872" s="80"/>
      <c r="K8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856 DAP</v>
      </c>
      <c r="L872" s="48">
        <v>44722</v>
      </c>
      <c r="M872" s="48"/>
      <c r="N872" s="49" t="s">
        <v>288</v>
      </c>
      <c r="O872" s="45"/>
      <c r="P872" s="80"/>
      <c r="Q872" s="48"/>
      <c r="R872" s="45"/>
      <c r="S872" s="115">
        <v>367</v>
      </c>
      <c r="T872" s="20">
        <v>44713</v>
      </c>
      <c r="U872" s="20">
        <v>44728</v>
      </c>
      <c r="V872" s="20">
        <v>44728</v>
      </c>
      <c r="W872" s="27"/>
    </row>
    <row r="873" spans="1:23" ht="60" hidden="1" customHeight="1" x14ac:dyDescent="0.25">
      <c r="A873" s="45" t="str">
        <f>CONCATENATE(Tabla2[[#This Row],[id_solicitud]],Tabla2[[#This Row],[tipo]])</f>
        <v>23Proposicion</v>
      </c>
      <c r="B873" s="45">
        <f>COUNTIF($A$2:A873,A873)</f>
        <v>1</v>
      </c>
      <c r="C873" s="45" t="str">
        <f>Tabla2[[#This Row],[(id_solicitud-tipo_documento)]]&amp;B873</f>
        <v>23Proposicion1</v>
      </c>
      <c r="D873" s="45">
        <v>875</v>
      </c>
      <c r="E873" s="45">
        <v>23</v>
      </c>
      <c r="F873" s="45" t="s">
        <v>46</v>
      </c>
      <c r="G873" s="45" t="s">
        <v>57</v>
      </c>
      <c r="H873" s="50" t="s">
        <v>16</v>
      </c>
      <c r="I873" s="51">
        <v>857</v>
      </c>
      <c r="J873" s="80"/>
      <c r="K8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857 DGC</v>
      </c>
      <c r="L873" s="48">
        <v>44558</v>
      </c>
      <c r="M873" s="48">
        <v>44558</v>
      </c>
      <c r="N873" s="49" t="s">
        <v>91</v>
      </c>
      <c r="O873" s="45">
        <v>86</v>
      </c>
      <c r="P873" s="80" t="s">
        <v>494</v>
      </c>
      <c r="Q873" s="20"/>
      <c r="R873" s="24" t="s">
        <v>24</v>
      </c>
      <c r="S873" s="114"/>
      <c r="T873" s="45"/>
      <c r="U873" s="48"/>
      <c r="V873" s="48"/>
      <c r="W873" s="27"/>
    </row>
    <row r="874" spans="1:23" ht="60" hidden="1" customHeight="1" x14ac:dyDescent="0.25">
      <c r="A874" s="45" t="str">
        <f>CONCATENATE(Tabla2[[#This Row],[id_solicitud]],Tabla2[[#This Row],[tipo]])</f>
        <v>17Proposicion</v>
      </c>
      <c r="B874" s="45">
        <f>COUNTIF($A$2:A874,A874)</f>
        <v>1</v>
      </c>
      <c r="C874" s="45" t="str">
        <f>Tabla2[[#This Row],[(id_solicitud-tipo_documento)]]&amp;B874</f>
        <v>17Proposicion1</v>
      </c>
      <c r="D874" s="45">
        <v>876</v>
      </c>
      <c r="E874" s="45">
        <v>17</v>
      </c>
      <c r="F874" s="45" t="s">
        <v>46</v>
      </c>
      <c r="G874" s="45" t="s">
        <v>43</v>
      </c>
      <c r="H874" s="50" t="s">
        <v>565</v>
      </c>
      <c r="I874" s="51">
        <v>858</v>
      </c>
      <c r="J874" s="80"/>
      <c r="K8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858 DGA_FETCovid19</v>
      </c>
      <c r="L874" s="48">
        <v>44558</v>
      </c>
      <c r="M874" s="48">
        <v>44558</v>
      </c>
      <c r="N874" s="49" t="s">
        <v>85</v>
      </c>
      <c r="O874" s="45">
        <v>11</v>
      </c>
      <c r="P874" s="80" t="s">
        <v>494</v>
      </c>
      <c r="Q874" s="24"/>
      <c r="R874" s="24" t="s">
        <v>24</v>
      </c>
      <c r="S874" s="114"/>
      <c r="T874" s="45"/>
      <c r="U874" s="48"/>
      <c r="V874" s="48"/>
      <c r="W874" s="27"/>
    </row>
    <row r="875" spans="1:23" ht="60" hidden="1" customHeight="1" x14ac:dyDescent="0.25">
      <c r="A875" s="45" t="str">
        <f>CONCATENATE(Tabla2[[#This Row],[id_solicitud]],Tabla2[[#This Row],[tipo]])</f>
        <v>156Oficio_Solicitud</v>
      </c>
      <c r="B875" s="45">
        <f>COUNTIF($A$2:A875,A875)</f>
        <v>1</v>
      </c>
      <c r="C875" s="45" t="str">
        <f>Tabla2[[#This Row],[(id_solicitud-tipo_documento)]]&amp;B875</f>
        <v>156Oficio_Solicitud1</v>
      </c>
      <c r="D875" s="45">
        <v>877</v>
      </c>
      <c r="E875" s="45">
        <v>156</v>
      </c>
      <c r="F875" s="45" t="s">
        <v>53</v>
      </c>
      <c r="G875" s="45" t="s">
        <v>1258</v>
      </c>
      <c r="H875" s="50" t="s">
        <v>20</v>
      </c>
      <c r="I875" s="51">
        <v>860</v>
      </c>
      <c r="J875" s="80"/>
      <c r="K8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860 DOH</v>
      </c>
      <c r="L875" s="48">
        <v>44663</v>
      </c>
      <c r="M875" s="48">
        <v>44664</v>
      </c>
      <c r="N875" s="49" t="s">
        <v>198</v>
      </c>
      <c r="O875" s="45">
        <v>12</v>
      </c>
      <c r="P875" s="80" t="s">
        <v>494</v>
      </c>
      <c r="Q875" s="48"/>
      <c r="R875" s="45"/>
      <c r="S875" s="114"/>
      <c r="T875" s="52"/>
      <c r="U875" s="48"/>
      <c r="V875" s="48"/>
      <c r="W875" s="27"/>
    </row>
    <row r="876" spans="1:23" ht="60" hidden="1" customHeight="1" x14ac:dyDescent="0.25">
      <c r="A876" s="45" t="str">
        <f>CONCATENATE(Tabla2[[#This Row],[id_solicitud]],Tabla2[[#This Row],[tipo]])</f>
        <v>157Oficio_Solicitud</v>
      </c>
      <c r="B876" s="45">
        <f>COUNTIF($A$2:A876,A876)</f>
        <v>1</v>
      </c>
      <c r="C876" s="45" t="str">
        <f>Tabla2[[#This Row],[(id_solicitud-tipo_documento)]]&amp;B876</f>
        <v>157Oficio_Solicitud1</v>
      </c>
      <c r="D876" s="45">
        <v>878</v>
      </c>
      <c r="E876" s="45">
        <v>157</v>
      </c>
      <c r="F876" s="45" t="s">
        <v>53</v>
      </c>
      <c r="G876" s="45" t="s">
        <v>1258</v>
      </c>
      <c r="H876" s="50" t="s">
        <v>535</v>
      </c>
      <c r="I876" s="51">
        <v>861</v>
      </c>
      <c r="J876" s="80"/>
      <c r="K8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861 DOH_FETCovid19</v>
      </c>
      <c r="L876" s="48">
        <v>44663</v>
      </c>
      <c r="M876" s="48">
        <v>44664</v>
      </c>
      <c r="N876" s="49" t="s">
        <v>199</v>
      </c>
      <c r="O876" s="45">
        <v>4</v>
      </c>
      <c r="P876" s="80" t="s">
        <v>494</v>
      </c>
      <c r="Q876" s="48"/>
      <c r="R876" s="45"/>
      <c r="S876" s="114"/>
      <c r="T876" s="52"/>
      <c r="U876" s="48"/>
      <c r="V876" s="48"/>
      <c r="W876" s="27"/>
    </row>
    <row r="877" spans="1:23" ht="60" hidden="1" customHeight="1" x14ac:dyDescent="0.25">
      <c r="A877" s="45" t="str">
        <f>CONCATENATE(Tabla2[[#This Row],[id_solicitud]],Tabla2[[#This Row],[tipo]])</f>
        <v>21Proposicion</v>
      </c>
      <c r="B877" s="45">
        <f>COUNTIF($A$2:A877,A877)</f>
        <v>1</v>
      </c>
      <c r="C877" s="45" t="str">
        <f>Tabla2[[#This Row],[(id_solicitud-tipo_documento)]]&amp;B877</f>
        <v>21Proposicion1</v>
      </c>
      <c r="D877" s="45">
        <v>879</v>
      </c>
      <c r="E877" s="45">
        <v>21</v>
      </c>
      <c r="F877" s="45" t="s">
        <v>46</v>
      </c>
      <c r="G877" s="45" t="s">
        <v>57</v>
      </c>
      <c r="H877" s="50" t="s">
        <v>16</v>
      </c>
      <c r="I877" s="51">
        <v>862</v>
      </c>
      <c r="J877" s="80"/>
      <c r="K8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862 DGC</v>
      </c>
      <c r="L877" s="48">
        <v>44559</v>
      </c>
      <c r="M877" s="48">
        <v>44559</v>
      </c>
      <c r="N877" s="49" t="s">
        <v>89</v>
      </c>
      <c r="O877" s="45">
        <v>90</v>
      </c>
      <c r="P877" s="80" t="s">
        <v>494</v>
      </c>
      <c r="Q877" s="24"/>
      <c r="R877" s="24" t="s">
        <v>24</v>
      </c>
      <c r="S877" s="114"/>
      <c r="T877" s="45"/>
      <c r="U877" s="48"/>
      <c r="V877" s="48"/>
      <c r="W877" s="27"/>
    </row>
    <row r="878" spans="1:23" ht="60" hidden="1" customHeight="1" x14ac:dyDescent="0.25">
      <c r="A878" s="45" t="str">
        <f>CONCATENATE(Tabla2[[#This Row],[id_solicitud]],Tabla2[[#This Row],[tipo]])</f>
        <v>9Oficio_Solicitud</v>
      </c>
      <c r="B878" s="45">
        <f>COUNTIF($A$2:A878,A878)</f>
        <v>1</v>
      </c>
      <c r="C878" s="45" t="str">
        <f>Tabla2[[#This Row],[(id_solicitud-tipo_documento)]]&amp;B878</f>
        <v>9Oficio_Solicitud1</v>
      </c>
      <c r="D878" s="45">
        <v>880</v>
      </c>
      <c r="E878" s="45">
        <v>9</v>
      </c>
      <c r="F878" s="45" t="s">
        <v>53</v>
      </c>
      <c r="G878" s="45" t="s">
        <v>43</v>
      </c>
      <c r="H878" s="50" t="s">
        <v>576</v>
      </c>
      <c r="I878" s="51">
        <v>11734</v>
      </c>
      <c r="J878" s="80"/>
      <c r="K8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11734 DV-DV_FETCovid19</v>
      </c>
      <c r="L878" s="48">
        <v>44533</v>
      </c>
      <c r="M878" s="48">
        <v>44533</v>
      </c>
      <c r="N878" s="49" t="s">
        <v>77</v>
      </c>
      <c r="O878" s="45"/>
      <c r="P878" s="80" t="s">
        <v>494</v>
      </c>
      <c r="Q878" s="48">
        <v>44551</v>
      </c>
      <c r="R878" s="45"/>
      <c r="S878" s="114"/>
      <c r="T878" s="52"/>
      <c r="U878" s="48"/>
      <c r="V878" s="48"/>
      <c r="W878" s="27"/>
    </row>
    <row r="879" spans="1:23" ht="60" hidden="1" customHeight="1" x14ac:dyDescent="0.25">
      <c r="A879" s="45" t="str">
        <f>CONCATENATE(Tabla2[[#This Row],[id_solicitud]],Tabla2[[#This Row],[tipo]])</f>
        <v>131Oficio_Autorizacion</v>
      </c>
      <c r="B879" s="45">
        <f>COUNTIF($A$2:A879,A879)</f>
        <v>1</v>
      </c>
      <c r="C879" s="45" t="str">
        <f>Tabla2[[#This Row],[(id_solicitud-tipo_documento)]]&amp;B879</f>
        <v>131Oficio_Autorizacion1</v>
      </c>
      <c r="D879" s="45">
        <v>881</v>
      </c>
      <c r="E879" s="45">
        <v>131</v>
      </c>
      <c r="F879" s="45" t="s">
        <v>1272</v>
      </c>
      <c r="G879" s="45" t="s">
        <v>44</v>
      </c>
      <c r="H879" s="50" t="s">
        <v>14</v>
      </c>
      <c r="I879" s="51">
        <v>865</v>
      </c>
      <c r="J879" s="80"/>
      <c r="K8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79" s="48">
        <v>44655</v>
      </c>
      <c r="M879" s="48"/>
      <c r="N879" s="49" t="s">
        <v>828</v>
      </c>
      <c r="O879" s="45"/>
      <c r="P879" s="80"/>
      <c r="Q879" s="48"/>
      <c r="R879" s="45"/>
      <c r="S879" s="115">
        <v>174</v>
      </c>
      <c r="T879" s="20">
        <v>44650</v>
      </c>
      <c r="U879" s="20">
        <v>44655</v>
      </c>
      <c r="V879" s="20">
        <v>44655</v>
      </c>
      <c r="W879" s="27"/>
    </row>
    <row r="880" spans="1:23" ht="60" hidden="1" customHeight="1" x14ac:dyDescent="0.25">
      <c r="A880" s="45" t="str">
        <f>CONCATENATE(Tabla2[[#This Row],[id_solicitud]],Tabla2[[#This Row],[tipo]])</f>
        <v>49Resolucion</v>
      </c>
      <c r="B880" s="45">
        <f>COUNTIF($A$2:A880,A880)</f>
        <v>1</v>
      </c>
      <c r="C880" s="45" t="str">
        <f>Tabla2[[#This Row],[(id_solicitud-tipo_documento)]]&amp;B880</f>
        <v>49Resolucion1</v>
      </c>
      <c r="D880" s="45">
        <v>882</v>
      </c>
      <c r="E880" s="45">
        <v>49</v>
      </c>
      <c r="F880" s="45" t="s">
        <v>48</v>
      </c>
      <c r="G880" s="45"/>
      <c r="H880" s="50" t="s">
        <v>535</v>
      </c>
      <c r="I880" s="51">
        <v>866</v>
      </c>
      <c r="J880" s="80"/>
      <c r="K8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80" s="48">
        <v>44636</v>
      </c>
      <c r="M880" s="48"/>
      <c r="N880" s="49"/>
      <c r="O880" s="45"/>
      <c r="P880" s="80"/>
      <c r="Q880" s="48"/>
      <c r="R880" s="45"/>
      <c r="S880" s="114"/>
      <c r="T880" s="45"/>
      <c r="U880" s="48"/>
      <c r="V880" s="48"/>
      <c r="W880" s="27"/>
    </row>
    <row r="881" spans="1:23" ht="60" hidden="1" customHeight="1" x14ac:dyDescent="0.25">
      <c r="A881" s="45" t="str">
        <f>CONCATENATE(Tabla2[[#This Row],[id_solicitud]],Tabla2[[#This Row],[tipo]])</f>
        <v>42Resolucion</v>
      </c>
      <c r="B881" s="45">
        <f>COUNTIF($A$2:A881,A881)</f>
        <v>1</v>
      </c>
      <c r="C881" s="45" t="str">
        <f>Tabla2[[#This Row],[(id_solicitud-tipo_documento)]]&amp;B881</f>
        <v>42Resolucion1</v>
      </c>
      <c r="D881" s="45">
        <v>883</v>
      </c>
      <c r="E881" s="45">
        <v>42</v>
      </c>
      <c r="F881" s="45" t="s">
        <v>48</v>
      </c>
      <c r="G881" s="45"/>
      <c r="H881" s="50" t="s">
        <v>559</v>
      </c>
      <c r="I881" s="51">
        <v>868</v>
      </c>
      <c r="J881" s="80"/>
      <c r="K8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81" s="48">
        <v>44636</v>
      </c>
      <c r="M881" s="48"/>
      <c r="N881" s="49"/>
      <c r="O881" s="45"/>
      <c r="P881" s="80"/>
      <c r="Q881" s="48"/>
      <c r="R881" s="45"/>
      <c r="S881" s="114"/>
      <c r="T881" s="45"/>
      <c r="U881" s="48"/>
      <c r="V881" s="48"/>
      <c r="W881" s="27"/>
    </row>
    <row r="882" spans="1:23" ht="60" hidden="1" customHeight="1" x14ac:dyDescent="0.25">
      <c r="A882" s="45" t="str">
        <f>CONCATENATE(Tabla2[[#This Row],[id_solicitud]],Tabla2[[#This Row],[tipo]])</f>
        <v>74Oficio_Solicitud</v>
      </c>
      <c r="B882" s="45">
        <f>COUNTIF($A$2:A882,A882)</f>
        <v>1</v>
      </c>
      <c r="C882" s="45" t="str">
        <f>Tabla2[[#This Row],[(id_solicitud-tipo_documento)]]&amp;B882</f>
        <v>74Oficio_Solicitud1</v>
      </c>
      <c r="D882" s="45">
        <v>884</v>
      </c>
      <c r="E882" s="45">
        <v>74</v>
      </c>
      <c r="F882" s="45" t="s">
        <v>53</v>
      </c>
      <c r="G882" s="45" t="s">
        <v>40</v>
      </c>
      <c r="H882" s="50" t="s">
        <v>26</v>
      </c>
      <c r="I882" s="51">
        <v>870</v>
      </c>
      <c r="J882" s="80"/>
      <c r="K8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870 DV</v>
      </c>
      <c r="L882" s="48">
        <v>44586</v>
      </c>
      <c r="M882" s="48">
        <v>44600</v>
      </c>
      <c r="N882" s="49" t="s">
        <v>128</v>
      </c>
      <c r="O882" s="45"/>
      <c r="P882" s="80" t="s">
        <v>501</v>
      </c>
      <c r="Q882" s="48">
        <v>44600</v>
      </c>
      <c r="R882" s="45"/>
      <c r="S882" s="114"/>
      <c r="T882" s="52"/>
      <c r="U882" s="48"/>
      <c r="V882" s="48"/>
      <c r="W882" s="27"/>
    </row>
    <row r="883" spans="1:23" ht="60" hidden="1" customHeight="1" x14ac:dyDescent="0.25">
      <c r="A883" s="45" t="str">
        <f>CONCATENATE(Tabla2[[#This Row],[id_solicitud]],Tabla2[[#This Row],[tipo]])</f>
        <v>343Oficio_Solicitud</v>
      </c>
      <c r="B883" s="45">
        <f>COUNTIF($A$2:A883,A883)</f>
        <v>1</v>
      </c>
      <c r="C883" s="45" t="str">
        <f>Tabla2[[#This Row],[(id_solicitud-tipo_documento)]]&amp;B883</f>
        <v>343Oficio_Solicitud1</v>
      </c>
      <c r="D883" s="45">
        <v>885</v>
      </c>
      <c r="E883" s="45">
        <v>343</v>
      </c>
      <c r="F883" s="45" t="s">
        <v>53</v>
      </c>
      <c r="G883" s="45" t="s">
        <v>60</v>
      </c>
      <c r="H883" s="50" t="s">
        <v>8</v>
      </c>
      <c r="I883" s="51">
        <v>871</v>
      </c>
      <c r="J883" s="80"/>
      <c r="K8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871 DA</v>
      </c>
      <c r="L883" s="48">
        <v>44778</v>
      </c>
      <c r="M883" s="48">
        <v>44781</v>
      </c>
      <c r="N883" s="49" t="s">
        <v>1013</v>
      </c>
      <c r="O883" s="45">
        <v>5</v>
      </c>
      <c r="P883" s="80" t="s">
        <v>494</v>
      </c>
      <c r="Q883" s="48"/>
      <c r="R883" s="45"/>
      <c r="S883" s="114"/>
      <c r="T883" s="52"/>
      <c r="U883" s="48"/>
      <c r="V883" s="48"/>
      <c r="W883" s="27"/>
    </row>
    <row r="884" spans="1:23" ht="60" hidden="1" customHeight="1" x14ac:dyDescent="0.25">
      <c r="A884" s="45" t="str">
        <f>CONCATENATE(Tabla2[[#This Row],[id_solicitud]],Tabla2[[#This Row],[tipo]])</f>
        <v>29Oficio_Solicitud</v>
      </c>
      <c r="B884" s="45">
        <f>COUNTIF($A$2:A884,A884)</f>
        <v>1</v>
      </c>
      <c r="C884" s="45" t="str">
        <f>Tabla2[[#This Row],[(id_solicitud-tipo_documento)]]&amp;B884</f>
        <v>29Oficio_Solicitud1</v>
      </c>
      <c r="D884" s="45">
        <v>886</v>
      </c>
      <c r="E884" s="45">
        <v>29</v>
      </c>
      <c r="F884" s="45" t="s">
        <v>53</v>
      </c>
      <c r="G884" s="45" t="s">
        <v>43</v>
      </c>
      <c r="H884" s="50" t="s">
        <v>26</v>
      </c>
      <c r="I884" s="51">
        <v>11734</v>
      </c>
      <c r="J884" s="80"/>
      <c r="K8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11734 DV</v>
      </c>
      <c r="L884" s="48">
        <v>44533</v>
      </c>
      <c r="M884" s="48">
        <v>44533</v>
      </c>
      <c r="N884" s="49" t="s">
        <v>77</v>
      </c>
      <c r="O884" s="45"/>
      <c r="P884" s="80" t="s">
        <v>494</v>
      </c>
      <c r="Q884" s="48">
        <v>44559</v>
      </c>
      <c r="R884" s="45"/>
      <c r="S884" s="114"/>
      <c r="T884" s="52"/>
      <c r="U884" s="48"/>
      <c r="V884" s="48"/>
      <c r="W884" s="27"/>
    </row>
    <row r="885" spans="1:23" ht="60" hidden="1" customHeight="1" x14ac:dyDescent="0.25">
      <c r="A885" s="45" t="str">
        <f>CONCATENATE(Tabla2[[#This Row],[id_solicitud]],Tabla2[[#This Row],[tipo]])</f>
        <v>29Oficio_Solicitud</v>
      </c>
      <c r="B885" s="45">
        <f>COUNTIF($A$2:A885,A885)</f>
        <v>2</v>
      </c>
      <c r="C885" s="45" t="str">
        <f>Tabla2[[#This Row],[(id_solicitud-tipo_documento)]]&amp;B885</f>
        <v>29Oficio_Solicitud2</v>
      </c>
      <c r="D885" s="45">
        <v>887</v>
      </c>
      <c r="E885" s="45">
        <v>29</v>
      </c>
      <c r="F885" s="45" t="s">
        <v>53</v>
      </c>
      <c r="G885" s="45" t="s">
        <v>43</v>
      </c>
      <c r="H885" s="50" t="s">
        <v>26</v>
      </c>
      <c r="I885" s="51">
        <v>12535</v>
      </c>
      <c r="J885" s="80"/>
      <c r="K8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12535 DV</v>
      </c>
      <c r="L885" s="48">
        <v>44557</v>
      </c>
      <c r="M885" s="48">
        <v>44557</v>
      </c>
      <c r="N885" s="49" t="s">
        <v>96</v>
      </c>
      <c r="O885" s="45">
        <v>1</v>
      </c>
      <c r="P885" s="80" t="s">
        <v>494</v>
      </c>
      <c r="Q885" s="48">
        <v>44551</v>
      </c>
      <c r="R885" s="45"/>
      <c r="S885" s="114"/>
      <c r="T885" s="52"/>
      <c r="U885" s="48"/>
      <c r="V885" s="48"/>
      <c r="W885" s="27"/>
    </row>
    <row r="886" spans="1:23" ht="60" hidden="1" customHeight="1" x14ac:dyDescent="0.25">
      <c r="A886" s="45" t="str">
        <f>CONCATENATE(Tabla2[[#This Row],[id_solicitud]],Tabla2[[#This Row],[tipo]])</f>
        <v>36Proposicion</v>
      </c>
      <c r="B886" s="45">
        <f>COUNTIF($A$2:A886,A886)</f>
        <v>1</v>
      </c>
      <c r="C886" s="45" t="str">
        <f>Tabla2[[#This Row],[(id_solicitud-tipo_documento)]]&amp;B886</f>
        <v>36Proposicion1</v>
      </c>
      <c r="D886" s="45">
        <v>888</v>
      </c>
      <c r="E886" s="45">
        <v>36</v>
      </c>
      <c r="F886" s="45" t="s">
        <v>46</v>
      </c>
      <c r="G886" s="45" t="s">
        <v>43</v>
      </c>
      <c r="H886" s="50" t="s">
        <v>20</v>
      </c>
      <c r="I886" s="51">
        <v>882</v>
      </c>
      <c r="J886" s="80"/>
      <c r="K8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882 DOH</v>
      </c>
      <c r="L886" s="48">
        <v>44561</v>
      </c>
      <c r="M886" s="48">
        <v>44561</v>
      </c>
      <c r="N886" s="49" t="s">
        <v>98</v>
      </c>
      <c r="O886" s="45">
        <v>45</v>
      </c>
      <c r="P886" s="80" t="s">
        <v>494</v>
      </c>
      <c r="Q886" s="24"/>
      <c r="R886" s="24" t="s">
        <v>24</v>
      </c>
      <c r="S886" s="114"/>
      <c r="T886" s="45"/>
      <c r="U886" s="48"/>
      <c r="V886" s="48"/>
      <c r="W886" s="27"/>
    </row>
    <row r="887" spans="1:23" ht="60" hidden="1" customHeight="1" x14ac:dyDescent="0.25">
      <c r="A887" s="45" t="str">
        <f>CONCATENATE(Tabla2[[#This Row],[id_solicitud]],Tabla2[[#This Row],[tipo]])</f>
        <v>160Oficio_Solicitud</v>
      </c>
      <c r="B887" s="45">
        <f>COUNTIF($A$2:A887,A887)</f>
        <v>1</v>
      </c>
      <c r="C887" s="45" t="str">
        <f>Tabla2[[#This Row],[(id_solicitud-tipo_documento)]]&amp;B887</f>
        <v>160Oficio_Solicitud1</v>
      </c>
      <c r="D887" s="45">
        <v>889</v>
      </c>
      <c r="E887" s="45">
        <v>160</v>
      </c>
      <c r="F887" s="45" t="s">
        <v>53</v>
      </c>
      <c r="G887" s="45" t="s">
        <v>44</v>
      </c>
      <c r="H887" s="50" t="s">
        <v>20</v>
      </c>
      <c r="I887" s="51">
        <v>886</v>
      </c>
      <c r="J887" s="80"/>
      <c r="K8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886 DOH</v>
      </c>
      <c r="L887" s="48">
        <v>44665</v>
      </c>
      <c r="M887" s="48">
        <v>44665</v>
      </c>
      <c r="N887" s="49" t="s">
        <v>202</v>
      </c>
      <c r="O887" s="45"/>
      <c r="P887" s="80" t="s">
        <v>498</v>
      </c>
      <c r="Q887" s="48"/>
      <c r="R887" s="45"/>
      <c r="S887" s="114"/>
      <c r="T887" s="52"/>
      <c r="U887" s="48"/>
      <c r="V887" s="48"/>
      <c r="W887" s="27"/>
    </row>
    <row r="888" spans="1:23" ht="60" hidden="1" customHeight="1" x14ac:dyDescent="0.25">
      <c r="A888" s="45" t="str">
        <f>CONCATENATE(Tabla2[[#This Row],[id_solicitud]],Tabla2[[#This Row],[tipo]])</f>
        <v>159Oficio_Solicitud</v>
      </c>
      <c r="B888" s="45">
        <f>COUNTIF($A$2:A888,A888)</f>
        <v>1</v>
      </c>
      <c r="C888" s="45" t="str">
        <f>Tabla2[[#This Row],[(id_solicitud-tipo_documento)]]&amp;B888</f>
        <v>159Oficio_Solicitud1</v>
      </c>
      <c r="D888" s="45">
        <v>890</v>
      </c>
      <c r="E888" s="45">
        <v>159</v>
      </c>
      <c r="F888" s="45" t="s">
        <v>53</v>
      </c>
      <c r="G888" s="45" t="s">
        <v>60</v>
      </c>
      <c r="H888" s="50" t="s">
        <v>20</v>
      </c>
      <c r="I888" s="51">
        <v>887</v>
      </c>
      <c r="J888" s="80"/>
      <c r="K8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887 DOH</v>
      </c>
      <c r="L888" s="48">
        <v>44665</v>
      </c>
      <c r="M888" s="48">
        <v>44665</v>
      </c>
      <c r="N888" s="49" t="s">
        <v>201</v>
      </c>
      <c r="O888" s="45">
        <v>15</v>
      </c>
      <c r="P888" s="80" t="s">
        <v>494</v>
      </c>
      <c r="Q888" s="48"/>
      <c r="R888" s="45"/>
      <c r="S888" s="114"/>
      <c r="T888" s="52"/>
      <c r="U888" s="48"/>
      <c r="V888" s="48"/>
      <c r="W888" s="27"/>
    </row>
    <row r="889" spans="1:23" ht="60" hidden="1" customHeight="1" x14ac:dyDescent="0.25">
      <c r="A889" s="45" t="str">
        <f>CONCATENATE(Tabla2[[#This Row],[id_solicitud]],Tabla2[[#This Row],[tipo]])</f>
        <v>203Decreto</v>
      </c>
      <c r="B889" s="45">
        <f>COUNTIF($A$2:A889,A889)</f>
        <v>1</v>
      </c>
      <c r="C889" s="45" t="str">
        <f>Tabla2[[#This Row],[(id_solicitud-tipo_documento)]]&amp;B889</f>
        <v>203Decreto1</v>
      </c>
      <c r="D889" s="45">
        <v>891</v>
      </c>
      <c r="E889" s="45">
        <v>203</v>
      </c>
      <c r="F889" s="45" t="s">
        <v>47</v>
      </c>
      <c r="G889" s="45" t="s">
        <v>60</v>
      </c>
      <c r="H889" s="50" t="s">
        <v>541</v>
      </c>
      <c r="I889" s="51">
        <v>887</v>
      </c>
      <c r="J889" s="80"/>
      <c r="K8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887 DOP_FETCovid19</v>
      </c>
      <c r="L889" s="48">
        <v>44722</v>
      </c>
      <c r="M889" s="48"/>
      <c r="N889" s="49" t="s">
        <v>865</v>
      </c>
      <c r="O889" s="45"/>
      <c r="P889" s="80"/>
      <c r="Q889" s="48"/>
      <c r="R889" s="45"/>
      <c r="S889" s="115">
        <v>385</v>
      </c>
      <c r="T889" s="20">
        <v>44706</v>
      </c>
      <c r="U889" s="20">
        <v>44740</v>
      </c>
      <c r="V889" s="20">
        <v>44740</v>
      </c>
      <c r="W889" s="27"/>
    </row>
    <row r="890" spans="1:23" ht="60" hidden="1" customHeight="1" x14ac:dyDescent="0.25">
      <c r="A890" s="45" t="str">
        <f>CONCATENATE(Tabla2[[#This Row],[id_solicitud]],Tabla2[[#This Row],[tipo]])</f>
        <v>147Resolucion</v>
      </c>
      <c r="B890" s="45">
        <f>COUNTIF($A$2:A890,A890)</f>
        <v>1</v>
      </c>
      <c r="C890" s="45" t="str">
        <f>Tabla2[[#This Row],[(id_solicitud-tipo_documento)]]&amp;B890</f>
        <v>147Resolucion1</v>
      </c>
      <c r="D890" s="45">
        <v>892</v>
      </c>
      <c r="E890" s="45">
        <v>147</v>
      </c>
      <c r="F890" s="45" t="s">
        <v>48</v>
      </c>
      <c r="G890" s="45"/>
      <c r="H890" s="50" t="s">
        <v>10</v>
      </c>
      <c r="I890" s="51">
        <v>893</v>
      </c>
      <c r="J890" s="80"/>
      <c r="K8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90" s="48">
        <v>44722</v>
      </c>
      <c r="M890" s="48"/>
      <c r="N890" s="49"/>
      <c r="O890" s="45"/>
      <c r="P890" s="80"/>
      <c r="Q890" s="48"/>
      <c r="R890" s="45"/>
      <c r="S890" s="114"/>
      <c r="T890" s="45"/>
      <c r="U890" s="48"/>
      <c r="V890" s="48"/>
      <c r="W890" s="27"/>
    </row>
    <row r="891" spans="1:23" ht="60" hidden="1" customHeight="1" x14ac:dyDescent="0.25">
      <c r="A891" s="45" t="str">
        <f>CONCATENATE(Tabla2[[#This Row],[id_solicitud]],Tabla2[[#This Row],[tipo]])</f>
        <v>445Oficio_Solicitud</v>
      </c>
      <c r="B891" s="45">
        <f>COUNTIF($A$2:A891,A891)</f>
        <v>1</v>
      </c>
      <c r="C891" s="45" t="str">
        <f>Tabla2[[#This Row],[(id_solicitud-tipo_documento)]]&amp;B891</f>
        <v>445Oficio_Solicitud1</v>
      </c>
      <c r="D891" s="45">
        <v>893</v>
      </c>
      <c r="E891" s="45">
        <v>445</v>
      </c>
      <c r="F891" s="45" t="s">
        <v>53</v>
      </c>
      <c r="G891" s="45" t="s">
        <v>60</v>
      </c>
      <c r="H891" s="50" t="s">
        <v>16</v>
      </c>
      <c r="I891" s="51">
        <v>898</v>
      </c>
      <c r="J891" s="80"/>
      <c r="K8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898 DGC</v>
      </c>
      <c r="L891" s="48">
        <v>44825</v>
      </c>
      <c r="M891" s="48"/>
      <c r="N891" s="49" t="s">
        <v>424</v>
      </c>
      <c r="O891" s="45"/>
      <c r="P891" s="80" t="s">
        <v>497</v>
      </c>
      <c r="Q891" s="48"/>
      <c r="R891" s="45"/>
      <c r="S891" s="114"/>
      <c r="T891" s="52"/>
      <c r="U891" s="48"/>
      <c r="V891" s="48"/>
      <c r="W891" s="27"/>
    </row>
    <row r="892" spans="1:23" ht="60" hidden="1" customHeight="1" x14ac:dyDescent="0.25">
      <c r="A892" s="45" t="str">
        <f>CONCATENATE(Tabla2[[#This Row],[id_solicitud]],Tabla2[[#This Row],[tipo]])</f>
        <v>420Oficio_Solicitud</v>
      </c>
      <c r="B892" s="45">
        <f>COUNTIF($A$2:A892,A892)</f>
        <v>1</v>
      </c>
      <c r="C892" s="45" t="str">
        <f>Tabla2[[#This Row],[(id_solicitud-tipo_documento)]]&amp;B892</f>
        <v>420Oficio_Solicitud1</v>
      </c>
      <c r="D892" s="45">
        <v>894</v>
      </c>
      <c r="E892" s="45">
        <v>420</v>
      </c>
      <c r="F892" s="45" t="s">
        <v>53</v>
      </c>
      <c r="G892" s="45" t="s">
        <v>60</v>
      </c>
      <c r="H892" s="50" t="s">
        <v>16</v>
      </c>
      <c r="I892" s="51">
        <v>899</v>
      </c>
      <c r="J892" s="80"/>
      <c r="K8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899 DGC</v>
      </c>
      <c r="L892" s="48">
        <v>44818</v>
      </c>
      <c r="M892" s="48">
        <v>44819</v>
      </c>
      <c r="N892" s="49" t="s">
        <v>405</v>
      </c>
      <c r="O892" s="45">
        <v>2</v>
      </c>
      <c r="P892" s="80" t="s">
        <v>494</v>
      </c>
      <c r="Q892" s="48"/>
      <c r="R892" s="45"/>
      <c r="S892" s="114"/>
      <c r="T892" s="52"/>
      <c r="U892" s="48"/>
      <c r="V892" s="48"/>
      <c r="W892" s="27"/>
    </row>
    <row r="893" spans="1:23" ht="60" hidden="1" customHeight="1" x14ac:dyDescent="0.25">
      <c r="A893" s="45" t="str">
        <f>CONCATENATE(Tabla2[[#This Row],[id_solicitud]],Tabla2[[#This Row],[tipo]])</f>
        <v>497Oficio_Solicitud</v>
      </c>
      <c r="B893" s="45">
        <f>COUNTIF($A$2:A893,A893)</f>
        <v>1</v>
      </c>
      <c r="C893" s="45" t="str">
        <f>Tabla2[[#This Row],[(id_solicitud-tipo_documento)]]&amp;B893</f>
        <v>497Oficio_Solicitud1</v>
      </c>
      <c r="D893" s="45">
        <v>895</v>
      </c>
      <c r="E893" s="45">
        <v>497</v>
      </c>
      <c r="F893" s="45" t="s">
        <v>53</v>
      </c>
      <c r="G893" s="45" t="s">
        <v>40</v>
      </c>
      <c r="H893" s="50" t="s">
        <v>606</v>
      </c>
      <c r="I893" s="51">
        <v>899</v>
      </c>
      <c r="J893" s="80"/>
      <c r="K8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899 DGC-DOH-APR</v>
      </c>
      <c r="L893" s="48">
        <v>44818</v>
      </c>
      <c r="M893" s="48">
        <v>44819</v>
      </c>
      <c r="N893" s="49" t="s">
        <v>465</v>
      </c>
      <c r="O893" s="45"/>
      <c r="P893" s="80" t="s">
        <v>494</v>
      </c>
      <c r="Q893" s="48"/>
      <c r="R893" s="45"/>
      <c r="S893" s="114"/>
      <c r="T893" s="52"/>
      <c r="U893" s="48"/>
      <c r="V893" s="48"/>
      <c r="W893" s="27"/>
    </row>
    <row r="894" spans="1:23" ht="60" hidden="1" customHeight="1" x14ac:dyDescent="0.25">
      <c r="A894" s="45" t="str">
        <f>CONCATENATE(Tabla2[[#This Row],[id_solicitud]],Tabla2[[#This Row],[tipo]])</f>
        <v>198Decreto</v>
      </c>
      <c r="B894" s="45">
        <f>COUNTIF($A$2:A894,A894)</f>
        <v>1</v>
      </c>
      <c r="C894" s="45" t="str">
        <f>Tabla2[[#This Row],[(id_solicitud-tipo_documento)]]&amp;B894</f>
        <v>198Decreto1</v>
      </c>
      <c r="D894" s="45">
        <v>896</v>
      </c>
      <c r="E894" s="45">
        <v>198</v>
      </c>
      <c r="F894" s="45" t="s">
        <v>47</v>
      </c>
      <c r="G894" s="45" t="s">
        <v>60</v>
      </c>
      <c r="H894" s="50" t="s">
        <v>20</v>
      </c>
      <c r="I894" s="51">
        <v>900</v>
      </c>
      <c r="J894" s="80"/>
      <c r="K8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900 DOH</v>
      </c>
      <c r="L894" s="48">
        <v>44722</v>
      </c>
      <c r="M894" s="48"/>
      <c r="N894" s="49" t="s">
        <v>861</v>
      </c>
      <c r="O894" s="45"/>
      <c r="P894" s="80"/>
      <c r="Q894" s="48"/>
      <c r="R894" s="45"/>
      <c r="S894" s="115">
        <v>381</v>
      </c>
      <c r="T894" s="20">
        <v>44706</v>
      </c>
      <c r="U894" s="20">
        <v>44743</v>
      </c>
      <c r="V894" s="20">
        <v>44743</v>
      </c>
      <c r="W894" s="27"/>
    </row>
    <row r="895" spans="1:23" ht="60" hidden="1" customHeight="1" x14ac:dyDescent="0.25">
      <c r="A895" s="45" t="str">
        <f>CONCATENATE(Tabla2[[#This Row],[id_solicitud]],Tabla2[[#This Row],[tipo]])</f>
        <v>118Resolucion</v>
      </c>
      <c r="B895" s="45">
        <f>COUNTIF($A$2:A895,A895)</f>
        <v>1</v>
      </c>
      <c r="C895" s="45" t="str">
        <f>Tabla2[[#This Row],[(id_solicitud-tipo_documento)]]&amp;B895</f>
        <v>118Resolucion1</v>
      </c>
      <c r="D895" s="45">
        <v>897</v>
      </c>
      <c r="E895" s="45">
        <v>118</v>
      </c>
      <c r="F895" s="45" t="s">
        <v>48</v>
      </c>
      <c r="G895" s="45"/>
      <c r="H895" s="50" t="s">
        <v>20</v>
      </c>
      <c r="I895" s="51">
        <v>909</v>
      </c>
      <c r="J895" s="80"/>
      <c r="K8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895" s="48">
        <v>44638</v>
      </c>
      <c r="M895" s="48"/>
      <c r="N895" s="49"/>
      <c r="O895" s="45"/>
      <c r="P895" s="80"/>
      <c r="Q895" s="48"/>
      <c r="R895" s="45"/>
      <c r="S895" s="114"/>
      <c r="T895" s="45"/>
      <c r="U895" s="48"/>
      <c r="V895" s="48"/>
      <c r="W895" s="27"/>
    </row>
    <row r="896" spans="1:23" ht="60" hidden="1" customHeight="1" x14ac:dyDescent="0.25">
      <c r="A896" s="45" t="str">
        <f>CONCATENATE(Tabla2[[#This Row],[id_solicitud]],Tabla2[[#This Row],[tipo]])</f>
        <v>213Decreto</v>
      </c>
      <c r="B896" s="45">
        <f>COUNTIF($A$2:A896,A896)</f>
        <v>1</v>
      </c>
      <c r="C896" s="45" t="str">
        <f>Tabla2[[#This Row],[(id_solicitud-tipo_documento)]]&amp;B896</f>
        <v>213Decreto1</v>
      </c>
      <c r="D896" s="45">
        <v>898</v>
      </c>
      <c r="E896" s="45">
        <v>213</v>
      </c>
      <c r="F896" s="45" t="s">
        <v>47</v>
      </c>
      <c r="G896" s="45" t="s">
        <v>40</v>
      </c>
      <c r="H896" s="50" t="s">
        <v>14</v>
      </c>
      <c r="I896" s="51">
        <v>913</v>
      </c>
      <c r="J896" s="80"/>
      <c r="K8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913 DGA</v>
      </c>
      <c r="L896" s="48">
        <v>44727</v>
      </c>
      <c r="M896" s="48"/>
      <c r="N896" s="49" t="s">
        <v>872</v>
      </c>
      <c r="O896" s="45"/>
      <c r="P896" s="80"/>
      <c r="Q896" s="48"/>
      <c r="R896" s="45"/>
      <c r="S896" s="115"/>
      <c r="T896" s="20"/>
      <c r="U896" s="20">
        <v>44735</v>
      </c>
      <c r="V896" s="20">
        <v>44735</v>
      </c>
      <c r="W896" s="27"/>
    </row>
    <row r="897" spans="1:23" ht="60" hidden="1" customHeight="1" x14ac:dyDescent="0.25">
      <c r="A897" s="45" t="str">
        <f>CONCATENATE(Tabla2[[#This Row],[id_solicitud]],Tabla2[[#This Row],[tipo]])</f>
        <v>248Decreto</v>
      </c>
      <c r="B897" s="45">
        <f>COUNTIF($A$2:A897,A897)</f>
        <v>1</v>
      </c>
      <c r="C897" s="45" t="str">
        <f>Tabla2[[#This Row],[(id_solicitud-tipo_documento)]]&amp;B897</f>
        <v>248Decreto1</v>
      </c>
      <c r="D897" s="45">
        <v>899</v>
      </c>
      <c r="E897" s="45">
        <v>248</v>
      </c>
      <c r="F897" s="45" t="s">
        <v>47</v>
      </c>
      <c r="G897" s="45" t="s">
        <v>40</v>
      </c>
      <c r="H897" s="50" t="s">
        <v>565</v>
      </c>
      <c r="I897" s="51">
        <v>913</v>
      </c>
      <c r="J897" s="80"/>
      <c r="K8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913 DGA_FETCovid19</v>
      </c>
      <c r="L897" s="48">
        <v>44727</v>
      </c>
      <c r="M897" s="48"/>
      <c r="N897" s="49" t="s">
        <v>872</v>
      </c>
      <c r="O897" s="45"/>
      <c r="P897" s="80"/>
      <c r="Q897" s="48"/>
      <c r="R897" s="45"/>
      <c r="S897" s="115"/>
      <c r="T897" s="20"/>
      <c r="U897" s="20">
        <v>44735</v>
      </c>
      <c r="V897" s="20">
        <v>44735</v>
      </c>
      <c r="W897" s="27"/>
    </row>
    <row r="898" spans="1:23" ht="60" hidden="1" customHeight="1" x14ac:dyDescent="0.25">
      <c r="A898" s="45" t="str">
        <f>CONCATENATE(Tabla2[[#This Row],[id_solicitud]],Tabla2[[#This Row],[tipo]])</f>
        <v>270Decreto</v>
      </c>
      <c r="B898" s="45">
        <f>COUNTIF($A$2:A898,A898)</f>
        <v>1</v>
      </c>
      <c r="C898" s="45" t="str">
        <f>Tabla2[[#This Row],[(id_solicitud-tipo_documento)]]&amp;B898</f>
        <v>270Decreto1</v>
      </c>
      <c r="D898" s="45">
        <v>900</v>
      </c>
      <c r="E898" s="45">
        <v>270</v>
      </c>
      <c r="F898" s="45" t="s">
        <v>47</v>
      </c>
      <c r="G898" s="45" t="s">
        <v>40</v>
      </c>
      <c r="H898" s="50" t="s">
        <v>586</v>
      </c>
      <c r="I898" s="51">
        <v>913</v>
      </c>
      <c r="J898" s="80"/>
      <c r="K8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913 DOH_FETCovid19-DGA_FETCovid19</v>
      </c>
      <c r="L898" s="48">
        <v>44727</v>
      </c>
      <c r="M898" s="48"/>
      <c r="N898" s="49" t="s">
        <v>872</v>
      </c>
      <c r="O898" s="45"/>
      <c r="P898" s="80"/>
      <c r="Q898" s="48"/>
      <c r="R898" s="45"/>
      <c r="S898" s="115"/>
      <c r="T898" s="20"/>
      <c r="U898" s="20">
        <v>44735</v>
      </c>
      <c r="V898" s="20">
        <v>44735</v>
      </c>
      <c r="W898" s="27"/>
    </row>
    <row r="899" spans="1:23" ht="60" hidden="1" customHeight="1" x14ac:dyDescent="0.25">
      <c r="A899" s="45" t="str">
        <f>CONCATENATE(Tabla2[[#This Row],[id_solicitud]],Tabla2[[#This Row],[tipo]])</f>
        <v>211Decreto</v>
      </c>
      <c r="B899" s="45">
        <f>COUNTIF($A$2:A899,A899)</f>
        <v>1</v>
      </c>
      <c r="C899" s="45" t="str">
        <f>Tabla2[[#This Row],[(id_solicitud-tipo_documento)]]&amp;B899</f>
        <v>211Decreto1</v>
      </c>
      <c r="D899" s="45">
        <v>901</v>
      </c>
      <c r="E899" s="45">
        <v>211</v>
      </c>
      <c r="F899" s="45" t="s">
        <v>47</v>
      </c>
      <c r="G899" s="45" t="s">
        <v>60</v>
      </c>
      <c r="H899" s="50" t="s">
        <v>565</v>
      </c>
      <c r="I899" s="51">
        <v>914</v>
      </c>
      <c r="J899" s="80"/>
      <c r="K8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914 DGA_FETCovid19</v>
      </c>
      <c r="L899" s="48">
        <v>44727</v>
      </c>
      <c r="M899" s="48"/>
      <c r="N899" s="49" t="s">
        <v>870</v>
      </c>
      <c r="O899" s="45"/>
      <c r="P899" s="80"/>
      <c r="Q899" s="48"/>
      <c r="R899" s="45"/>
      <c r="S899" s="115">
        <v>448</v>
      </c>
      <c r="T899" s="20">
        <v>44725</v>
      </c>
      <c r="U899" s="20">
        <v>44740</v>
      </c>
      <c r="V899" s="20">
        <v>44740</v>
      </c>
      <c r="W899" s="27"/>
    </row>
    <row r="900" spans="1:23" ht="60" hidden="1" customHeight="1" x14ac:dyDescent="0.25">
      <c r="A900" s="45" t="str">
        <f>CONCATENATE(Tabla2[[#This Row],[id_solicitud]],Tabla2[[#This Row],[tipo]])</f>
        <v>211Resolucion</v>
      </c>
      <c r="B900" s="45">
        <f>COUNTIF($A$2:A900,A900)</f>
        <v>1</v>
      </c>
      <c r="C900" s="45" t="str">
        <f>Tabla2[[#This Row],[(id_solicitud-tipo_documento)]]&amp;B900</f>
        <v>211Resolucion1</v>
      </c>
      <c r="D900" s="45">
        <v>902</v>
      </c>
      <c r="E900" s="45">
        <v>211</v>
      </c>
      <c r="F900" s="45" t="s">
        <v>48</v>
      </c>
      <c r="G900" s="45"/>
      <c r="H900" s="50" t="s">
        <v>565</v>
      </c>
      <c r="I900" s="51">
        <v>914</v>
      </c>
      <c r="J900" s="80"/>
      <c r="K9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00" s="48">
        <v>44742</v>
      </c>
      <c r="M900" s="48"/>
      <c r="N900" s="49"/>
      <c r="O900" s="45"/>
      <c r="P900" s="80"/>
      <c r="Q900" s="48"/>
      <c r="R900" s="45"/>
      <c r="S900" s="114"/>
      <c r="T900" s="45"/>
      <c r="U900" s="48"/>
      <c r="V900" s="48"/>
      <c r="W900" s="27"/>
    </row>
    <row r="901" spans="1:23" ht="60" hidden="1" customHeight="1" x14ac:dyDescent="0.25">
      <c r="A901" s="45" t="str">
        <f>CONCATENATE(Tabla2[[#This Row],[id_solicitud]],Tabla2[[#This Row],[tipo]])</f>
        <v>96Oficio_Autorizacion</v>
      </c>
      <c r="B901" s="45">
        <f>COUNTIF($A$2:A901,A901)</f>
        <v>1</v>
      </c>
      <c r="C901" s="45" t="str">
        <f>Tabla2[[#This Row],[(id_solicitud-tipo_documento)]]&amp;B901</f>
        <v>96Oficio_Autorizacion1</v>
      </c>
      <c r="D901" s="45">
        <v>903</v>
      </c>
      <c r="E901" s="45">
        <v>96</v>
      </c>
      <c r="F901" s="45" t="s">
        <v>1272</v>
      </c>
      <c r="G901" s="45" t="s">
        <v>44</v>
      </c>
      <c r="H901" s="50" t="s">
        <v>10</v>
      </c>
      <c r="I901" s="51">
        <v>915</v>
      </c>
      <c r="J901" s="80"/>
      <c r="K9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01" s="48">
        <v>44659</v>
      </c>
      <c r="M901" s="48"/>
      <c r="N901" s="49" t="s">
        <v>147</v>
      </c>
      <c r="O901" s="45"/>
      <c r="P901" s="80"/>
      <c r="Q901" s="48"/>
      <c r="R901" s="45"/>
      <c r="S901" s="115">
        <v>191</v>
      </c>
      <c r="T901" s="20">
        <v>44652</v>
      </c>
      <c r="U901" s="20"/>
      <c r="V901" s="20"/>
      <c r="W901" s="27"/>
    </row>
    <row r="902" spans="1:23" ht="60" hidden="1" customHeight="1" x14ac:dyDescent="0.25">
      <c r="A902" s="45" t="str">
        <f>CONCATENATE(Tabla2[[#This Row],[id_solicitud]],Tabla2[[#This Row],[tipo]])</f>
        <v>292Resolucion</v>
      </c>
      <c r="B902" s="45">
        <f>COUNTIF($A$2:A902,A902)</f>
        <v>1</v>
      </c>
      <c r="C902" s="45" t="str">
        <f>Tabla2[[#This Row],[(id_solicitud-tipo_documento)]]&amp;B902</f>
        <v>292Resolucion1</v>
      </c>
      <c r="D902" s="45">
        <v>904</v>
      </c>
      <c r="E902" s="45">
        <v>292</v>
      </c>
      <c r="F902" s="45" t="s">
        <v>48</v>
      </c>
      <c r="G902" s="45"/>
      <c r="H902" s="50" t="s">
        <v>26</v>
      </c>
      <c r="I902" s="51">
        <v>917</v>
      </c>
      <c r="J902" s="80"/>
      <c r="K9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02" s="48">
        <v>44767</v>
      </c>
      <c r="M902" s="48"/>
      <c r="N902" s="49"/>
      <c r="O902" s="45"/>
      <c r="P902" s="80"/>
      <c r="Q902" s="48"/>
      <c r="R902" s="45"/>
      <c r="S902" s="114"/>
      <c r="T902" s="45"/>
      <c r="U902" s="48"/>
      <c r="V902" s="48"/>
      <c r="W902" s="27"/>
    </row>
    <row r="903" spans="1:23" ht="60" hidden="1" customHeight="1" x14ac:dyDescent="0.25">
      <c r="A903" s="45" t="str">
        <f>CONCATENATE(Tabla2[[#This Row],[id_solicitud]],Tabla2[[#This Row],[tipo]])</f>
        <v>293Resolucion</v>
      </c>
      <c r="B903" s="45">
        <f>COUNTIF($A$2:A903,A903)</f>
        <v>1</v>
      </c>
      <c r="C903" s="45" t="str">
        <f>Tabla2[[#This Row],[(id_solicitud-tipo_documento)]]&amp;B903</f>
        <v>293Resolucion1</v>
      </c>
      <c r="D903" s="45">
        <v>905</v>
      </c>
      <c r="E903" s="45">
        <v>293</v>
      </c>
      <c r="F903" s="45" t="s">
        <v>48</v>
      </c>
      <c r="G903" s="45"/>
      <c r="H903" s="50" t="s">
        <v>538</v>
      </c>
      <c r="I903" s="51">
        <v>918</v>
      </c>
      <c r="J903" s="80"/>
      <c r="K9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03" s="48">
        <v>44767</v>
      </c>
      <c r="M903" s="48"/>
      <c r="N903" s="49"/>
      <c r="O903" s="45"/>
      <c r="P903" s="80"/>
      <c r="Q903" s="48"/>
      <c r="R903" s="45"/>
      <c r="S903" s="114"/>
      <c r="T903" s="45"/>
      <c r="U903" s="48"/>
      <c r="V903" s="48"/>
      <c r="W903" s="27"/>
    </row>
    <row r="904" spans="1:23" ht="60" hidden="1" customHeight="1" x14ac:dyDescent="0.25">
      <c r="A904" s="45" t="str">
        <f>CONCATENATE(Tabla2[[#This Row],[id_solicitud]],Tabla2[[#This Row],[tipo]])</f>
        <v>262Resolucion</v>
      </c>
      <c r="B904" s="45">
        <f>COUNTIF($A$2:A904,A904)</f>
        <v>1</v>
      </c>
      <c r="C904" s="45" t="str">
        <f>Tabla2[[#This Row],[(id_solicitud-tipo_documento)]]&amp;B904</f>
        <v>262Resolucion1</v>
      </c>
      <c r="D904" s="45">
        <v>906</v>
      </c>
      <c r="E904" s="45">
        <v>262</v>
      </c>
      <c r="F904" s="45" t="s">
        <v>48</v>
      </c>
      <c r="G904" s="45"/>
      <c r="H904" s="50" t="s">
        <v>541</v>
      </c>
      <c r="I904" s="51">
        <v>920</v>
      </c>
      <c r="J904" s="80"/>
      <c r="K9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04" s="48">
        <v>44770</v>
      </c>
      <c r="M904" s="48"/>
      <c r="N904" s="49"/>
      <c r="O904" s="45"/>
      <c r="P904" s="80"/>
      <c r="Q904" s="48"/>
      <c r="R904" s="45"/>
      <c r="S904" s="114"/>
      <c r="T904" s="45"/>
      <c r="U904" s="48"/>
      <c r="V904" s="48"/>
      <c r="W904" s="27"/>
    </row>
    <row r="905" spans="1:23" ht="60" hidden="1" customHeight="1" x14ac:dyDescent="0.25">
      <c r="A905" s="45" t="str">
        <f>CONCATENATE(Tabla2[[#This Row],[id_solicitud]],Tabla2[[#This Row],[tipo]])</f>
        <v>268Resolucion</v>
      </c>
      <c r="B905" s="45">
        <f>COUNTIF($A$2:A905,A905)</f>
        <v>1</v>
      </c>
      <c r="C905" s="45" t="str">
        <f>Tabla2[[#This Row],[(id_solicitud-tipo_documento)]]&amp;B905</f>
        <v>268Resolucion1</v>
      </c>
      <c r="D905" s="45">
        <v>907</v>
      </c>
      <c r="E905" s="45">
        <v>268</v>
      </c>
      <c r="F905" s="45" t="s">
        <v>48</v>
      </c>
      <c r="G905" s="45"/>
      <c r="H905" s="50" t="s">
        <v>541</v>
      </c>
      <c r="I905" s="51">
        <v>920</v>
      </c>
      <c r="J905" s="80"/>
      <c r="K9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05" s="48">
        <v>44770</v>
      </c>
      <c r="M905" s="48"/>
      <c r="N905" s="49"/>
      <c r="O905" s="45"/>
      <c r="P905" s="80"/>
      <c r="Q905" s="48"/>
      <c r="R905" s="45"/>
      <c r="S905" s="114"/>
      <c r="T905" s="45"/>
      <c r="U905" s="48"/>
      <c r="V905" s="48"/>
      <c r="W905" s="27"/>
    </row>
    <row r="906" spans="1:23" ht="60" hidden="1" customHeight="1" x14ac:dyDescent="0.25">
      <c r="A906" s="45" t="str">
        <f>CONCATENATE(Tabla2[[#This Row],[id_solicitud]],Tabla2[[#This Row],[tipo]])</f>
        <v>296Resolucion</v>
      </c>
      <c r="B906" s="45">
        <f>COUNTIF($A$2:A906,A906)</f>
        <v>1</v>
      </c>
      <c r="C906" s="45" t="str">
        <f>Tabla2[[#This Row],[(id_solicitud-tipo_documento)]]&amp;B906</f>
        <v>296Resolucion1</v>
      </c>
      <c r="D906" s="45">
        <v>908</v>
      </c>
      <c r="E906" s="45">
        <v>296</v>
      </c>
      <c r="F906" s="45" t="s">
        <v>48</v>
      </c>
      <c r="G906" s="45"/>
      <c r="H906" s="50" t="s">
        <v>541</v>
      </c>
      <c r="I906" s="51">
        <v>920</v>
      </c>
      <c r="J906" s="80"/>
      <c r="K9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06" s="48">
        <v>44770</v>
      </c>
      <c r="M906" s="48"/>
      <c r="N906" s="49"/>
      <c r="O906" s="45"/>
      <c r="P906" s="80"/>
      <c r="Q906" s="48"/>
      <c r="R906" s="45"/>
      <c r="S906" s="114"/>
      <c r="T906" s="45"/>
      <c r="U906" s="48"/>
      <c r="V906" s="48"/>
      <c r="W906" s="27"/>
    </row>
    <row r="907" spans="1:23" ht="60" hidden="1" customHeight="1" x14ac:dyDescent="0.25">
      <c r="A907" s="45" t="str">
        <f>CONCATENATE(Tabla2[[#This Row],[id_solicitud]],Tabla2[[#This Row],[tipo]])</f>
        <v>208Decreto</v>
      </c>
      <c r="B907" s="45">
        <f>COUNTIF($A$2:A907,A907)</f>
        <v>1</v>
      </c>
      <c r="C907" s="45" t="str">
        <f>Tabla2[[#This Row],[(id_solicitud-tipo_documento)]]&amp;B907</f>
        <v>208Decreto1</v>
      </c>
      <c r="D907" s="45">
        <v>909</v>
      </c>
      <c r="E907" s="45">
        <v>208</v>
      </c>
      <c r="F907" s="45" t="s">
        <v>47</v>
      </c>
      <c r="G907" s="45" t="s">
        <v>40</v>
      </c>
      <c r="H907" s="50" t="s">
        <v>578</v>
      </c>
      <c r="I907" s="51">
        <v>925</v>
      </c>
      <c r="J907" s="80"/>
      <c r="K9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925 DV-SISS</v>
      </c>
      <c r="L907" s="48">
        <v>44728</v>
      </c>
      <c r="M907" s="48"/>
      <c r="N907" s="49" t="s">
        <v>869</v>
      </c>
      <c r="O907" s="45"/>
      <c r="P907" s="80"/>
      <c r="Q907" s="48"/>
      <c r="R907" s="45"/>
      <c r="S907" s="115">
        <v>428</v>
      </c>
      <c r="T907" s="20">
        <v>44715</v>
      </c>
      <c r="U907" s="20">
        <v>44741</v>
      </c>
      <c r="V907" s="20">
        <v>44741</v>
      </c>
      <c r="W907" s="27"/>
    </row>
    <row r="908" spans="1:23" ht="60" hidden="1" customHeight="1" x14ac:dyDescent="0.25">
      <c r="A908" s="45" t="str">
        <f>CONCATENATE(Tabla2[[#This Row],[id_solicitud]],Tabla2[[#This Row],[tipo]])</f>
        <v>119Resolucion</v>
      </c>
      <c r="B908" s="45">
        <f>COUNTIF($A$2:A908,A908)</f>
        <v>1</v>
      </c>
      <c r="C908" s="45" t="str">
        <f>Tabla2[[#This Row],[(id_solicitud-tipo_documento)]]&amp;B908</f>
        <v>119Resolucion1</v>
      </c>
      <c r="D908" s="45">
        <v>910</v>
      </c>
      <c r="E908" s="45">
        <v>119</v>
      </c>
      <c r="F908" s="45" t="s">
        <v>48</v>
      </c>
      <c r="G908" s="45"/>
      <c r="H908" s="50" t="s">
        <v>535</v>
      </c>
      <c r="I908" s="51">
        <v>927</v>
      </c>
      <c r="J908" s="80"/>
      <c r="K9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08" s="48">
        <v>44642</v>
      </c>
      <c r="M908" s="48"/>
      <c r="N908" s="49"/>
      <c r="O908" s="45"/>
      <c r="P908" s="80"/>
      <c r="Q908" s="48"/>
      <c r="R908" s="45"/>
      <c r="S908" s="114"/>
      <c r="T908" s="45"/>
      <c r="U908" s="48"/>
      <c r="V908" s="48"/>
      <c r="W908" s="27"/>
    </row>
    <row r="909" spans="1:23" ht="60" hidden="1" customHeight="1" x14ac:dyDescent="0.25">
      <c r="A909" s="45" t="str">
        <f>CONCATENATE(Tabla2[[#This Row],[id_solicitud]],Tabla2[[#This Row],[tipo]])</f>
        <v>470Oficio_Solicitud</v>
      </c>
      <c r="B909" s="45">
        <f>COUNTIF($A$2:A909,A909)</f>
        <v>1</v>
      </c>
      <c r="C909" s="45" t="str">
        <f>Tabla2[[#This Row],[(id_solicitud-tipo_documento)]]&amp;B909</f>
        <v>470Oficio_Solicitud1</v>
      </c>
      <c r="D909" s="45">
        <v>911</v>
      </c>
      <c r="E909" s="45">
        <v>470</v>
      </c>
      <c r="F909" s="45" t="s">
        <v>53</v>
      </c>
      <c r="G909" s="45" t="s">
        <v>1259</v>
      </c>
      <c r="H909" s="50" t="s">
        <v>16</v>
      </c>
      <c r="I909" s="51">
        <v>932</v>
      </c>
      <c r="J909" s="80"/>
      <c r="K9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932 DGC</v>
      </c>
      <c r="L909" s="48">
        <v>44831</v>
      </c>
      <c r="M909" s="48">
        <v>44831</v>
      </c>
      <c r="N909" s="49" t="s">
        <v>440</v>
      </c>
      <c r="O909" s="45"/>
      <c r="P909" s="80" t="s">
        <v>497</v>
      </c>
      <c r="Q909" s="48"/>
      <c r="R909" s="45"/>
      <c r="S909" s="114"/>
      <c r="T909" s="52"/>
      <c r="U909" s="48"/>
      <c r="V909" s="48"/>
      <c r="W909" s="27"/>
    </row>
    <row r="910" spans="1:23" ht="60" hidden="1" customHeight="1" x14ac:dyDescent="0.25">
      <c r="A910" s="45" t="str">
        <f>CONCATENATE(Tabla2[[#This Row],[id_solicitud]],Tabla2[[#This Row],[tipo]])</f>
        <v>172Oficio_Solicitud</v>
      </c>
      <c r="B910" s="45">
        <f>COUNTIF($A$2:A910,A910)</f>
        <v>1</v>
      </c>
      <c r="C910" s="45" t="str">
        <f>Tabla2[[#This Row],[(id_solicitud-tipo_documento)]]&amp;B910</f>
        <v>172Oficio_Solicitud1</v>
      </c>
      <c r="D910" s="45">
        <v>912</v>
      </c>
      <c r="E910" s="45">
        <v>172</v>
      </c>
      <c r="F910" s="45" t="s">
        <v>53</v>
      </c>
      <c r="G910" s="45" t="s">
        <v>60</v>
      </c>
      <c r="H910" s="50" t="s">
        <v>535</v>
      </c>
      <c r="I910" s="51">
        <v>936</v>
      </c>
      <c r="J910" s="80"/>
      <c r="K9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936 DOH_FETCovid19</v>
      </c>
      <c r="L910" s="48">
        <v>44671</v>
      </c>
      <c r="M910" s="48">
        <v>44672</v>
      </c>
      <c r="N910" s="49" t="s">
        <v>212</v>
      </c>
      <c r="O910" s="45">
        <v>1</v>
      </c>
      <c r="P910" s="80" t="s">
        <v>494</v>
      </c>
      <c r="Q910" s="48"/>
      <c r="R910" s="45"/>
      <c r="S910" s="114"/>
      <c r="T910" s="52"/>
      <c r="U910" s="48"/>
      <c r="V910" s="48"/>
      <c r="W910" s="27"/>
    </row>
    <row r="911" spans="1:23" ht="60" hidden="1" customHeight="1" x14ac:dyDescent="0.25">
      <c r="A911" s="45" t="str">
        <f>CONCATENATE(Tabla2[[#This Row],[id_solicitud]],Tabla2[[#This Row],[tipo]])</f>
        <v>372Oficio_Solicitud</v>
      </c>
      <c r="B911" s="45">
        <f>COUNTIF($A$2:A911,A911)</f>
        <v>1</v>
      </c>
      <c r="C911" s="45" t="str">
        <f>Tabla2[[#This Row],[(id_solicitud-tipo_documento)]]&amp;B911</f>
        <v>372Oficio_Solicitud1</v>
      </c>
      <c r="D911" s="45">
        <v>913</v>
      </c>
      <c r="E911" s="45">
        <v>372</v>
      </c>
      <c r="F911" s="45" t="s">
        <v>53</v>
      </c>
      <c r="G911" s="45" t="s">
        <v>40</v>
      </c>
      <c r="H911" s="50" t="s">
        <v>8</v>
      </c>
      <c r="I911" s="51">
        <v>936</v>
      </c>
      <c r="J911" s="80"/>
      <c r="K9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936 DA</v>
      </c>
      <c r="L911" s="48">
        <v>44791</v>
      </c>
      <c r="M911" s="48">
        <v>44795</v>
      </c>
      <c r="N911" s="49" t="s">
        <v>371</v>
      </c>
      <c r="O911" s="45"/>
      <c r="P911" s="80" t="s">
        <v>501</v>
      </c>
      <c r="Q911" s="48"/>
      <c r="R911" s="45"/>
      <c r="S911" s="114"/>
      <c r="T911" s="52"/>
      <c r="U911" s="48"/>
      <c r="V911" s="48"/>
      <c r="W911" s="27"/>
    </row>
    <row r="912" spans="1:23" ht="60" hidden="1" customHeight="1" x14ac:dyDescent="0.25">
      <c r="A912" s="45" t="str">
        <f>CONCATENATE(Tabla2[[#This Row],[id_solicitud]],Tabla2[[#This Row],[tipo]])</f>
        <v>79Decreto</v>
      </c>
      <c r="B912" s="45">
        <f>COUNTIF($A$2:A912,A912)</f>
        <v>1</v>
      </c>
      <c r="C912" s="45" t="str">
        <f>Tabla2[[#This Row],[(id_solicitud-tipo_documento)]]&amp;B912</f>
        <v>79Decreto1</v>
      </c>
      <c r="D912" s="45">
        <v>914</v>
      </c>
      <c r="E912" s="45">
        <v>79</v>
      </c>
      <c r="F912" s="45" t="s">
        <v>47</v>
      </c>
      <c r="G912" s="45" t="s">
        <v>60</v>
      </c>
      <c r="H912" s="50" t="s">
        <v>559</v>
      </c>
      <c r="I912" s="51">
        <v>939</v>
      </c>
      <c r="J912" s="80"/>
      <c r="K9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939 APR_FETCovid19</v>
      </c>
      <c r="L912" s="48">
        <v>44662</v>
      </c>
      <c r="M912" s="48"/>
      <c r="N912" s="49" t="s">
        <v>805</v>
      </c>
      <c r="O912" s="45"/>
      <c r="P912" s="80"/>
      <c r="Q912" s="48"/>
      <c r="R912" s="45"/>
      <c r="S912" s="115">
        <v>182</v>
      </c>
      <c r="T912" s="20">
        <v>44650</v>
      </c>
      <c r="U912" s="20"/>
      <c r="V912" s="20"/>
      <c r="W912" s="27"/>
    </row>
    <row r="913" spans="1:23" ht="60" hidden="1" customHeight="1" x14ac:dyDescent="0.25">
      <c r="A913" s="45" t="str">
        <f>CONCATENATE(Tabla2[[#This Row],[id_solicitud]],Tabla2[[#This Row],[tipo]])</f>
        <v>236Decreto</v>
      </c>
      <c r="B913" s="45">
        <f>COUNTIF($A$2:A913,A913)</f>
        <v>1</v>
      </c>
      <c r="C913" s="45" t="str">
        <f>Tabla2[[#This Row],[(id_solicitud-tipo_documento)]]&amp;B913</f>
        <v>236Decreto1</v>
      </c>
      <c r="D913" s="45">
        <v>915</v>
      </c>
      <c r="E913" s="45">
        <v>236</v>
      </c>
      <c r="F913" s="45" t="s">
        <v>47</v>
      </c>
      <c r="G913" s="45" t="s">
        <v>40</v>
      </c>
      <c r="H913" s="50" t="s">
        <v>8</v>
      </c>
      <c r="I913" s="51">
        <v>943</v>
      </c>
      <c r="J913" s="80"/>
      <c r="K9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943 DA</v>
      </c>
      <c r="L913" s="48">
        <v>44734</v>
      </c>
      <c r="M913" s="48"/>
      <c r="N913" s="49">
        <f>E913</f>
        <v>236</v>
      </c>
      <c r="O913" s="45"/>
      <c r="P913" s="80"/>
      <c r="Q913" s="48"/>
      <c r="R913" s="45"/>
      <c r="S913" s="115">
        <v>442</v>
      </c>
      <c r="T913" s="20">
        <v>44718</v>
      </c>
      <c r="U913" s="20">
        <v>44743</v>
      </c>
      <c r="V913" s="20">
        <v>44743</v>
      </c>
      <c r="W913" s="27"/>
    </row>
    <row r="914" spans="1:23" ht="60" hidden="1" customHeight="1" x14ac:dyDescent="0.25">
      <c r="A914" s="45" t="str">
        <f>CONCATENATE(Tabla2[[#This Row],[id_solicitud]],Tabla2[[#This Row],[tipo]])</f>
        <v>175Oficio_Solicitud</v>
      </c>
      <c r="B914" s="45">
        <f>COUNTIF($A$2:A914,A914)</f>
        <v>1</v>
      </c>
      <c r="C914" s="45" t="str">
        <f>Tabla2[[#This Row],[(id_solicitud-tipo_documento)]]&amp;B914</f>
        <v>175Oficio_Solicitud1</v>
      </c>
      <c r="D914" s="45">
        <v>916</v>
      </c>
      <c r="E914" s="45">
        <v>175</v>
      </c>
      <c r="F914" s="45" t="s">
        <v>53</v>
      </c>
      <c r="G914" s="45" t="s">
        <v>60</v>
      </c>
      <c r="H914" s="50" t="s">
        <v>20</v>
      </c>
      <c r="I914" s="51">
        <v>947</v>
      </c>
      <c r="J914" s="80"/>
      <c r="K9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947 DOH</v>
      </c>
      <c r="L914" s="48">
        <v>44672</v>
      </c>
      <c r="M914" s="48">
        <v>44673</v>
      </c>
      <c r="N914" s="49" t="s">
        <v>214</v>
      </c>
      <c r="O914" s="45">
        <v>1</v>
      </c>
      <c r="P914" s="80" t="s">
        <v>494</v>
      </c>
      <c r="Q914" s="48"/>
      <c r="R914" s="45"/>
      <c r="S914" s="114"/>
      <c r="T914" s="52"/>
      <c r="U914" s="48"/>
      <c r="V914" s="48"/>
      <c r="W914" s="27"/>
    </row>
    <row r="915" spans="1:23" ht="60" hidden="1" customHeight="1" x14ac:dyDescent="0.25">
      <c r="A915" s="45" t="str">
        <f>CONCATENATE(Tabla2[[#This Row],[id_solicitud]],Tabla2[[#This Row],[tipo]])</f>
        <v>190Decreto</v>
      </c>
      <c r="B915" s="45">
        <f>COUNTIF($A$2:A915,A915)</f>
        <v>1</v>
      </c>
      <c r="C915" s="45" t="str">
        <f>Tabla2[[#This Row],[(id_solicitud-tipo_documento)]]&amp;B915</f>
        <v>190Decreto1</v>
      </c>
      <c r="D915" s="45">
        <v>917</v>
      </c>
      <c r="E915" s="45">
        <v>190</v>
      </c>
      <c r="F915" s="45" t="s">
        <v>47</v>
      </c>
      <c r="G915" s="45" t="s">
        <v>40</v>
      </c>
      <c r="H915" s="50" t="s">
        <v>35</v>
      </c>
      <c r="I915" s="51">
        <v>951</v>
      </c>
      <c r="J915" s="80"/>
      <c r="K9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951 SOP</v>
      </c>
      <c r="L915" s="48">
        <v>44734</v>
      </c>
      <c r="M915" s="48"/>
      <c r="N915" s="49" t="s">
        <v>855</v>
      </c>
      <c r="O915" s="45"/>
      <c r="P915" s="80"/>
      <c r="Q915" s="48"/>
      <c r="R915" s="45"/>
      <c r="S915" s="115">
        <v>408</v>
      </c>
      <c r="T915" s="20">
        <v>44711</v>
      </c>
      <c r="U915" s="20">
        <v>44743</v>
      </c>
      <c r="V915" s="20">
        <v>44743</v>
      </c>
      <c r="W915" s="27"/>
    </row>
    <row r="916" spans="1:23" ht="60" hidden="1" customHeight="1" x14ac:dyDescent="0.25">
      <c r="A916" s="45" t="str">
        <f>CONCATENATE(Tabla2[[#This Row],[id_solicitud]],Tabla2[[#This Row],[tipo]])</f>
        <v>267Resolucion</v>
      </c>
      <c r="B916" s="45">
        <f>COUNTIF($A$2:A916,A916)</f>
        <v>1</v>
      </c>
      <c r="C916" s="45" t="str">
        <f>Tabla2[[#This Row],[(id_solicitud-tipo_documento)]]&amp;B916</f>
        <v>267Resolucion1</v>
      </c>
      <c r="D916" s="45">
        <v>918</v>
      </c>
      <c r="E916" s="45">
        <v>267</v>
      </c>
      <c r="F916" s="45" t="s">
        <v>48</v>
      </c>
      <c r="G916" s="45"/>
      <c r="H916" s="50" t="s">
        <v>10</v>
      </c>
      <c r="I916" s="51">
        <v>952</v>
      </c>
      <c r="J916" s="80"/>
      <c r="K9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16" s="48">
        <v>44734</v>
      </c>
      <c r="M916" s="48"/>
      <c r="N916" s="49"/>
      <c r="O916" s="45"/>
      <c r="P916" s="80"/>
      <c r="Q916" s="48"/>
      <c r="R916" s="45"/>
      <c r="S916" s="114"/>
      <c r="T916" s="45"/>
      <c r="U916" s="48"/>
      <c r="V916" s="48"/>
      <c r="W916" s="27"/>
    </row>
    <row r="917" spans="1:23" ht="60" hidden="1" customHeight="1" x14ac:dyDescent="0.25">
      <c r="A917" s="45" t="str">
        <f>CONCATENATE(Tabla2[[#This Row],[id_solicitud]],Tabla2[[#This Row],[tipo]])</f>
        <v>181Oficio_Solicitud</v>
      </c>
      <c r="B917" s="45">
        <f>COUNTIF($A$2:A917,A917)</f>
        <v>1</v>
      </c>
      <c r="C917" s="45" t="str">
        <f>Tabla2[[#This Row],[(id_solicitud-tipo_documento)]]&amp;B917</f>
        <v>181Oficio_Solicitud1</v>
      </c>
      <c r="D917" s="45">
        <v>919</v>
      </c>
      <c r="E917" s="45">
        <v>181</v>
      </c>
      <c r="F917" s="45" t="s">
        <v>53</v>
      </c>
      <c r="G917" s="45" t="s">
        <v>61</v>
      </c>
      <c r="H917" s="50" t="s">
        <v>20</v>
      </c>
      <c r="I917" s="51">
        <v>953</v>
      </c>
      <c r="J917" s="80"/>
      <c r="K9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953 DOH</v>
      </c>
      <c r="L917" s="48">
        <v>44673</v>
      </c>
      <c r="M917" s="48">
        <v>44684</v>
      </c>
      <c r="N917" s="49" t="s">
        <v>1015</v>
      </c>
      <c r="O917" s="45">
        <v>9</v>
      </c>
      <c r="P917" s="80" t="s">
        <v>494</v>
      </c>
      <c r="Q917" s="48"/>
      <c r="R917" s="45"/>
      <c r="S917" s="114"/>
      <c r="T917" s="52"/>
      <c r="U917" s="48"/>
      <c r="V917" s="48"/>
      <c r="W917" s="27"/>
    </row>
    <row r="918" spans="1:23" ht="60" hidden="1" customHeight="1" x14ac:dyDescent="0.25">
      <c r="A918" s="45" t="str">
        <f>CONCATENATE(Tabla2[[#This Row],[id_solicitud]],Tabla2[[#This Row],[tipo]])</f>
        <v>180Resolucion</v>
      </c>
      <c r="B918" s="45">
        <f>COUNTIF($A$2:A918,A918)</f>
        <v>1</v>
      </c>
      <c r="C918" s="45" t="str">
        <f>Tabla2[[#This Row],[(id_solicitud-tipo_documento)]]&amp;B918</f>
        <v>180Resolucion1</v>
      </c>
      <c r="D918" s="45">
        <v>920</v>
      </c>
      <c r="E918" s="45">
        <v>180</v>
      </c>
      <c r="F918" s="45" t="s">
        <v>48</v>
      </c>
      <c r="G918" s="45"/>
      <c r="H918" s="50" t="s">
        <v>10</v>
      </c>
      <c r="I918" s="51">
        <v>954</v>
      </c>
      <c r="J918" s="80"/>
      <c r="K9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18" s="48">
        <v>44734</v>
      </c>
      <c r="M918" s="48"/>
      <c r="N918" s="49"/>
      <c r="O918" s="45"/>
      <c r="P918" s="80"/>
      <c r="Q918" s="48"/>
      <c r="R918" s="45"/>
      <c r="S918" s="114"/>
      <c r="T918" s="45"/>
      <c r="U918" s="48"/>
      <c r="V918" s="48"/>
      <c r="W918" s="27"/>
    </row>
    <row r="919" spans="1:23" ht="60" hidden="1" customHeight="1" x14ac:dyDescent="0.25">
      <c r="A919" s="45" t="str">
        <f>CONCATENATE(Tabla2[[#This Row],[id_solicitud]],Tabla2[[#This Row],[tipo]])</f>
        <v>382Oficio_Solicitud</v>
      </c>
      <c r="B919" s="45">
        <f>COUNTIF($A$2:A919,A919)</f>
        <v>1</v>
      </c>
      <c r="C919" s="45" t="str">
        <f>Tabla2[[#This Row],[(id_solicitud-tipo_documento)]]&amp;B919</f>
        <v>382Oficio_Solicitud1</v>
      </c>
      <c r="D919" s="45">
        <v>921</v>
      </c>
      <c r="E919" s="45">
        <v>382</v>
      </c>
      <c r="F919" s="45" t="s">
        <v>53</v>
      </c>
      <c r="G919" s="45" t="s">
        <v>40</v>
      </c>
      <c r="H919" s="50" t="s">
        <v>8</v>
      </c>
      <c r="I919" s="51">
        <v>958</v>
      </c>
      <c r="J919" s="80"/>
      <c r="K9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958 DA</v>
      </c>
      <c r="L919" s="48">
        <v>44797</v>
      </c>
      <c r="M919" s="48">
        <v>44798</v>
      </c>
      <c r="N919" s="49" t="s">
        <v>379</v>
      </c>
      <c r="O919" s="45"/>
      <c r="P919" s="80" t="s">
        <v>494</v>
      </c>
      <c r="Q919" s="48">
        <v>44803</v>
      </c>
      <c r="R919" s="45"/>
      <c r="S919" s="114"/>
      <c r="T919" s="52"/>
      <c r="U919" s="48"/>
      <c r="V919" s="48"/>
      <c r="W919" s="27"/>
    </row>
    <row r="920" spans="1:23" ht="60" hidden="1" customHeight="1" x14ac:dyDescent="0.25">
      <c r="A920" s="45" t="str">
        <f>CONCATENATE(Tabla2[[#This Row],[id_solicitud]],Tabla2[[#This Row],[tipo]])</f>
        <v>207Decreto</v>
      </c>
      <c r="B920" s="45">
        <f>COUNTIF($A$2:A920,A920)</f>
        <v>1</v>
      </c>
      <c r="C920" s="45" t="str">
        <f>Tabla2[[#This Row],[(id_solicitud-tipo_documento)]]&amp;B920</f>
        <v>207Decreto1</v>
      </c>
      <c r="D920" s="45">
        <v>922</v>
      </c>
      <c r="E920" s="45">
        <v>207</v>
      </c>
      <c r="F920" s="45" t="s">
        <v>47</v>
      </c>
      <c r="G920" s="45" t="s">
        <v>60</v>
      </c>
      <c r="H920" s="50" t="s">
        <v>22</v>
      </c>
      <c r="I920" s="51">
        <v>969</v>
      </c>
      <c r="J920" s="80"/>
      <c r="K9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969 DOP</v>
      </c>
      <c r="L920" s="48">
        <v>44734</v>
      </c>
      <c r="M920" s="48"/>
      <c r="N920" s="49" t="s">
        <v>868</v>
      </c>
      <c r="O920" s="45"/>
      <c r="P920" s="80"/>
      <c r="Q920" s="48"/>
      <c r="R920" s="45"/>
      <c r="S920" s="115">
        <v>432</v>
      </c>
      <c r="T920" s="20">
        <v>44721</v>
      </c>
      <c r="U920" s="20">
        <v>44747</v>
      </c>
      <c r="V920" s="20">
        <v>44747</v>
      </c>
      <c r="W920" s="27"/>
    </row>
    <row r="921" spans="1:23" ht="60" hidden="1" customHeight="1" x14ac:dyDescent="0.25">
      <c r="A921" s="45" t="str">
        <f>CONCATENATE(Tabla2[[#This Row],[id_solicitud]],Tabla2[[#This Row],[tipo]])</f>
        <v>232Decreto</v>
      </c>
      <c r="B921" s="45">
        <f>COUNTIF($A$2:A921,A921)</f>
        <v>1</v>
      </c>
      <c r="C921" s="45" t="str">
        <f>Tabla2[[#This Row],[(id_solicitud-tipo_documento)]]&amp;B921</f>
        <v>232Decreto1</v>
      </c>
      <c r="D921" s="45">
        <v>923</v>
      </c>
      <c r="E921" s="45">
        <v>232</v>
      </c>
      <c r="F921" s="45" t="s">
        <v>47</v>
      </c>
      <c r="G921" s="45" t="s">
        <v>61</v>
      </c>
      <c r="H921" s="50" t="s">
        <v>584</v>
      </c>
      <c r="I921" s="51">
        <v>971</v>
      </c>
      <c r="J921" s="80"/>
      <c r="K9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971 DP-DV</v>
      </c>
      <c r="L921" s="48">
        <v>44734</v>
      </c>
      <c r="M921" s="48"/>
      <c r="N921" s="49">
        <f>E921</f>
        <v>232</v>
      </c>
      <c r="O921" s="45"/>
      <c r="P921" s="80"/>
      <c r="Q921" s="48"/>
      <c r="R921" s="45"/>
      <c r="S921" s="115">
        <v>445</v>
      </c>
      <c r="T921" s="20">
        <v>44720</v>
      </c>
      <c r="U921" s="20">
        <v>44747</v>
      </c>
      <c r="V921" s="20">
        <v>44747</v>
      </c>
      <c r="W921" s="27"/>
    </row>
    <row r="922" spans="1:23" ht="60" hidden="1" customHeight="1" x14ac:dyDescent="0.25">
      <c r="A922" s="45" t="str">
        <f>CONCATENATE(Tabla2[[#This Row],[id_solicitud]],Tabla2[[#This Row],[tipo]])</f>
        <v>41Resolucion</v>
      </c>
      <c r="B922" s="45">
        <f>COUNTIF($A$2:A922,A922)</f>
        <v>1</v>
      </c>
      <c r="C922" s="45" t="str">
        <f>Tabla2[[#This Row],[(id_solicitud-tipo_documento)]]&amp;B922</f>
        <v>41Resolucion1</v>
      </c>
      <c r="D922" s="45">
        <v>924</v>
      </c>
      <c r="E922" s="45">
        <v>41</v>
      </c>
      <c r="F922" s="45" t="s">
        <v>48</v>
      </c>
      <c r="G922" s="45"/>
      <c r="H922" s="50" t="s">
        <v>6</v>
      </c>
      <c r="I922" s="51">
        <v>972</v>
      </c>
      <c r="J922" s="80"/>
      <c r="K9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22" s="48">
        <v>44644</v>
      </c>
      <c r="M922" s="48"/>
      <c r="N922" s="49"/>
      <c r="O922" s="45"/>
      <c r="P922" s="80"/>
      <c r="Q922" s="48"/>
      <c r="R922" s="45"/>
      <c r="S922" s="114"/>
      <c r="T922" s="45"/>
      <c r="U922" s="48"/>
      <c r="V922" s="48"/>
      <c r="W922" s="27"/>
    </row>
    <row r="923" spans="1:23" ht="60" hidden="1" customHeight="1" x14ac:dyDescent="0.25">
      <c r="A923" s="45" t="str">
        <f>CONCATENATE(Tabla2[[#This Row],[id_solicitud]],Tabla2[[#This Row],[tipo]])</f>
        <v>232Decreto</v>
      </c>
      <c r="B923" s="45">
        <f>COUNTIF($A$2:A923,A923)</f>
        <v>2</v>
      </c>
      <c r="C923" s="45" t="str">
        <f>Tabla2[[#This Row],[(id_solicitud-tipo_documento)]]&amp;B923</f>
        <v>232Decreto2</v>
      </c>
      <c r="D923" s="45">
        <v>925</v>
      </c>
      <c r="E923" s="45">
        <v>232</v>
      </c>
      <c r="F923" s="45" t="s">
        <v>47</v>
      </c>
      <c r="G923" s="45" t="s">
        <v>40</v>
      </c>
      <c r="H923" s="50" t="s">
        <v>584</v>
      </c>
      <c r="I923" s="51">
        <v>972</v>
      </c>
      <c r="J923" s="80"/>
      <c r="K9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972 DP-DV</v>
      </c>
      <c r="L923" s="48">
        <v>44734</v>
      </c>
      <c r="M923" s="48"/>
      <c r="N923" s="49" t="s">
        <v>896</v>
      </c>
      <c r="O923" s="45"/>
      <c r="P923" s="80"/>
      <c r="Q923" s="48"/>
      <c r="R923" s="45"/>
      <c r="S923" s="115">
        <v>444</v>
      </c>
      <c r="T923" s="20">
        <v>44720</v>
      </c>
      <c r="U923" s="20">
        <v>44743</v>
      </c>
      <c r="V923" s="20">
        <v>44743</v>
      </c>
      <c r="W923" s="27"/>
    </row>
    <row r="924" spans="1:23" ht="60" hidden="1" customHeight="1" x14ac:dyDescent="0.25">
      <c r="A924" s="45" t="str">
        <f>CONCATENATE(Tabla2[[#This Row],[id_solicitud]],Tabla2[[#This Row],[tipo]])</f>
        <v>62Resolucion</v>
      </c>
      <c r="B924" s="45">
        <f>COUNTIF($A$2:A924,A924)</f>
        <v>1</v>
      </c>
      <c r="C924" s="45" t="str">
        <f>Tabla2[[#This Row],[(id_solicitud-tipo_documento)]]&amp;B924</f>
        <v>62Resolucion1</v>
      </c>
      <c r="D924" s="45">
        <v>926</v>
      </c>
      <c r="E924" s="45">
        <v>62</v>
      </c>
      <c r="F924" s="45" t="s">
        <v>48</v>
      </c>
      <c r="G924" s="45"/>
      <c r="H924" s="50" t="s">
        <v>6</v>
      </c>
      <c r="I924" s="51">
        <v>973</v>
      </c>
      <c r="J924" s="80"/>
      <c r="K9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24" s="48">
        <v>44644</v>
      </c>
      <c r="M924" s="48"/>
      <c r="N924" s="49"/>
      <c r="O924" s="45"/>
      <c r="P924" s="80"/>
      <c r="Q924" s="48"/>
      <c r="R924" s="45"/>
      <c r="S924" s="114"/>
      <c r="T924" s="45"/>
      <c r="U924" s="48"/>
      <c r="V924" s="48"/>
      <c r="W924" s="27"/>
    </row>
    <row r="925" spans="1:23" ht="60" hidden="1" customHeight="1" x14ac:dyDescent="0.25">
      <c r="A925" s="45" t="str">
        <f>CONCATENATE(Tabla2[[#This Row],[id_solicitud]],Tabla2[[#This Row],[tipo]])</f>
        <v>271Decreto</v>
      </c>
      <c r="B925" s="45">
        <f>COUNTIF($A$2:A925,A925)</f>
        <v>1</v>
      </c>
      <c r="C925" s="45" t="str">
        <f>Tabla2[[#This Row],[(id_solicitud-tipo_documento)]]&amp;B925</f>
        <v>271Decreto1</v>
      </c>
      <c r="D925" s="45">
        <v>927</v>
      </c>
      <c r="E925" s="45">
        <v>271</v>
      </c>
      <c r="F925" s="45" t="s">
        <v>47</v>
      </c>
      <c r="G925" s="45" t="s">
        <v>1258</v>
      </c>
      <c r="H925" s="50" t="s">
        <v>544</v>
      </c>
      <c r="I925" s="51">
        <v>973</v>
      </c>
      <c r="J925" s="80"/>
      <c r="K9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973 DAP_FETCovid19</v>
      </c>
      <c r="L925" s="48">
        <v>44735</v>
      </c>
      <c r="M925" s="48"/>
      <c r="N925" s="49">
        <f>+E925</f>
        <v>271</v>
      </c>
      <c r="O925" s="45"/>
      <c r="P925" s="80"/>
      <c r="Q925" s="48"/>
      <c r="R925" s="45"/>
      <c r="S925" s="115"/>
      <c r="T925" s="20"/>
      <c r="U925" s="20"/>
      <c r="V925" s="20"/>
      <c r="W925" s="27"/>
    </row>
    <row r="926" spans="1:23" ht="60" hidden="1" customHeight="1" x14ac:dyDescent="0.25">
      <c r="A926" s="45" t="str">
        <f>CONCATENATE(Tabla2[[#This Row],[id_solicitud]],Tabla2[[#This Row],[tipo]])</f>
        <v>271Resolucion</v>
      </c>
      <c r="B926" s="45">
        <f>COUNTIF($A$2:A926,A926)</f>
        <v>1</v>
      </c>
      <c r="C926" s="45" t="str">
        <f>Tabla2[[#This Row],[(id_solicitud-tipo_documento)]]&amp;B926</f>
        <v>271Resolucion1</v>
      </c>
      <c r="D926" s="45">
        <v>928</v>
      </c>
      <c r="E926" s="45">
        <v>271</v>
      </c>
      <c r="F926" s="45" t="s">
        <v>48</v>
      </c>
      <c r="G926" s="45"/>
      <c r="H926" s="50" t="s">
        <v>544</v>
      </c>
      <c r="I926" s="51">
        <v>973</v>
      </c>
      <c r="J926" s="80"/>
      <c r="K9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26" s="48">
        <v>44735</v>
      </c>
      <c r="M926" s="48"/>
      <c r="N926" s="49"/>
      <c r="O926" s="45"/>
      <c r="P926" s="80"/>
      <c r="Q926" s="48"/>
      <c r="R926" s="45"/>
      <c r="S926" s="114"/>
      <c r="T926" s="45"/>
      <c r="U926" s="48"/>
      <c r="V926" s="48"/>
      <c r="W926" s="27"/>
    </row>
    <row r="927" spans="1:23" ht="60" hidden="1" customHeight="1" x14ac:dyDescent="0.25">
      <c r="A927" s="45" t="str">
        <f>CONCATENATE(Tabla2[[#This Row],[id_solicitud]],Tabla2[[#This Row],[tipo]])</f>
        <v>210Decreto</v>
      </c>
      <c r="B927" s="45">
        <f>COUNTIF($A$2:A927,A927)</f>
        <v>1</v>
      </c>
      <c r="C927" s="45" t="str">
        <f>Tabla2[[#This Row],[(id_solicitud-tipo_documento)]]&amp;B927</f>
        <v>210Decreto1</v>
      </c>
      <c r="D927" s="45">
        <v>929</v>
      </c>
      <c r="E927" s="45">
        <v>210</v>
      </c>
      <c r="F927" s="45" t="s">
        <v>47</v>
      </c>
      <c r="G927" s="45" t="s">
        <v>60</v>
      </c>
      <c r="H927" s="50" t="s">
        <v>544</v>
      </c>
      <c r="I927" s="51">
        <v>974</v>
      </c>
      <c r="J927" s="80"/>
      <c r="K9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974 DAP_FETCovid19</v>
      </c>
      <c r="L927" s="48">
        <v>44734</v>
      </c>
      <c r="M927" s="48"/>
      <c r="N927" s="49"/>
      <c r="O927" s="45"/>
      <c r="P927" s="80"/>
      <c r="Q927" s="48"/>
      <c r="R927" s="45"/>
      <c r="S927" s="115">
        <v>457</v>
      </c>
      <c r="T927" s="20">
        <v>44722</v>
      </c>
      <c r="U927" s="20">
        <v>44743</v>
      </c>
      <c r="V927" s="20">
        <v>44743</v>
      </c>
      <c r="W927" s="27"/>
    </row>
    <row r="928" spans="1:23" ht="60" hidden="1" customHeight="1" x14ac:dyDescent="0.25">
      <c r="A928" s="45" t="str">
        <f>CONCATENATE(Tabla2[[#This Row],[id_solicitud]],Tabla2[[#This Row],[tipo]])</f>
        <v>210Decreto</v>
      </c>
      <c r="B928" s="45">
        <f>COUNTIF($A$2:A928,A928)</f>
        <v>2</v>
      </c>
      <c r="C928" s="45" t="str">
        <f>Tabla2[[#This Row],[(id_solicitud-tipo_documento)]]&amp;B928</f>
        <v>210Decreto2</v>
      </c>
      <c r="D928" s="45">
        <v>930</v>
      </c>
      <c r="E928" s="45">
        <v>210</v>
      </c>
      <c r="F928" s="45" t="s">
        <v>47</v>
      </c>
      <c r="G928" s="45" t="s">
        <v>40</v>
      </c>
      <c r="H928" s="50" t="s">
        <v>544</v>
      </c>
      <c r="I928" s="51">
        <v>978</v>
      </c>
      <c r="J928" s="80"/>
      <c r="K9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978 DAP_FETCovid19</v>
      </c>
      <c r="L928" s="48">
        <v>44734</v>
      </c>
      <c r="M928" s="48"/>
      <c r="N928" s="49" t="s">
        <v>897</v>
      </c>
      <c r="O928" s="45"/>
      <c r="P928" s="80"/>
      <c r="Q928" s="48"/>
      <c r="R928" s="45"/>
      <c r="S928" s="115">
        <v>456</v>
      </c>
      <c r="T928" s="20">
        <v>44722</v>
      </c>
      <c r="U928" s="20">
        <v>44743</v>
      </c>
      <c r="V928" s="20">
        <v>44743</v>
      </c>
      <c r="W928" s="27"/>
    </row>
    <row r="929" spans="1:23" ht="60" hidden="1" customHeight="1" x14ac:dyDescent="0.25">
      <c r="A929" s="45" t="str">
        <f>CONCATENATE(Tabla2[[#This Row],[id_solicitud]],Tabla2[[#This Row],[tipo]])</f>
        <v>146Oficio_Solicitud</v>
      </c>
      <c r="B929" s="45">
        <f>COUNTIF($A$2:A929,A929)</f>
        <v>1</v>
      </c>
      <c r="C929" s="45" t="str">
        <f>Tabla2[[#This Row],[(id_solicitud-tipo_documento)]]&amp;B929</f>
        <v>146Oficio_Solicitud1</v>
      </c>
      <c r="D929" s="45">
        <v>931</v>
      </c>
      <c r="E929" s="45">
        <v>146</v>
      </c>
      <c r="F929" s="45" t="s">
        <v>53</v>
      </c>
      <c r="G929" s="45" t="s">
        <v>40</v>
      </c>
      <c r="H929" s="50" t="s">
        <v>33</v>
      </c>
      <c r="I929" s="51">
        <v>979</v>
      </c>
      <c r="J929" s="80"/>
      <c r="K9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979 SISS</v>
      </c>
      <c r="L929" s="48">
        <v>44651</v>
      </c>
      <c r="M929" s="48">
        <v>44651</v>
      </c>
      <c r="N929" s="49" t="s">
        <v>189</v>
      </c>
      <c r="O929" s="45">
        <v>0</v>
      </c>
      <c r="P929" s="80" t="s">
        <v>500</v>
      </c>
      <c r="Q929" s="48"/>
      <c r="R929" s="45"/>
      <c r="S929" s="114"/>
      <c r="T929" s="52"/>
      <c r="U929" s="48"/>
      <c r="V929" s="48"/>
      <c r="W929" s="27"/>
    </row>
    <row r="930" spans="1:23" ht="60" hidden="1" customHeight="1" x14ac:dyDescent="0.25">
      <c r="A930" s="45" t="str">
        <f>CONCATENATE(Tabla2[[#This Row],[id_solicitud]],Tabla2[[#This Row],[tipo]])</f>
        <v>256Decreto</v>
      </c>
      <c r="B930" s="45">
        <f>COUNTIF($A$2:A930,A930)</f>
        <v>1</v>
      </c>
      <c r="C930" s="45" t="str">
        <f>Tabla2[[#This Row],[(id_solicitud-tipo_documento)]]&amp;B930</f>
        <v>256Decreto1</v>
      </c>
      <c r="D930" s="45">
        <v>932</v>
      </c>
      <c r="E930" s="45">
        <v>256</v>
      </c>
      <c r="F930" s="45" t="s">
        <v>47</v>
      </c>
      <c r="G930" s="45" t="s">
        <v>60</v>
      </c>
      <c r="H930" s="50" t="s">
        <v>8</v>
      </c>
      <c r="I930" s="51">
        <v>980</v>
      </c>
      <c r="J930" s="80"/>
      <c r="K9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980 DA</v>
      </c>
      <c r="L930" s="48">
        <v>44734</v>
      </c>
      <c r="M930" s="48"/>
      <c r="N930" s="49">
        <f>E930</f>
        <v>256</v>
      </c>
      <c r="O930" s="45"/>
      <c r="P930" s="80"/>
      <c r="Q930" s="48"/>
      <c r="R930" s="45"/>
      <c r="S930" s="115">
        <v>461</v>
      </c>
      <c r="T930" s="20">
        <v>44726</v>
      </c>
      <c r="U930" s="20">
        <v>44743</v>
      </c>
      <c r="V930" s="20">
        <v>44743</v>
      </c>
      <c r="W930" s="27"/>
    </row>
    <row r="931" spans="1:23" ht="60" hidden="1" customHeight="1" x14ac:dyDescent="0.25">
      <c r="A931" s="45" t="str">
        <f>CONCATENATE(Tabla2[[#This Row],[id_solicitud]],Tabla2[[#This Row],[tipo]])</f>
        <v>274Decreto</v>
      </c>
      <c r="B931" s="45">
        <f>COUNTIF($A$2:A931,A931)</f>
        <v>1</v>
      </c>
      <c r="C931" s="45" t="str">
        <f>Tabla2[[#This Row],[(id_solicitud-tipo_documento)]]&amp;B931</f>
        <v>274Decreto1</v>
      </c>
      <c r="D931" s="45">
        <v>933</v>
      </c>
      <c r="E931" s="45">
        <v>274</v>
      </c>
      <c r="F931" s="45" t="s">
        <v>47</v>
      </c>
      <c r="G931" s="45" t="s">
        <v>60</v>
      </c>
      <c r="H931" s="50" t="s">
        <v>6</v>
      </c>
      <c r="I931" s="51">
        <v>981</v>
      </c>
      <c r="J931" s="80"/>
      <c r="K9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981 APR</v>
      </c>
      <c r="L931" s="48">
        <v>44734</v>
      </c>
      <c r="M931" s="48"/>
      <c r="N931" s="49" t="s">
        <v>894</v>
      </c>
      <c r="O931" s="45"/>
      <c r="P931" s="80"/>
      <c r="Q931" s="48"/>
      <c r="R931" s="45"/>
      <c r="S931" s="115">
        <v>451</v>
      </c>
      <c r="T931" s="20">
        <v>44726</v>
      </c>
      <c r="U931" s="20">
        <v>44743</v>
      </c>
      <c r="V931" s="20">
        <v>44743</v>
      </c>
      <c r="W931" s="27"/>
    </row>
    <row r="932" spans="1:23" ht="60" hidden="1" customHeight="1" x14ac:dyDescent="0.25">
      <c r="A932" s="45" t="str">
        <f>CONCATENATE(Tabla2[[#This Row],[id_solicitud]],Tabla2[[#This Row],[tipo]])</f>
        <v>127Proposicion</v>
      </c>
      <c r="B932" s="45">
        <f>COUNTIF($A$2:A932,A932)</f>
        <v>1</v>
      </c>
      <c r="C932" s="45" t="str">
        <f>Tabla2[[#This Row],[(id_solicitud-tipo_documento)]]&amp;B932</f>
        <v>127Proposicion1</v>
      </c>
      <c r="D932" s="45">
        <v>934</v>
      </c>
      <c r="E932" s="45">
        <v>127</v>
      </c>
      <c r="F932" s="45" t="s">
        <v>46</v>
      </c>
      <c r="G932" s="45" t="s">
        <v>44</v>
      </c>
      <c r="H932" s="50" t="s">
        <v>26</v>
      </c>
      <c r="I932" s="51">
        <v>982</v>
      </c>
      <c r="J932" s="80"/>
      <c r="K9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982 DV</v>
      </c>
      <c r="L932" s="48">
        <v>44589</v>
      </c>
      <c r="M932" s="48">
        <v>44589</v>
      </c>
      <c r="N932" s="49" t="s">
        <v>645</v>
      </c>
      <c r="O932" s="45"/>
      <c r="P932" s="80" t="s">
        <v>500</v>
      </c>
      <c r="Q932" s="24"/>
      <c r="R932" s="24" t="s">
        <v>26</v>
      </c>
      <c r="S932" s="114"/>
      <c r="T932" s="45"/>
      <c r="U932" s="48"/>
      <c r="V932" s="48"/>
      <c r="W932" s="27"/>
    </row>
    <row r="933" spans="1:23" ht="60" hidden="1" customHeight="1" x14ac:dyDescent="0.25">
      <c r="A933" s="45" t="str">
        <f>CONCATENATE(Tabla2[[#This Row],[id_solicitud]],Tabla2[[#This Row],[tipo]])</f>
        <v>215Decreto</v>
      </c>
      <c r="B933" s="45">
        <f>COUNTIF($A$2:A933,A933)</f>
        <v>1</v>
      </c>
      <c r="C933" s="45" t="str">
        <f>Tabla2[[#This Row],[(id_solicitud-tipo_documento)]]&amp;B933</f>
        <v>215Decreto1</v>
      </c>
      <c r="D933" s="45">
        <v>935</v>
      </c>
      <c r="E933" s="45">
        <v>215</v>
      </c>
      <c r="F933" s="45" t="s">
        <v>47</v>
      </c>
      <c r="G933" s="45" t="s">
        <v>60</v>
      </c>
      <c r="H933" s="50" t="s">
        <v>559</v>
      </c>
      <c r="I933" s="51">
        <v>982</v>
      </c>
      <c r="J933" s="80"/>
      <c r="K9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982 APR_FETCovid19</v>
      </c>
      <c r="L933" s="48">
        <v>44734</v>
      </c>
      <c r="M933" s="48"/>
      <c r="N933" s="49" t="s">
        <v>874</v>
      </c>
      <c r="O933" s="45"/>
      <c r="P933" s="80"/>
      <c r="Q933" s="48"/>
      <c r="R933" s="45"/>
      <c r="S933" s="115">
        <v>450</v>
      </c>
      <c r="T933" s="20">
        <v>44726</v>
      </c>
      <c r="U933" s="20">
        <v>44742</v>
      </c>
      <c r="V933" s="20">
        <v>44742</v>
      </c>
      <c r="W933" s="27"/>
    </row>
    <row r="934" spans="1:23" ht="60" customHeight="1" x14ac:dyDescent="0.25">
      <c r="A934" s="45" t="str">
        <f>CONCATENATE(Tabla2[[#This Row],[id_solicitud]],Tabla2[[#This Row],[tipo]])</f>
        <v>401Proposicion</v>
      </c>
      <c r="B934" s="45">
        <f>COUNTIF($A$2:A934,A934)</f>
        <v>1</v>
      </c>
      <c r="C934" s="45" t="str">
        <f>Tabla2[[#This Row],[(id_solicitud-tipo_documento)]]&amp;B934</f>
        <v>401Proposicion1</v>
      </c>
      <c r="D934" s="45">
        <v>1336</v>
      </c>
      <c r="E934" s="45">
        <v>401</v>
      </c>
      <c r="F934" s="45" t="s">
        <v>46</v>
      </c>
      <c r="G934" s="45" t="s">
        <v>44</v>
      </c>
      <c r="H934" s="50" t="s">
        <v>26</v>
      </c>
      <c r="I934" s="51">
        <v>8537</v>
      </c>
      <c r="J934" s="80"/>
      <c r="K9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8537 DV</v>
      </c>
      <c r="L934" s="48">
        <v>44806</v>
      </c>
      <c r="M934" s="48">
        <v>44806</v>
      </c>
      <c r="N934" s="49" t="s">
        <v>395</v>
      </c>
      <c r="O934" s="45"/>
      <c r="P934" s="80" t="s">
        <v>498</v>
      </c>
      <c r="Q934" s="24"/>
      <c r="R934" s="24" t="s">
        <v>749</v>
      </c>
      <c r="S934" s="114"/>
      <c r="T934" s="45"/>
      <c r="U934" s="48"/>
      <c r="V934" s="48"/>
      <c r="W934" s="27"/>
    </row>
    <row r="935" spans="1:23" ht="60" hidden="1" customHeight="1" x14ac:dyDescent="0.25">
      <c r="A935" s="45" t="str">
        <f>CONCATENATE(Tabla2[[#This Row],[id_solicitud]],Tabla2[[#This Row],[tipo]])</f>
        <v>344Resolucion</v>
      </c>
      <c r="B935" s="45">
        <f>COUNTIF($A$2:A935,A935)</f>
        <v>1</v>
      </c>
      <c r="C935" s="45" t="str">
        <f>Tabla2[[#This Row],[(id_solicitud-tipo_documento)]]&amp;B935</f>
        <v>344Resolucion1</v>
      </c>
      <c r="D935" s="45">
        <v>937</v>
      </c>
      <c r="E935" s="45">
        <v>344</v>
      </c>
      <c r="F935" s="45" t="s">
        <v>48</v>
      </c>
      <c r="G935" s="45"/>
      <c r="H935" s="50" t="s">
        <v>22</v>
      </c>
      <c r="I935" s="51">
        <v>992</v>
      </c>
      <c r="J935" s="80"/>
      <c r="K9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35" s="48">
        <v>44785</v>
      </c>
      <c r="M935" s="48"/>
      <c r="N935" s="49"/>
      <c r="O935" s="45"/>
      <c r="P935" s="80"/>
      <c r="Q935" s="48"/>
      <c r="R935" s="45"/>
      <c r="S935" s="114"/>
      <c r="T935" s="45"/>
      <c r="U935" s="48"/>
      <c r="V935" s="48"/>
      <c r="W935" s="27"/>
    </row>
    <row r="936" spans="1:23" ht="60" hidden="1" customHeight="1" x14ac:dyDescent="0.25">
      <c r="A936" s="45" t="str">
        <f>CONCATENATE(Tabla2[[#This Row],[id_solicitud]],Tabla2[[#This Row],[tipo]])</f>
        <v>460Oficio_Solicitud</v>
      </c>
      <c r="B936" s="45">
        <f>COUNTIF($A$2:A936,A936)</f>
        <v>1</v>
      </c>
      <c r="C936" s="45" t="str">
        <f>Tabla2[[#This Row],[(id_solicitud-tipo_documento)]]&amp;B936</f>
        <v>460Oficio_Solicitud1</v>
      </c>
      <c r="D936" s="45">
        <v>938</v>
      </c>
      <c r="E936" s="45">
        <v>460</v>
      </c>
      <c r="F936" s="45" t="s">
        <v>53</v>
      </c>
      <c r="G936" s="45" t="s">
        <v>40</v>
      </c>
      <c r="H936" s="50" t="s">
        <v>604</v>
      </c>
      <c r="I936" s="51">
        <v>993</v>
      </c>
      <c r="J936" s="80"/>
      <c r="K9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993 DA-DV</v>
      </c>
      <c r="L936" s="48">
        <v>44804</v>
      </c>
      <c r="M936" s="48">
        <v>44804</v>
      </c>
      <c r="N936" s="49" t="s">
        <v>435</v>
      </c>
      <c r="O936" s="45"/>
      <c r="P936" s="80" t="s">
        <v>522</v>
      </c>
      <c r="Q936" s="48"/>
      <c r="R936" s="45"/>
      <c r="S936" s="114"/>
      <c r="T936" s="52"/>
      <c r="U936" s="48"/>
      <c r="V936" s="48"/>
      <c r="W936" s="27"/>
    </row>
    <row r="937" spans="1:23" ht="60" hidden="1" customHeight="1" x14ac:dyDescent="0.25">
      <c r="A937" s="45" t="str">
        <f>CONCATENATE(Tabla2[[#This Row],[id_solicitud]],Tabla2[[#This Row],[tipo]])</f>
        <v>479Oficio_Solicitud</v>
      </c>
      <c r="B937" s="45">
        <f>COUNTIF($A$2:A937,A937)</f>
        <v>1</v>
      </c>
      <c r="C937" s="45" t="str">
        <f>Tabla2[[#This Row],[(id_solicitud-tipo_documento)]]&amp;B937</f>
        <v>479Oficio_Solicitud1</v>
      </c>
      <c r="D937" s="45">
        <v>939</v>
      </c>
      <c r="E937" s="45">
        <v>479</v>
      </c>
      <c r="F937" s="45" t="s">
        <v>53</v>
      </c>
      <c r="G937" s="45" t="s">
        <v>41</v>
      </c>
      <c r="H937" s="50" t="s">
        <v>16</v>
      </c>
      <c r="I937" s="51">
        <v>994</v>
      </c>
      <c r="J937" s="80"/>
      <c r="K9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994 DGC</v>
      </c>
      <c r="L937" s="48">
        <v>44851</v>
      </c>
      <c r="M937" s="48">
        <v>44851</v>
      </c>
      <c r="N937" s="49" t="s">
        <v>447</v>
      </c>
      <c r="O937" s="45">
        <v>168</v>
      </c>
      <c r="P937" s="80" t="s">
        <v>494</v>
      </c>
      <c r="Q937" s="48"/>
      <c r="R937" s="45"/>
      <c r="S937" s="114"/>
      <c r="T937" s="52"/>
      <c r="U937" s="48"/>
      <c r="V937" s="48"/>
      <c r="W937" s="27"/>
    </row>
    <row r="938" spans="1:23" ht="60" hidden="1" customHeight="1" x14ac:dyDescent="0.25">
      <c r="A938" s="45" t="str">
        <f>CONCATENATE(Tabla2[[#This Row],[id_solicitud]],Tabla2[[#This Row],[tipo]])</f>
        <v>495Oficio_Solicitud</v>
      </c>
      <c r="B938" s="45">
        <f>COUNTIF($A$2:A938,A938)</f>
        <v>1</v>
      </c>
      <c r="C938" s="45" t="str">
        <f>Tabla2[[#This Row],[(id_solicitud-tipo_documento)]]&amp;B938</f>
        <v>495Oficio_Solicitud1</v>
      </c>
      <c r="D938" s="45">
        <v>940</v>
      </c>
      <c r="E938" s="45">
        <v>495</v>
      </c>
      <c r="F938" s="45" t="s">
        <v>53</v>
      </c>
      <c r="G938" s="45" t="s">
        <v>41</v>
      </c>
      <c r="H938" s="50" t="s">
        <v>16</v>
      </c>
      <c r="I938" s="51">
        <v>1003</v>
      </c>
      <c r="J938" s="80"/>
      <c r="K9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1003 DGC</v>
      </c>
      <c r="L938" s="48">
        <v>44853</v>
      </c>
      <c r="M938" s="48">
        <v>44854</v>
      </c>
      <c r="N938" s="49" t="s">
        <v>463</v>
      </c>
      <c r="O938" s="45">
        <v>3</v>
      </c>
      <c r="P938" s="80" t="s">
        <v>494</v>
      </c>
      <c r="Q938" s="48"/>
      <c r="R938" s="45"/>
      <c r="S938" s="114"/>
      <c r="T938" s="52"/>
      <c r="U938" s="48"/>
      <c r="V938" s="48"/>
      <c r="W938" s="27"/>
    </row>
    <row r="939" spans="1:23" ht="60" hidden="1" customHeight="1" x14ac:dyDescent="0.25">
      <c r="A939" s="45" t="str">
        <f>CONCATENATE(Tabla2[[#This Row],[id_solicitud]],Tabla2[[#This Row],[tipo]])</f>
        <v>280Oficio_Solicitud</v>
      </c>
      <c r="B939" s="45">
        <f>COUNTIF($A$2:A939,A939)</f>
        <v>1</v>
      </c>
      <c r="C939" s="45" t="str">
        <f>Tabla2[[#This Row],[(id_solicitud-tipo_documento)]]&amp;B939</f>
        <v>280Oficio_Solicitud1</v>
      </c>
      <c r="D939" s="45">
        <v>941</v>
      </c>
      <c r="E939" s="45">
        <v>280</v>
      </c>
      <c r="F939" s="45" t="s">
        <v>53</v>
      </c>
      <c r="G939" s="45" t="s">
        <v>60</v>
      </c>
      <c r="H939" s="50" t="s">
        <v>22</v>
      </c>
      <c r="I939" s="51">
        <v>455</v>
      </c>
      <c r="J939" s="80" t="s">
        <v>1241</v>
      </c>
      <c r="K9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455 DOPcorreo</v>
      </c>
      <c r="L939" s="48">
        <v>44735</v>
      </c>
      <c r="M939" s="48">
        <v>44735</v>
      </c>
      <c r="N939" s="49" t="s">
        <v>300</v>
      </c>
      <c r="O939" s="45">
        <v>12</v>
      </c>
      <c r="P939" s="80" t="s">
        <v>494</v>
      </c>
      <c r="Q939" s="48">
        <v>44742</v>
      </c>
      <c r="R939" s="45"/>
      <c r="S939" s="114"/>
      <c r="T939" s="52"/>
      <c r="U939" s="48"/>
      <c r="V939" s="48"/>
      <c r="W939" s="27"/>
    </row>
    <row r="940" spans="1:23" ht="60" customHeight="1" x14ac:dyDescent="0.25">
      <c r="A940" s="45" t="str">
        <f>CONCATENATE(Tabla2[[#This Row],[id_solicitud]],Tabla2[[#This Row],[tipo]])</f>
        <v>402Proposicion</v>
      </c>
      <c r="B940" s="45">
        <f>COUNTIF($A$2:A940,A940)</f>
        <v>1</v>
      </c>
      <c r="C940" s="45" t="str">
        <f>Tabla2[[#This Row],[(id_solicitud-tipo_documento)]]&amp;B940</f>
        <v>402Proposicion1</v>
      </c>
      <c r="D940" s="45">
        <v>599</v>
      </c>
      <c r="E940" s="45">
        <v>402</v>
      </c>
      <c r="F940" s="45" t="s">
        <v>46</v>
      </c>
      <c r="G940" s="45" t="s">
        <v>1261</v>
      </c>
      <c r="H940" s="50" t="s">
        <v>32</v>
      </c>
      <c r="I940" s="51">
        <v>580</v>
      </c>
      <c r="J940" s="80"/>
      <c r="K9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580 MOP</v>
      </c>
      <c r="L940" s="48">
        <v>44806</v>
      </c>
      <c r="M940" s="48">
        <v>44809</v>
      </c>
      <c r="N940" s="49" t="s">
        <v>710</v>
      </c>
      <c r="O940" s="45"/>
      <c r="P940" s="80" t="s">
        <v>522</v>
      </c>
      <c r="Q940" s="24"/>
      <c r="R940" s="24" t="s">
        <v>12</v>
      </c>
      <c r="S940" s="114"/>
      <c r="T940" s="45"/>
      <c r="U940" s="48"/>
      <c r="V940" s="48"/>
      <c r="W940" s="27"/>
    </row>
    <row r="941" spans="1:23" ht="60" hidden="1" customHeight="1" x14ac:dyDescent="0.25">
      <c r="A941" s="45" t="str">
        <f>CONCATENATE(Tabla2[[#This Row],[id_solicitud]],Tabla2[[#This Row],[tipo]])</f>
        <v>107Decreto</v>
      </c>
      <c r="B941" s="45">
        <f>COUNTIF($A$2:A941,A941)</f>
        <v>1</v>
      </c>
      <c r="C941" s="45" t="str">
        <f>Tabla2[[#This Row],[(id_solicitud-tipo_documento)]]&amp;B941</f>
        <v>107Decreto1</v>
      </c>
      <c r="D941" s="45">
        <v>943</v>
      </c>
      <c r="E941" s="45">
        <v>107</v>
      </c>
      <c r="F941" s="45" t="s">
        <v>47</v>
      </c>
      <c r="G941" s="45" t="s">
        <v>63</v>
      </c>
      <c r="H941" s="50" t="s">
        <v>579</v>
      </c>
      <c r="I941" s="51">
        <v>1018</v>
      </c>
      <c r="J941" s="80"/>
      <c r="K9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1018 DV-DP</v>
      </c>
      <c r="L941" s="48">
        <v>44678</v>
      </c>
      <c r="M941" s="48"/>
      <c r="N941" s="49" t="s">
        <v>818</v>
      </c>
      <c r="O941" s="45"/>
      <c r="P941" s="80"/>
      <c r="Q941" s="48"/>
      <c r="R941" s="45"/>
      <c r="S941" s="115">
        <v>251</v>
      </c>
      <c r="T941" s="20">
        <v>44670</v>
      </c>
      <c r="U941" s="20"/>
      <c r="V941" s="20"/>
      <c r="W941" s="27"/>
    </row>
    <row r="942" spans="1:23" ht="60" hidden="1" customHeight="1" x14ac:dyDescent="0.25">
      <c r="A942" s="45" t="str">
        <f>CONCATENATE(Tabla2[[#This Row],[id_solicitud]],Tabla2[[#This Row],[tipo]])</f>
        <v>198Oficio_Solicitud</v>
      </c>
      <c r="B942" s="45">
        <f>COUNTIF($A$2:A942,A942)</f>
        <v>1</v>
      </c>
      <c r="C942" s="45" t="str">
        <f>Tabla2[[#This Row],[(id_solicitud-tipo_documento)]]&amp;B942</f>
        <v>198Oficio_Solicitud1</v>
      </c>
      <c r="D942" s="45">
        <v>944</v>
      </c>
      <c r="E942" s="45">
        <v>198</v>
      </c>
      <c r="F942" s="45" t="s">
        <v>53</v>
      </c>
      <c r="G942" s="45" t="s">
        <v>60</v>
      </c>
      <c r="H942" s="50" t="s">
        <v>20</v>
      </c>
      <c r="I942" s="51">
        <v>1018</v>
      </c>
      <c r="J942" s="80"/>
      <c r="K9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1018 DOH</v>
      </c>
      <c r="L942" s="48">
        <v>44680</v>
      </c>
      <c r="M942" s="48">
        <v>44691</v>
      </c>
      <c r="N942" s="49" t="s">
        <v>229</v>
      </c>
      <c r="O942" s="45">
        <v>1</v>
      </c>
      <c r="P942" s="80" t="s">
        <v>494</v>
      </c>
      <c r="Q942" s="48"/>
      <c r="R942" s="45"/>
      <c r="S942" s="114"/>
      <c r="T942" s="52"/>
      <c r="U942" s="48"/>
      <c r="V942" s="48"/>
      <c r="W942" s="27"/>
    </row>
    <row r="943" spans="1:23" ht="60" hidden="1" customHeight="1" x14ac:dyDescent="0.25">
      <c r="A943" s="45" t="str">
        <f>CONCATENATE(Tabla2[[#This Row],[id_solicitud]],Tabla2[[#This Row],[tipo]])</f>
        <v>205Decreto</v>
      </c>
      <c r="B943" s="45">
        <f>COUNTIF($A$2:A943,A943)</f>
        <v>1</v>
      </c>
      <c r="C943" s="45" t="str">
        <f>Tabla2[[#This Row],[(id_solicitud-tipo_documento)]]&amp;B943</f>
        <v>205Decreto1</v>
      </c>
      <c r="D943" s="45">
        <v>945</v>
      </c>
      <c r="E943" s="45">
        <v>205</v>
      </c>
      <c r="F943" s="45" t="s">
        <v>47</v>
      </c>
      <c r="G943" s="45" t="s">
        <v>40</v>
      </c>
      <c r="H943" s="50" t="s">
        <v>10</v>
      </c>
      <c r="I943" s="51">
        <v>1027</v>
      </c>
      <c r="J943" s="80"/>
      <c r="K9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1027 DAP</v>
      </c>
      <c r="L943" s="48">
        <v>44741</v>
      </c>
      <c r="M943" s="48"/>
      <c r="N943" s="49" t="s">
        <v>866</v>
      </c>
      <c r="O943" s="45"/>
      <c r="P943" s="80"/>
      <c r="Q943" s="48"/>
      <c r="R943" s="45"/>
      <c r="S943" s="115">
        <v>436</v>
      </c>
      <c r="T943" s="20">
        <v>44736</v>
      </c>
      <c r="U943" s="20">
        <v>44756</v>
      </c>
      <c r="V943" s="20">
        <v>44756</v>
      </c>
      <c r="W943" s="27"/>
    </row>
    <row r="944" spans="1:23" ht="60" hidden="1" customHeight="1" x14ac:dyDescent="0.25">
      <c r="A944" s="45" t="str">
        <f>CONCATENATE(Tabla2[[#This Row],[id_solicitud]],Tabla2[[#This Row],[tipo]])</f>
        <v>281Decreto</v>
      </c>
      <c r="B944" s="45">
        <f>COUNTIF($A$2:A944,A944)</f>
        <v>1</v>
      </c>
      <c r="C944" s="45" t="str">
        <f>Tabla2[[#This Row],[(id_solicitud-tipo_documento)]]&amp;B944</f>
        <v>281Decreto1</v>
      </c>
      <c r="D944" s="45">
        <v>946</v>
      </c>
      <c r="E944" s="45">
        <v>281</v>
      </c>
      <c r="F944" s="45" t="s">
        <v>47</v>
      </c>
      <c r="G944" s="45" t="s">
        <v>40</v>
      </c>
      <c r="H944" s="50" t="s">
        <v>587</v>
      </c>
      <c r="I944" s="51">
        <v>1027</v>
      </c>
      <c r="J944" s="80"/>
      <c r="K9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1027 DV-DGC-DAP</v>
      </c>
      <c r="L944" s="48">
        <v>44741</v>
      </c>
      <c r="M944" s="48"/>
      <c r="N944" s="49" t="s">
        <v>898</v>
      </c>
      <c r="O944" s="45"/>
      <c r="P944" s="80"/>
      <c r="Q944" s="48"/>
      <c r="R944" s="45"/>
      <c r="S944" s="115">
        <v>436</v>
      </c>
      <c r="T944" s="20">
        <v>44736</v>
      </c>
      <c r="U944" s="20">
        <v>44756</v>
      </c>
      <c r="V944" s="20">
        <v>44756</v>
      </c>
      <c r="W944" s="27"/>
    </row>
    <row r="945" spans="1:23" ht="60" hidden="1" customHeight="1" x14ac:dyDescent="0.25">
      <c r="A945" s="45" t="str">
        <f>CONCATENATE(Tabla2[[#This Row],[id_solicitud]],Tabla2[[#This Row],[tipo]])</f>
        <v>415Oficio_Solicitud</v>
      </c>
      <c r="B945" s="45">
        <f>COUNTIF($A$2:A945,A945)</f>
        <v>1</v>
      </c>
      <c r="C945" s="45" t="str">
        <f>Tabla2[[#This Row],[(id_solicitud-tipo_documento)]]&amp;B945</f>
        <v>415Oficio_Solicitud1</v>
      </c>
      <c r="D945" s="45">
        <v>947</v>
      </c>
      <c r="E945" s="45">
        <v>415</v>
      </c>
      <c r="F945" s="45" t="s">
        <v>53</v>
      </c>
      <c r="G945" s="45" t="s">
        <v>60</v>
      </c>
      <c r="H945" s="50" t="s">
        <v>8</v>
      </c>
      <c r="I945" s="51">
        <v>1027</v>
      </c>
      <c r="J945" s="80"/>
      <c r="K9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1027 DA</v>
      </c>
      <c r="L945" s="48">
        <v>44817</v>
      </c>
      <c r="M945" s="48">
        <v>44818</v>
      </c>
      <c r="N945" s="49" t="s">
        <v>400</v>
      </c>
      <c r="O945" s="45">
        <v>5</v>
      </c>
      <c r="P945" s="80" t="s">
        <v>494</v>
      </c>
      <c r="Q945" s="48"/>
      <c r="R945" s="45"/>
      <c r="S945" s="114"/>
      <c r="T945" s="52"/>
      <c r="U945" s="48"/>
      <c r="V945" s="48"/>
      <c r="W945" s="27"/>
    </row>
    <row r="946" spans="1:23" ht="60" hidden="1" customHeight="1" x14ac:dyDescent="0.25">
      <c r="A946" s="45" t="str">
        <f>CONCATENATE(Tabla2[[#This Row],[id_solicitud]],Tabla2[[#This Row],[tipo]])</f>
        <v>205Decreto</v>
      </c>
      <c r="B946" s="45">
        <f>COUNTIF($A$2:A946,A946)</f>
        <v>2</v>
      </c>
      <c r="C946" s="45" t="str">
        <f>Tabla2[[#This Row],[(id_solicitud-tipo_documento)]]&amp;B946</f>
        <v>205Decreto2</v>
      </c>
      <c r="D946" s="45">
        <v>948</v>
      </c>
      <c r="E946" s="45">
        <v>205</v>
      </c>
      <c r="F946" s="45" t="s">
        <v>47</v>
      </c>
      <c r="G946" s="45" t="s">
        <v>60</v>
      </c>
      <c r="H946" s="50" t="s">
        <v>10</v>
      </c>
      <c r="I946" s="51">
        <v>1029</v>
      </c>
      <c r="J946" s="80"/>
      <c r="K9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1029 DAP</v>
      </c>
      <c r="L946" s="48">
        <v>44741</v>
      </c>
      <c r="M946" s="48"/>
      <c r="N946" s="49" t="s">
        <v>913</v>
      </c>
      <c r="O946" s="45"/>
      <c r="P946" s="80"/>
      <c r="Q946" s="48"/>
      <c r="R946" s="45"/>
      <c r="S946" s="115">
        <v>437</v>
      </c>
      <c r="T946" s="20">
        <v>44736</v>
      </c>
      <c r="U946" s="20">
        <v>44756</v>
      </c>
      <c r="V946" s="20">
        <v>44756</v>
      </c>
      <c r="W946" s="27"/>
    </row>
    <row r="947" spans="1:23" ht="60" hidden="1" customHeight="1" x14ac:dyDescent="0.25">
      <c r="A947" s="45" t="str">
        <f>CONCATENATE(Tabla2[[#This Row],[id_solicitud]],Tabla2[[#This Row],[tipo]])</f>
        <v>281Decreto</v>
      </c>
      <c r="B947" s="45">
        <f>COUNTIF($A$2:A947,A947)</f>
        <v>2</v>
      </c>
      <c r="C947" s="45" t="str">
        <f>Tabla2[[#This Row],[(id_solicitud-tipo_documento)]]&amp;B947</f>
        <v>281Decreto2</v>
      </c>
      <c r="D947" s="45">
        <v>949</v>
      </c>
      <c r="E947" s="45">
        <v>281</v>
      </c>
      <c r="F947" s="45" t="s">
        <v>47</v>
      </c>
      <c r="G947" s="45" t="s">
        <v>60</v>
      </c>
      <c r="H947" s="50" t="s">
        <v>587</v>
      </c>
      <c r="I947" s="51">
        <v>1029</v>
      </c>
      <c r="J947" s="80"/>
      <c r="K9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1029 DV-DGC-DAP</v>
      </c>
      <c r="L947" s="48">
        <v>44741</v>
      </c>
      <c r="M947" s="48"/>
      <c r="N947" s="49" t="s">
        <v>899</v>
      </c>
      <c r="O947" s="45"/>
      <c r="P947" s="80"/>
      <c r="Q947" s="48"/>
      <c r="R947" s="45"/>
      <c r="S947" s="115">
        <v>437</v>
      </c>
      <c r="T947" s="20">
        <v>44736</v>
      </c>
      <c r="U947" s="20">
        <v>44756</v>
      </c>
      <c r="V947" s="20">
        <v>44756</v>
      </c>
      <c r="W947" s="27"/>
    </row>
    <row r="948" spans="1:23" ht="60" hidden="1" customHeight="1" x14ac:dyDescent="0.25">
      <c r="A948" s="45" t="str">
        <f>CONCATENATE(Tabla2[[#This Row],[id_solicitud]],Tabla2[[#This Row],[tipo]])</f>
        <v>416Oficio_Solicitud</v>
      </c>
      <c r="B948" s="45">
        <f>COUNTIF($A$2:A948,A948)</f>
        <v>1</v>
      </c>
      <c r="C948" s="45" t="str">
        <f>Tabla2[[#This Row],[(id_solicitud-tipo_documento)]]&amp;B948</f>
        <v>416Oficio_Solicitud1</v>
      </c>
      <c r="D948" s="45">
        <v>950</v>
      </c>
      <c r="E948" s="45">
        <v>416</v>
      </c>
      <c r="F948" s="45" t="s">
        <v>53</v>
      </c>
      <c r="G948" s="45" t="s">
        <v>1258</v>
      </c>
      <c r="H948" s="50" t="s">
        <v>8</v>
      </c>
      <c r="I948" s="51">
        <v>1029</v>
      </c>
      <c r="J948" s="80"/>
      <c r="K9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1029 DA</v>
      </c>
      <c r="L948" s="48">
        <v>44818</v>
      </c>
      <c r="M948" s="48">
        <v>44819</v>
      </c>
      <c r="N948" s="49" t="s">
        <v>401</v>
      </c>
      <c r="O948" s="45">
        <v>1</v>
      </c>
      <c r="P948" s="80" t="s">
        <v>494</v>
      </c>
      <c r="Q948" s="48"/>
      <c r="R948" s="45"/>
      <c r="S948" s="114"/>
      <c r="T948" s="52"/>
      <c r="U948" s="48"/>
      <c r="V948" s="48"/>
      <c r="W948" s="27"/>
    </row>
    <row r="949" spans="1:23" ht="60" hidden="1" customHeight="1" x14ac:dyDescent="0.25">
      <c r="A949" s="45" t="str">
        <f>CONCATENATE(Tabla2[[#This Row],[id_solicitud]],Tabla2[[#This Row],[tipo]])</f>
        <v>230Decreto</v>
      </c>
      <c r="B949" s="45">
        <f>COUNTIF($A$2:A949,A949)</f>
        <v>1</v>
      </c>
      <c r="C949" s="45" t="str">
        <f>Tabla2[[#This Row],[(id_solicitud-tipo_documento)]]&amp;B949</f>
        <v>230Decreto1</v>
      </c>
      <c r="D949" s="45">
        <v>951</v>
      </c>
      <c r="E949" s="45">
        <v>230</v>
      </c>
      <c r="F949" s="45" t="s">
        <v>47</v>
      </c>
      <c r="G949" s="45" t="s">
        <v>60</v>
      </c>
      <c r="H949" s="50" t="s">
        <v>538</v>
      </c>
      <c r="I949" s="51">
        <v>1030</v>
      </c>
      <c r="J949" s="80"/>
      <c r="K9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1030 DV_FETCovid19</v>
      </c>
      <c r="L949" s="48">
        <v>44741</v>
      </c>
      <c r="M949" s="48"/>
      <c r="N949" s="49" t="s">
        <v>878</v>
      </c>
      <c r="O949" s="45"/>
      <c r="P949" s="80"/>
      <c r="Q949" s="48"/>
      <c r="R949" s="45"/>
      <c r="S949" s="115">
        <v>438</v>
      </c>
      <c r="T949" s="20">
        <v>44736</v>
      </c>
      <c r="U949" s="20">
        <v>44749</v>
      </c>
      <c r="V949" s="20">
        <v>44749</v>
      </c>
      <c r="W949" s="27"/>
    </row>
    <row r="950" spans="1:23" ht="60" hidden="1" customHeight="1" x14ac:dyDescent="0.25">
      <c r="A950" s="45" t="str">
        <f>CONCATENATE(Tabla2[[#This Row],[id_solicitud]],Tabla2[[#This Row],[tipo]])</f>
        <v>202Decreto</v>
      </c>
      <c r="B950" s="45">
        <f>COUNTIF($A$2:A950,A950)</f>
        <v>1</v>
      </c>
      <c r="C950" s="45" t="str">
        <f>Tabla2[[#This Row],[(id_solicitud-tipo_documento)]]&amp;B950</f>
        <v>202Decreto1</v>
      </c>
      <c r="D950" s="45">
        <v>952</v>
      </c>
      <c r="E950" s="45">
        <v>202</v>
      </c>
      <c r="F950" s="45" t="s">
        <v>47</v>
      </c>
      <c r="G950" s="45" t="s">
        <v>40</v>
      </c>
      <c r="H950" s="50" t="s">
        <v>532</v>
      </c>
      <c r="I950" s="51">
        <v>1031</v>
      </c>
      <c r="J950" s="80"/>
      <c r="K9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1031 DA_FETCovid19</v>
      </c>
      <c r="L950" s="48">
        <v>44741</v>
      </c>
      <c r="M950" s="48"/>
      <c r="N950" s="49" t="s">
        <v>864</v>
      </c>
      <c r="O950" s="45"/>
      <c r="P950" s="80"/>
      <c r="Q950" s="48"/>
      <c r="R950" s="45"/>
      <c r="S950" s="115">
        <v>477</v>
      </c>
      <c r="T950" s="20">
        <v>44735</v>
      </c>
      <c r="U950" s="20">
        <v>44746</v>
      </c>
      <c r="V950" s="20">
        <v>44746</v>
      </c>
      <c r="W950" s="27"/>
    </row>
    <row r="951" spans="1:23" ht="60" hidden="1" customHeight="1" x14ac:dyDescent="0.25">
      <c r="A951" s="45" t="str">
        <f>CONCATENATE(Tabla2[[#This Row],[id_solicitud]],Tabla2[[#This Row],[tipo]])</f>
        <v>283Decreto</v>
      </c>
      <c r="B951" s="45">
        <f>COUNTIF($A$2:A951,A951)</f>
        <v>1</v>
      </c>
      <c r="C951" s="45" t="str">
        <f>Tabla2[[#This Row],[(id_solicitud-tipo_documento)]]&amp;B951</f>
        <v>283Decreto1</v>
      </c>
      <c r="D951" s="45">
        <v>953</v>
      </c>
      <c r="E951" s="45">
        <v>283</v>
      </c>
      <c r="F951" s="45" t="s">
        <v>47</v>
      </c>
      <c r="G951" s="45" t="s">
        <v>61</v>
      </c>
      <c r="H951" s="50" t="s">
        <v>588</v>
      </c>
      <c r="I951" s="51">
        <v>1031</v>
      </c>
      <c r="J951" s="80"/>
      <c r="K9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1031 DA-DA_FETCovid19-DOH_FETCovid19-DGC</v>
      </c>
      <c r="L951" s="48">
        <v>44741</v>
      </c>
      <c r="M951" s="48"/>
      <c r="N951" s="49" t="s">
        <v>864</v>
      </c>
      <c r="O951" s="45"/>
      <c r="P951" s="80"/>
      <c r="Q951" s="48"/>
      <c r="R951" s="45"/>
      <c r="S951" s="115">
        <v>477</v>
      </c>
      <c r="T951" s="20">
        <v>44735</v>
      </c>
      <c r="U951" s="20">
        <v>44746</v>
      </c>
      <c r="V951" s="20">
        <v>44746</v>
      </c>
      <c r="W951" s="27"/>
    </row>
    <row r="952" spans="1:23" ht="60" hidden="1" customHeight="1" x14ac:dyDescent="0.25">
      <c r="A952" s="45" t="str">
        <f>CONCATENATE(Tabla2[[#This Row],[id_solicitud]],Tabla2[[#This Row],[tipo]])</f>
        <v>200Decreto</v>
      </c>
      <c r="B952" s="45">
        <f>COUNTIF($A$2:A952,A952)</f>
        <v>1</v>
      </c>
      <c r="C952" s="45" t="str">
        <f>Tabla2[[#This Row],[(id_solicitud-tipo_documento)]]&amp;B952</f>
        <v>200Decreto1</v>
      </c>
      <c r="D952" s="45">
        <v>954</v>
      </c>
      <c r="E952" s="45">
        <v>200</v>
      </c>
      <c r="F952" s="45" t="s">
        <v>47</v>
      </c>
      <c r="G952" s="45" t="s">
        <v>60</v>
      </c>
      <c r="H952" s="50" t="s">
        <v>26</v>
      </c>
      <c r="I952" s="51">
        <v>1035</v>
      </c>
      <c r="J952" s="80"/>
      <c r="K9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1035 DV</v>
      </c>
      <c r="L952" s="48">
        <v>44741</v>
      </c>
      <c r="M952" s="48"/>
      <c r="N952" s="49" t="s">
        <v>862</v>
      </c>
      <c r="O952" s="45"/>
      <c r="P952" s="80"/>
      <c r="Q952" s="48"/>
      <c r="R952" s="45"/>
      <c r="S952" s="115">
        <v>486</v>
      </c>
      <c r="T952" s="20">
        <v>44729</v>
      </c>
      <c r="U952" s="20">
        <v>44756</v>
      </c>
      <c r="V952" s="20">
        <v>44756</v>
      </c>
      <c r="W952" s="27"/>
    </row>
    <row r="953" spans="1:23" ht="60" hidden="1" customHeight="1" x14ac:dyDescent="0.25">
      <c r="A953" s="45" t="str">
        <f>CONCATENATE(Tabla2[[#This Row],[id_solicitud]],Tabla2[[#This Row],[tipo]])</f>
        <v>113Oficio_Solicitud</v>
      </c>
      <c r="B953" s="45">
        <f>COUNTIF($A$2:A953,A953)</f>
        <v>1</v>
      </c>
      <c r="C953" s="45" t="str">
        <f>Tabla2[[#This Row],[(id_solicitud-tipo_documento)]]&amp;B953</f>
        <v>113Oficio_Solicitud1</v>
      </c>
      <c r="D953" s="45">
        <v>955</v>
      </c>
      <c r="E953" s="45">
        <v>113</v>
      </c>
      <c r="F953" s="45" t="s">
        <v>53</v>
      </c>
      <c r="G953" s="45" t="s">
        <v>44</v>
      </c>
      <c r="H953" s="50" t="s">
        <v>28</v>
      </c>
      <c r="I953" s="51">
        <v>1044</v>
      </c>
      <c r="J953" s="80"/>
      <c r="K9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1044 FISC</v>
      </c>
      <c r="L953" s="48">
        <v>44630</v>
      </c>
      <c r="M953" s="48">
        <v>44631</v>
      </c>
      <c r="N953" s="49" t="s">
        <v>160</v>
      </c>
      <c r="O953" s="45"/>
      <c r="P953" s="80" t="s">
        <v>498</v>
      </c>
      <c r="Q953" s="48"/>
      <c r="R953" s="45"/>
      <c r="S953" s="114"/>
      <c r="T953" s="52"/>
      <c r="U953" s="48"/>
      <c r="V953" s="48"/>
      <c r="W953" s="27"/>
    </row>
    <row r="954" spans="1:23" ht="60" hidden="1" customHeight="1" x14ac:dyDescent="0.25">
      <c r="A954" s="45" t="str">
        <f>CONCATENATE(Tabla2[[#This Row],[id_solicitud]],Tabla2[[#This Row],[tipo]])</f>
        <v>221Decreto</v>
      </c>
      <c r="B954" s="45">
        <f>COUNTIF($A$2:A954,A954)</f>
        <v>1</v>
      </c>
      <c r="C954" s="45" t="str">
        <f>Tabla2[[#This Row],[(id_solicitud-tipo_documento)]]&amp;B954</f>
        <v>221Decreto1</v>
      </c>
      <c r="D954" s="45">
        <v>956</v>
      </c>
      <c r="E954" s="45">
        <v>221</v>
      </c>
      <c r="F954" s="45" t="s">
        <v>47</v>
      </c>
      <c r="G954" s="45" t="s">
        <v>60</v>
      </c>
      <c r="H954" s="50" t="s">
        <v>20</v>
      </c>
      <c r="I954" s="51">
        <v>1056</v>
      </c>
      <c r="J954" s="80"/>
      <c r="K9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1056 DOH</v>
      </c>
      <c r="L954" s="48">
        <v>44746</v>
      </c>
      <c r="M954" s="48"/>
      <c r="N954" s="49" t="s">
        <v>876</v>
      </c>
      <c r="O954" s="45"/>
      <c r="P954" s="80"/>
      <c r="Q954" s="48"/>
      <c r="R954" s="45"/>
      <c r="S954" s="115">
        <v>496</v>
      </c>
      <c r="T954" s="20">
        <v>44734</v>
      </c>
      <c r="U954" s="20">
        <v>44757</v>
      </c>
      <c r="V954" s="20">
        <v>44757</v>
      </c>
      <c r="W954" s="27"/>
    </row>
    <row r="955" spans="1:23" ht="60" hidden="1" customHeight="1" x14ac:dyDescent="0.25">
      <c r="A955" s="45" t="str">
        <f>CONCATENATE(Tabla2[[#This Row],[id_solicitud]],Tabla2[[#This Row],[tipo]])</f>
        <v>247Decreto</v>
      </c>
      <c r="B955" s="45">
        <f>COUNTIF($A$2:A955,A955)</f>
        <v>1</v>
      </c>
      <c r="C955" s="45" t="str">
        <f>Tabla2[[#This Row],[(id_solicitud-tipo_documento)]]&amp;B955</f>
        <v>247Decreto1</v>
      </c>
      <c r="D955" s="45">
        <v>957</v>
      </c>
      <c r="E955" s="45">
        <v>247</v>
      </c>
      <c r="F955" s="45" t="s">
        <v>47</v>
      </c>
      <c r="G955" s="45" t="s">
        <v>60</v>
      </c>
      <c r="H955" s="50" t="s">
        <v>6</v>
      </c>
      <c r="I955" s="51">
        <v>1058</v>
      </c>
      <c r="J955" s="80"/>
      <c r="K9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1058 APR</v>
      </c>
      <c r="L955" s="48">
        <v>44746</v>
      </c>
      <c r="M955" s="48"/>
      <c r="N955" s="49" t="s">
        <v>887</v>
      </c>
      <c r="O955" s="45"/>
      <c r="P955" s="80"/>
      <c r="Q955" s="48"/>
      <c r="R955" s="45"/>
      <c r="S955" s="115">
        <v>465</v>
      </c>
      <c r="T955" s="20">
        <v>44735</v>
      </c>
      <c r="U955" s="20">
        <v>128763</v>
      </c>
      <c r="V955" s="20">
        <v>44757</v>
      </c>
      <c r="W955" s="27"/>
    </row>
    <row r="956" spans="1:23" ht="60" hidden="1" customHeight="1" x14ac:dyDescent="0.25">
      <c r="A956" s="45" t="str">
        <f>CONCATENATE(Tabla2[[#This Row],[id_solicitud]],Tabla2[[#This Row],[tipo]])</f>
        <v>247Decreto</v>
      </c>
      <c r="B956" s="45">
        <f>COUNTIF($A$2:A956,A956)</f>
        <v>2</v>
      </c>
      <c r="C956" s="45" t="str">
        <f>Tabla2[[#This Row],[(id_solicitud-tipo_documento)]]&amp;B956</f>
        <v>247Decreto2</v>
      </c>
      <c r="D956" s="45">
        <v>958</v>
      </c>
      <c r="E956" s="45">
        <v>247</v>
      </c>
      <c r="F956" s="45" t="s">
        <v>47</v>
      </c>
      <c r="G956" s="45" t="s">
        <v>60</v>
      </c>
      <c r="H956" s="50" t="s">
        <v>6</v>
      </c>
      <c r="I956" s="51">
        <v>1062</v>
      </c>
      <c r="J956" s="80"/>
      <c r="K9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1062 APR</v>
      </c>
      <c r="L956" s="48">
        <v>44746</v>
      </c>
      <c r="M956" s="48"/>
      <c r="N956" s="49" t="s">
        <v>887</v>
      </c>
      <c r="O956" s="45"/>
      <c r="P956" s="80"/>
      <c r="Q956" s="48"/>
      <c r="R956" s="45"/>
      <c r="S956" s="115">
        <v>465</v>
      </c>
      <c r="T956" s="20">
        <v>44735</v>
      </c>
      <c r="U956" s="20">
        <v>44757</v>
      </c>
      <c r="V956" s="20">
        <v>44757</v>
      </c>
      <c r="W956" s="27"/>
    </row>
    <row r="957" spans="1:23" ht="60" hidden="1" customHeight="1" x14ac:dyDescent="0.25">
      <c r="A957" s="45" t="str">
        <f>CONCATENATE(Tabla2[[#This Row],[id_solicitud]],Tabla2[[#This Row],[tipo]])</f>
        <v>184Decreto</v>
      </c>
      <c r="B957" s="45">
        <f>COUNTIF($A$2:A957,A957)</f>
        <v>1</v>
      </c>
      <c r="C957" s="45" t="str">
        <f>Tabla2[[#This Row],[(id_solicitud-tipo_documento)]]&amp;B957</f>
        <v>184Decreto1</v>
      </c>
      <c r="D957" s="45">
        <v>959</v>
      </c>
      <c r="E957" s="45">
        <v>184</v>
      </c>
      <c r="F957" s="45" t="s">
        <v>47</v>
      </c>
      <c r="G957" s="45" t="s">
        <v>40</v>
      </c>
      <c r="H957" s="50" t="s">
        <v>10</v>
      </c>
      <c r="I957" s="51">
        <v>1064</v>
      </c>
      <c r="J957" s="80"/>
      <c r="K9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1064 DAP</v>
      </c>
      <c r="L957" s="48">
        <v>44691</v>
      </c>
      <c r="M957" s="48"/>
      <c r="N957" s="49" t="s">
        <v>851</v>
      </c>
      <c r="O957" s="45"/>
      <c r="P957" s="80"/>
      <c r="Q957" s="48"/>
      <c r="R957" s="45"/>
      <c r="S957" s="115">
        <v>276</v>
      </c>
      <c r="T957" s="20">
        <v>44678</v>
      </c>
      <c r="U957" s="20"/>
      <c r="V957" s="20"/>
      <c r="W957" s="27"/>
    </row>
    <row r="958" spans="1:23" ht="60" hidden="1" customHeight="1" x14ac:dyDescent="0.25">
      <c r="A958" s="45" t="str">
        <f>CONCATENATE(Tabla2[[#This Row],[id_solicitud]],Tabla2[[#This Row],[tipo]])</f>
        <v>451Oficio_Solicitud</v>
      </c>
      <c r="B958" s="45">
        <f>COUNTIF($A$2:A958,A958)</f>
        <v>1</v>
      </c>
      <c r="C958" s="45" t="str">
        <f>Tabla2[[#This Row],[(id_solicitud-tipo_documento)]]&amp;B958</f>
        <v>451Oficio_Solicitud1</v>
      </c>
      <c r="D958" s="45">
        <v>960</v>
      </c>
      <c r="E958" s="45">
        <v>451</v>
      </c>
      <c r="F958" s="45" t="s">
        <v>53</v>
      </c>
      <c r="G958" s="45" t="s">
        <v>40</v>
      </c>
      <c r="H958" s="50" t="s">
        <v>8</v>
      </c>
      <c r="I958" s="51">
        <v>1075</v>
      </c>
      <c r="J958" s="80"/>
      <c r="K9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1075 DA</v>
      </c>
      <c r="L958" s="48">
        <v>44827</v>
      </c>
      <c r="M958" s="48">
        <v>44827</v>
      </c>
      <c r="N958" s="49" t="s">
        <v>429</v>
      </c>
      <c r="O958" s="45"/>
      <c r="P958" s="80" t="s">
        <v>497</v>
      </c>
      <c r="Q958" s="48"/>
      <c r="R958" s="45"/>
      <c r="S958" s="114"/>
      <c r="T958" s="52"/>
      <c r="U958" s="48"/>
      <c r="V958" s="48"/>
      <c r="W958" s="27"/>
    </row>
    <row r="959" spans="1:23" ht="60" hidden="1" customHeight="1" x14ac:dyDescent="0.25">
      <c r="A959" s="45" t="str">
        <f>CONCATENATE(Tabla2[[#This Row],[id_solicitud]],Tabla2[[#This Row],[tipo]])</f>
        <v>255Decreto</v>
      </c>
      <c r="B959" s="45">
        <f>COUNTIF($A$2:A959,A959)</f>
        <v>1</v>
      </c>
      <c r="C959" s="45" t="str">
        <f>Tabla2[[#This Row],[(id_solicitud-tipo_documento)]]&amp;B959</f>
        <v>255Decreto1</v>
      </c>
      <c r="D959" s="45">
        <v>961</v>
      </c>
      <c r="E959" s="45">
        <v>255</v>
      </c>
      <c r="F959" s="45" t="s">
        <v>47</v>
      </c>
      <c r="G959" s="45" t="s">
        <v>60</v>
      </c>
      <c r="H959" s="50" t="s">
        <v>6</v>
      </c>
      <c r="I959" s="51">
        <v>1084</v>
      </c>
      <c r="J959" s="80"/>
      <c r="K9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1084 APR</v>
      </c>
      <c r="L959" s="48">
        <v>44749</v>
      </c>
      <c r="M959" s="48"/>
      <c r="N959" s="49" t="s">
        <v>890</v>
      </c>
      <c r="O959" s="45"/>
      <c r="P959" s="80"/>
      <c r="Q959" s="48"/>
      <c r="R959" s="45"/>
      <c r="S959" s="115">
        <v>510</v>
      </c>
      <c r="T959" s="20">
        <v>44741</v>
      </c>
      <c r="U959" s="20">
        <v>44761</v>
      </c>
      <c r="V959" s="20">
        <v>44761</v>
      </c>
      <c r="W959" s="27"/>
    </row>
    <row r="960" spans="1:23" ht="60" hidden="1" customHeight="1" x14ac:dyDescent="0.25">
      <c r="A960" s="45" t="str">
        <f>CONCATENATE(Tabla2[[#This Row],[id_solicitud]],Tabla2[[#This Row],[tipo]])</f>
        <v>439Oficio_Solicitud</v>
      </c>
      <c r="B960" s="45">
        <f>COUNTIF($A$2:A960,A960)</f>
        <v>1</v>
      </c>
      <c r="C960" s="45" t="str">
        <f>Tabla2[[#This Row],[(id_solicitud-tipo_documento)]]&amp;B960</f>
        <v>439Oficio_Solicitud1</v>
      </c>
      <c r="D960" s="45">
        <v>962</v>
      </c>
      <c r="E960" s="45">
        <v>439</v>
      </c>
      <c r="F960" s="45" t="s">
        <v>53</v>
      </c>
      <c r="G960" s="45" t="s">
        <v>60</v>
      </c>
      <c r="H960" s="50" t="s">
        <v>8</v>
      </c>
      <c r="I960" s="51">
        <v>1087</v>
      </c>
      <c r="J960" s="80"/>
      <c r="K9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1087 DA</v>
      </c>
      <c r="L960" s="48">
        <v>44830</v>
      </c>
      <c r="M960" s="48">
        <v>44830</v>
      </c>
      <c r="N960" s="49" t="s">
        <v>419</v>
      </c>
      <c r="O960" s="45">
        <v>2</v>
      </c>
      <c r="P960" s="80" t="s">
        <v>494</v>
      </c>
      <c r="Q960" s="48"/>
      <c r="R960" s="45"/>
      <c r="S960" s="114"/>
      <c r="T960" s="52"/>
      <c r="U960" s="48"/>
      <c r="V960" s="48"/>
      <c r="W960" s="27"/>
    </row>
    <row r="961" spans="1:23" ht="60" hidden="1" customHeight="1" x14ac:dyDescent="0.25">
      <c r="A961" s="45" t="str">
        <f>CONCATENATE(Tabla2[[#This Row],[id_solicitud]],Tabla2[[#This Row],[tipo]])</f>
        <v>439Oficio_Solicitud</v>
      </c>
      <c r="B961" s="45">
        <f>COUNTIF($A$2:A961,A961)</f>
        <v>2</v>
      </c>
      <c r="C961" s="45" t="str">
        <f>Tabla2[[#This Row],[(id_solicitud-tipo_documento)]]&amp;B961</f>
        <v>439Oficio_Solicitud2</v>
      </c>
      <c r="D961" s="45">
        <v>963</v>
      </c>
      <c r="E961" s="45">
        <v>439</v>
      </c>
      <c r="F961" s="45" t="s">
        <v>53</v>
      </c>
      <c r="G961" s="45" t="s">
        <v>60</v>
      </c>
      <c r="H961" s="50" t="s">
        <v>8</v>
      </c>
      <c r="I961" s="51">
        <v>1093</v>
      </c>
      <c r="J961" s="80"/>
      <c r="K9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1093 DA</v>
      </c>
      <c r="L961" s="48">
        <v>44830</v>
      </c>
      <c r="M961" s="48">
        <v>44830</v>
      </c>
      <c r="N961" s="49" t="s">
        <v>419</v>
      </c>
      <c r="O961" s="45">
        <v>2</v>
      </c>
      <c r="P961" s="80" t="s">
        <v>494</v>
      </c>
      <c r="Q961" s="48"/>
      <c r="R961" s="45"/>
      <c r="S961" s="114"/>
      <c r="T961" s="52"/>
      <c r="U961" s="48"/>
      <c r="V961" s="48"/>
      <c r="W961" s="27"/>
    </row>
    <row r="962" spans="1:23" ht="60" hidden="1" customHeight="1" x14ac:dyDescent="0.25">
      <c r="A962" s="45" t="str">
        <f>CONCATENATE(Tabla2[[#This Row],[id_solicitud]],Tabla2[[#This Row],[tipo]])</f>
        <v>214Oficio_Solicitud</v>
      </c>
      <c r="B962" s="45">
        <f>COUNTIF($A$2:A962,A962)</f>
        <v>1</v>
      </c>
      <c r="C962" s="45" t="str">
        <f>Tabla2[[#This Row],[(id_solicitud-tipo_documento)]]&amp;B962</f>
        <v>214Oficio_Solicitud1</v>
      </c>
      <c r="D962" s="45">
        <v>964</v>
      </c>
      <c r="E962" s="45">
        <v>214</v>
      </c>
      <c r="F962" s="45" t="s">
        <v>53</v>
      </c>
      <c r="G962" s="45" t="s">
        <v>1258</v>
      </c>
      <c r="H962" s="50" t="s">
        <v>559</v>
      </c>
      <c r="I962" s="51">
        <v>1110</v>
      </c>
      <c r="J962" s="80"/>
      <c r="K9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1110 APR_FETCovid19</v>
      </c>
      <c r="L962" s="48">
        <v>44690</v>
      </c>
      <c r="M962" s="48">
        <v>44691</v>
      </c>
      <c r="N962" s="49" t="s">
        <v>242</v>
      </c>
      <c r="O962" s="45">
        <v>5</v>
      </c>
      <c r="P962" s="80" t="s">
        <v>494</v>
      </c>
      <c r="Q962" s="48">
        <v>44713</v>
      </c>
      <c r="R962" s="45"/>
      <c r="S962" s="114"/>
      <c r="T962" s="52"/>
      <c r="U962" s="48"/>
      <c r="V962" s="48"/>
      <c r="W962" s="27"/>
    </row>
    <row r="963" spans="1:23" ht="60" hidden="1" customHeight="1" x14ac:dyDescent="0.25">
      <c r="A963" s="45" t="str">
        <f>CONCATENATE(Tabla2[[#This Row],[id_solicitud]],Tabla2[[#This Row],[tipo]])</f>
        <v>237Decreto</v>
      </c>
      <c r="B963" s="45">
        <f>COUNTIF($A$2:A963,A963)</f>
        <v>1</v>
      </c>
      <c r="C963" s="45" t="str">
        <f>Tabla2[[#This Row],[(id_solicitud-tipo_documento)]]&amp;B963</f>
        <v>237Decreto1</v>
      </c>
      <c r="D963" s="45">
        <v>965</v>
      </c>
      <c r="E963" s="45">
        <v>237</v>
      </c>
      <c r="F963" s="45" t="s">
        <v>47</v>
      </c>
      <c r="G963" s="45" t="s">
        <v>60</v>
      </c>
      <c r="H963" s="50" t="s">
        <v>8</v>
      </c>
      <c r="I963" s="51">
        <v>1113</v>
      </c>
      <c r="J963" s="80"/>
      <c r="K9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1113 DA</v>
      </c>
      <c r="L963" s="48">
        <v>44757</v>
      </c>
      <c r="M963" s="48"/>
      <c r="N963" s="49" t="s">
        <v>879</v>
      </c>
      <c r="O963" s="45"/>
      <c r="P963" s="80"/>
      <c r="Q963" s="48"/>
      <c r="R963" s="45"/>
      <c r="S963" s="115">
        <v>521</v>
      </c>
      <c r="T963" s="20">
        <v>44747</v>
      </c>
      <c r="U963" s="20">
        <v>44771</v>
      </c>
      <c r="V963" s="20">
        <v>44771</v>
      </c>
      <c r="W963" s="27"/>
    </row>
    <row r="964" spans="1:23" ht="60" hidden="1" customHeight="1" x14ac:dyDescent="0.25">
      <c r="A964" s="45" t="str">
        <f>CONCATENATE(Tabla2[[#This Row],[id_solicitud]],Tabla2[[#This Row],[tipo]])</f>
        <v>262Decreto</v>
      </c>
      <c r="B964" s="45">
        <f>COUNTIF($A$2:A964,A964)</f>
        <v>1</v>
      </c>
      <c r="C964" s="45" t="str">
        <f>Tabla2[[#This Row],[(id_solicitud-tipo_documento)]]&amp;B964</f>
        <v>262Decreto1</v>
      </c>
      <c r="D964" s="45">
        <v>966</v>
      </c>
      <c r="E964" s="45">
        <v>262</v>
      </c>
      <c r="F964" s="45" t="s">
        <v>47</v>
      </c>
      <c r="G964" s="45" t="s">
        <v>60</v>
      </c>
      <c r="H964" s="50" t="s">
        <v>541</v>
      </c>
      <c r="I964" s="51">
        <v>1114</v>
      </c>
      <c r="J964" s="80"/>
      <c r="K9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1114 DOP_FETCovid19</v>
      </c>
      <c r="L964" s="48">
        <v>44757</v>
      </c>
      <c r="M964" s="48"/>
      <c r="N964" s="49" t="s">
        <v>892</v>
      </c>
      <c r="O964" s="45"/>
      <c r="P964" s="80"/>
      <c r="Q964" s="48"/>
      <c r="R964" s="45"/>
      <c r="S964" s="115">
        <v>523</v>
      </c>
      <c r="T964" s="20">
        <v>44747</v>
      </c>
      <c r="U964" s="20">
        <v>44767</v>
      </c>
      <c r="V964" s="20">
        <v>44767</v>
      </c>
      <c r="W964" s="27"/>
    </row>
    <row r="965" spans="1:23" ht="60" hidden="1" customHeight="1" x14ac:dyDescent="0.25">
      <c r="A965" s="45" t="str">
        <f>CONCATENATE(Tabla2[[#This Row],[id_solicitud]],Tabla2[[#This Row],[tipo]])</f>
        <v>268Decreto</v>
      </c>
      <c r="B965" s="45">
        <f>COUNTIF($A$2:A965,A965)</f>
        <v>1</v>
      </c>
      <c r="C965" s="45" t="str">
        <f>Tabla2[[#This Row],[(id_solicitud-tipo_documento)]]&amp;B965</f>
        <v>268Decreto1</v>
      </c>
      <c r="D965" s="45">
        <v>967</v>
      </c>
      <c r="E965" s="45">
        <v>268</v>
      </c>
      <c r="F965" s="45" t="s">
        <v>47</v>
      </c>
      <c r="G965" s="45" t="s">
        <v>60</v>
      </c>
      <c r="H965" s="50" t="s">
        <v>541</v>
      </c>
      <c r="I965" s="51">
        <v>1114</v>
      </c>
      <c r="J965" s="80"/>
      <c r="K9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1114 DOP_FETCovid19</v>
      </c>
      <c r="L965" s="48">
        <v>44757</v>
      </c>
      <c r="M965" s="48"/>
      <c r="N965" s="49" t="s">
        <v>893</v>
      </c>
      <c r="O965" s="45"/>
      <c r="P965" s="80"/>
      <c r="Q965" s="48"/>
      <c r="R965" s="45"/>
      <c r="S965" s="115">
        <v>523</v>
      </c>
      <c r="T965" s="20">
        <v>44747</v>
      </c>
      <c r="U965" s="20">
        <v>44767</v>
      </c>
      <c r="V965" s="20">
        <v>44767</v>
      </c>
      <c r="W965" s="27"/>
    </row>
    <row r="966" spans="1:23" ht="60" hidden="1" customHeight="1" x14ac:dyDescent="0.25">
      <c r="A966" s="45" t="str">
        <f>CONCATENATE(Tabla2[[#This Row],[id_solicitud]],Tabla2[[#This Row],[tipo]])</f>
        <v>296Decreto</v>
      </c>
      <c r="B966" s="45">
        <f>COUNTIF($A$2:A966,A966)</f>
        <v>1</v>
      </c>
      <c r="C966" s="45" t="str">
        <f>Tabla2[[#This Row],[(id_solicitud-tipo_documento)]]&amp;B966</f>
        <v>296Decreto1</v>
      </c>
      <c r="D966" s="45">
        <v>968</v>
      </c>
      <c r="E966" s="45">
        <v>296</v>
      </c>
      <c r="F966" s="45" t="s">
        <v>47</v>
      </c>
      <c r="G966" s="45" t="s">
        <v>60</v>
      </c>
      <c r="H966" s="50" t="s">
        <v>541</v>
      </c>
      <c r="I966" s="51">
        <v>1114</v>
      </c>
      <c r="J966" s="80"/>
      <c r="K9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1114 DOP_FETCovid19</v>
      </c>
      <c r="L966" s="48">
        <v>44757</v>
      </c>
      <c r="M966" s="48"/>
      <c r="N966" s="49" t="s">
        <v>905</v>
      </c>
      <c r="O966" s="45"/>
      <c r="P966" s="80"/>
      <c r="Q966" s="48"/>
      <c r="R966" s="45"/>
      <c r="S966" s="115">
        <v>523</v>
      </c>
      <c r="T966" s="20">
        <v>44747</v>
      </c>
      <c r="U966" s="20">
        <v>44767</v>
      </c>
      <c r="V966" s="20">
        <v>44767</v>
      </c>
      <c r="W966" s="27"/>
    </row>
    <row r="967" spans="1:23" ht="60" hidden="1" customHeight="1" x14ac:dyDescent="0.25">
      <c r="A967" s="45" t="str">
        <f>CONCATENATE(Tabla2[[#This Row],[id_solicitud]],Tabla2[[#This Row],[tipo]])</f>
        <v>244Decreto</v>
      </c>
      <c r="B967" s="45">
        <f>COUNTIF($A$2:A967,A967)</f>
        <v>1</v>
      </c>
      <c r="C967" s="45" t="str">
        <f>Tabla2[[#This Row],[(id_solicitud-tipo_documento)]]&amp;B967</f>
        <v>244Decreto1</v>
      </c>
      <c r="D967" s="45">
        <v>969</v>
      </c>
      <c r="E967" s="45">
        <v>244</v>
      </c>
      <c r="F967" s="45" t="s">
        <v>47</v>
      </c>
      <c r="G967" s="45" t="s">
        <v>60</v>
      </c>
      <c r="H967" s="50" t="s">
        <v>26</v>
      </c>
      <c r="I967" s="51">
        <v>1115</v>
      </c>
      <c r="J967" s="80"/>
      <c r="K9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1115 DV</v>
      </c>
      <c r="L967" s="48">
        <v>44757</v>
      </c>
      <c r="M967" s="48"/>
      <c r="N967" s="49" t="s">
        <v>884</v>
      </c>
      <c r="O967" s="45"/>
      <c r="P967" s="80"/>
      <c r="Q967" s="48"/>
      <c r="R967" s="45"/>
      <c r="S967" s="115">
        <v>492</v>
      </c>
      <c r="T967" s="20">
        <v>44747</v>
      </c>
      <c r="U967" s="20">
        <v>44775</v>
      </c>
      <c r="V967" s="20">
        <v>44775</v>
      </c>
      <c r="W967" s="27"/>
    </row>
    <row r="968" spans="1:23" ht="60" hidden="1" customHeight="1" x14ac:dyDescent="0.25">
      <c r="A968" s="45" t="str">
        <f>CONCATENATE(Tabla2[[#This Row],[id_solicitud]],Tabla2[[#This Row],[tipo]])</f>
        <v>315Resolucion</v>
      </c>
      <c r="B968" s="45">
        <f>COUNTIF($A$2:A968,A968)</f>
        <v>1</v>
      </c>
      <c r="C968" s="45" t="str">
        <f>Tabla2[[#This Row],[(id_solicitud-tipo_documento)]]&amp;B968</f>
        <v>315Resolucion1</v>
      </c>
      <c r="D968" s="45">
        <v>970</v>
      </c>
      <c r="E968" s="45">
        <v>315</v>
      </c>
      <c r="F968" s="45" t="s">
        <v>48</v>
      </c>
      <c r="G968" s="45"/>
      <c r="H968" s="50" t="s">
        <v>22</v>
      </c>
      <c r="I968" s="51">
        <v>1124</v>
      </c>
      <c r="J968" s="80"/>
      <c r="K9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68" s="48">
        <v>44825</v>
      </c>
      <c r="M968" s="48"/>
      <c r="N968" s="49"/>
      <c r="O968" s="45"/>
      <c r="P968" s="80"/>
      <c r="Q968" s="48"/>
      <c r="R968" s="45"/>
      <c r="S968" s="114"/>
      <c r="T968" s="45"/>
      <c r="U968" s="48"/>
      <c r="V968" s="48"/>
      <c r="W968" s="27"/>
    </row>
    <row r="969" spans="1:23" ht="60" hidden="1" customHeight="1" x14ac:dyDescent="0.25">
      <c r="A969" s="45" t="str">
        <f>CONCATENATE(Tabla2[[#This Row],[id_solicitud]],Tabla2[[#This Row],[tipo]])</f>
        <v>113Oficio_Autorizacion</v>
      </c>
      <c r="B969" s="45">
        <f>COUNTIF($A$2:A969,A969)</f>
        <v>1</v>
      </c>
      <c r="C969" s="45" t="str">
        <f>Tabla2[[#This Row],[(id_solicitud-tipo_documento)]]&amp;B969</f>
        <v>113Oficio_Autorizacion1</v>
      </c>
      <c r="D969" s="45">
        <v>971</v>
      </c>
      <c r="E969" s="45">
        <v>113</v>
      </c>
      <c r="F969" s="45" t="s">
        <v>1272</v>
      </c>
      <c r="G969" s="45" t="s">
        <v>44</v>
      </c>
      <c r="H969" s="50" t="s">
        <v>28</v>
      </c>
      <c r="I969" s="51">
        <v>1125</v>
      </c>
      <c r="J969" s="80"/>
      <c r="K9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69" s="48">
        <v>44690</v>
      </c>
      <c r="M969" s="48"/>
      <c r="N969" s="49" t="s">
        <v>822</v>
      </c>
      <c r="O969" s="45"/>
      <c r="P969" s="80"/>
      <c r="Q969" s="48"/>
      <c r="R969" s="45"/>
      <c r="S969" s="115">
        <v>322</v>
      </c>
      <c r="T969" s="20">
        <v>44684</v>
      </c>
      <c r="U969" s="20"/>
      <c r="V969" s="20"/>
      <c r="W969" s="27"/>
    </row>
    <row r="970" spans="1:23" ht="60" hidden="1" customHeight="1" x14ac:dyDescent="0.25">
      <c r="A970" s="45" t="str">
        <f>CONCATENATE(Tabla2[[#This Row],[id_solicitud]],Tabla2[[#This Row],[tipo]])</f>
        <v>164Resolucion</v>
      </c>
      <c r="B970" s="45">
        <f>COUNTIF($A$2:A970,A970)</f>
        <v>1</v>
      </c>
      <c r="C970" s="45" t="str">
        <f>Tabla2[[#This Row],[(id_solicitud-tipo_documento)]]&amp;B970</f>
        <v>164Resolucion1</v>
      </c>
      <c r="D970" s="45">
        <v>972</v>
      </c>
      <c r="E970" s="45">
        <v>164</v>
      </c>
      <c r="F970" s="45" t="s">
        <v>48</v>
      </c>
      <c r="G970" s="45"/>
      <c r="H970" s="50" t="s">
        <v>26</v>
      </c>
      <c r="I970" s="51">
        <v>1139</v>
      </c>
      <c r="J970" s="80"/>
      <c r="K9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70" s="48">
        <v>44694</v>
      </c>
      <c r="M970" s="48"/>
      <c r="N970" s="49"/>
      <c r="O970" s="45"/>
      <c r="P970" s="80"/>
      <c r="Q970" s="48"/>
      <c r="R970" s="45"/>
      <c r="S970" s="114"/>
      <c r="T970" s="45"/>
      <c r="U970" s="48"/>
      <c r="V970" s="48"/>
      <c r="W970" s="27"/>
    </row>
    <row r="971" spans="1:23" ht="60" hidden="1" customHeight="1" x14ac:dyDescent="0.25">
      <c r="A971" s="45" t="str">
        <f>CONCATENATE(Tabla2[[#This Row],[id_solicitud]],Tabla2[[#This Row],[tipo]])</f>
        <v>193Resolucion</v>
      </c>
      <c r="B971" s="45">
        <f>COUNTIF($A$2:A971,A971)</f>
        <v>1</v>
      </c>
      <c r="C971" s="45" t="str">
        <f>Tabla2[[#This Row],[(id_solicitud-tipo_documento)]]&amp;B971</f>
        <v>193Resolucion1</v>
      </c>
      <c r="D971" s="45">
        <v>973</v>
      </c>
      <c r="E971" s="45">
        <v>193</v>
      </c>
      <c r="F971" s="45" t="s">
        <v>48</v>
      </c>
      <c r="G971" s="45"/>
      <c r="H971" s="50" t="s">
        <v>538</v>
      </c>
      <c r="I971" s="51">
        <v>1140</v>
      </c>
      <c r="J971" s="80"/>
      <c r="K9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71" s="48">
        <v>44694</v>
      </c>
      <c r="M971" s="48"/>
      <c r="N971" s="49"/>
      <c r="O971" s="45"/>
      <c r="P971" s="80"/>
      <c r="Q971" s="48"/>
      <c r="R971" s="45"/>
      <c r="S971" s="114"/>
      <c r="T971" s="45"/>
      <c r="U971" s="48"/>
      <c r="V971" s="48"/>
      <c r="W971" s="27"/>
    </row>
    <row r="972" spans="1:23" ht="60" hidden="1" customHeight="1" x14ac:dyDescent="0.25">
      <c r="A972" s="45" t="str">
        <f>CONCATENATE(Tabla2[[#This Row],[id_solicitud]],Tabla2[[#This Row],[tipo]])</f>
        <v>477Oficio_Solicitud</v>
      </c>
      <c r="B972" s="45">
        <f>COUNTIF($A$2:A972,A972)</f>
        <v>1</v>
      </c>
      <c r="C972" s="45" t="str">
        <f>Tabla2[[#This Row],[(id_solicitud-tipo_documento)]]&amp;B972</f>
        <v>477Oficio_Solicitud1</v>
      </c>
      <c r="D972" s="45">
        <v>974</v>
      </c>
      <c r="E972" s="45">
        <v>477</v>
      </c>
      <c r="F972" s="45" t="s">
        <v>53</v>
      </c>
      <c r="G972" s="45" t="s">
        <v>41</v>
      </c>
      <c r="H972" s="50" t="s">
        <v>8</v>
      </c>
      <c r="I972" s="51">
        <v>1142</v>
      </c>
      <c r="J972" s="80"/>
      <c r="K9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1142 DA</v>
      </c>
      <c r="L972" s="48">
        <v>44847</v>
      </c>
      <c r="M972" s="48">
        <v>44848</v>
      </c>
      <c r="N972" s="49" t="s">
        <v>446</v>
      </c>
      <c r="O972" s="45">
        <v>15</v>
      </c>
      <c r="P972" s="80" t="s">
        <v>494</v>
      </c>
      <c r="Q972" s="48"/>
      <c r="R972" s="45"/>
      <c r="S972" s="114"/>
      <c r="T972" s="52"/>
      <c r="U972" s="48"/>
      <c r="V972" s="48"/>
      <c r="W972" s="27"/>
    </row>
    <row r="973" spans="1:23" ht="60" hidden="1" customHeight="1" x14ac:dyDescent="0.25">
      <c r="A973" s="45" t="str">
        <f>CONCATENATE(Tabla2[[#This Row],[id_solicitud]],Tabla2[[#This Row],[tipo]])</f>
        <v>245Decreto</v>
      </c>
      <c r="B973" s="45">
        <f>COUNTIF($A$2:A973,A973)</f>
        <v>1</v>
      </c>
      <c r="C973" s="45" t="str">
        <f>Tabla2[[#This Row],[(id_solicitud-tipo_documento)]]&amp;B973</f>
        <v>245Decreto1</v>
      </c>
      <c r="D973" s="45">
        <v>975</v>
      </c>
      <c r="E973" s="45">
        <v>245</v>
      </c>
      <c r="F973" s="45" t="s">
        <v>47</v>
      </c>
      <c r="G973" s="45" t="s">
        <v>40</v>
      </c>
      <c r="H973" s="50" t="s">
        <v>585</v>
      </c>
      <c r="I973" s="51">
        <v>1153</v>
      </c>
      <c r="J973" s="80"/>
      <c r="K9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1153 DA-SISS</v>
      </c>
      <c r="L973" s="48">
        <v>44763</v>
      </c>
      <c r="M973" s="48"/>
      <c r="N973" s="49" t="s">
        <v>885</v>
      </c>
      <c r="O973" s="45"/>
      <c r="P973" s="80"/>
      <c r="Q973" s="48"/>
      <c r="R973" s="45"/>
      <c r="S973" s="115">
        <v>547</v>
      </c>
      <c r="T973" s="20">
        <v>44753</v>
      </c>
      <c r="U973" s="20">
        <v>44775</v>
      </c>
      <c r="V973" s="20">
        <v>44775</v>
      </c>
      <c r="W973" s="27"/>
    </row>
    <row r="974" spans="1:23" ht="60" hidden="1" customHeight="1" x14ac:dyDescent="0.25">
      <c r="A974" s="45" t="str">
        <f>CONCATENATE(Tabla2[[#This Row],[id_solicitud]],Tabla2[[#This Row],[tipo]])</f>
        <v>477Oficio_Solicitud</v>
      </c>
      <c r="B974" s="45">
        <f>COUNTIF($A$2:A974,A974)</f>
        <v>2</v>
      </c>
      <c r="C974" s="45" t="str">
        <f>Tabla2[[#This Row],[(id_solicitud-tipo_documento)]]&amp;B974</f>
        <v>477Oficio_Solicitud2</v>
      </c>
      <c r="D974" s="45">
        <v>976</v>
      </c>
      <c r="E974" s="45">
        <v>477</v>
      </c>
      <c r="F974" s="45" t="s">
        <v>53</v>
      </c>
      <c r="G974" s="45" t="s">
        <v>41</v>
      </c>
      <c r="H974" s="50" t="s">
        <v>8</v>
      </c>
      <c r="I974" s="51">
        <v>1158</v>
      </c>
      <c r="J974" s="80"/>
      <c r="K9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1158 DA</v>
      </c>
      <c r="L974" s="48">
        <v>44851</v>
      </c>
      <c r="M974" s="48">
        <v>44852</v>
      </c>
      <c r="N974" s="49" t="s">
        <v>1016</v>
      </c>
      <c r="O974" s="45">
        <v>23</v>
      </c>
      <c r="P974" s="80" t="s">
        <v>494</v>
      </c>
      <c r="Q974" s="48"/>
      <c r="R974" s="45"/>
      <c r="S974" s="114"/>
      <c r="T974" s="52"/>
      <c r="U974" s="48"/>
      <c r="V974" s="48"/>
      <c r="W974" s="27"/>
    </row>
    <row r="975" spans="1:23" ht="60" hidden="1" customHeight="1" x14ac:dyDescent="0.25">
      <c r="A975" s="45" t="str">
        <f>CONCATENATE(Tabla2[[#This Row],[id_solicitud]],Tabla2[[#This Row],[tipo]])</f>
        <v>305Decreto</v>
      </c>
      <c r="B975" s="45">
        <f>COUNTIF($A$2:A975,A975)</f>
        <v>1</v>
      </c>
      <c r="C975" s="45" t="str">
        <f>Tabla2[[#This Row],[(id_solicitud-tipo_documento)]]&amp;B975</f>
        <v>305Decreto1</v>
      </c>
      <c r="D975" s="45">
        <v>977</v>
      </c>
      <c r="E975" s="45">
        <v>305</v>
      </c>
      <c r="F975" s="45" t="s">
        <v>47</v>
      </c>
      <c r="G975" s="45" t="s">
        <v>60</v>
      </c>
      <c r="H975" s="50" t="s">
        <v>6</v>
      </c>
      <c r="I975" s="51">
        <v>1169</v>
      </c>
      <c r="J975" s="80"/>
      <c r="K9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1169 APR</v>
      </c>
      <c r="L975" s="48">
        <v>44763</v>
      </c>
      <c r="M975" s="48"/>
      <c r="N975" s="49" t="s">
        <v>908</v>
      </c>
      <c r="O975" s="45"/>
      <c r="P975" s="80"/>
      <c r="Q975" s="48"/>
      <c r="R975" s="45"/>
      <c r="S975" s="115">
        <v>533</v>
      </c>
      <c r="T975" s="20">
        <v>44757</v>
      </c>
      <c r="U975" s="20">
        <v>44775</v>
      </c>
      <c r="V975" s="20">
        <v>44775</v>
      </c>
      <c r="W975" s="27"/>
    </row>
    <row r="976" spans="1:23" ht="60" hidden="1" customHeight="1" x14ac:dyDescent="0.25">
      <c r="A976" s="45" t="str">
        <f>CONCATENATE(Tabla2[[#This Row],[id_solicitud]],Tabla2[[#This Row],[tipo]])</f>
        <v>254Decreto</v>
      </c>
      <c r="B976" s="45">
        <f>COUNTIF($A$2:A976,A976)</f>
        <v>1</v>
      </c>
      <c r="C976" s="45" t="str">
        <f>Tabla2[[#This Row],[(id_solicitud-tipo_documento)]]&amp;B976</f>
        <v>254Decreto1</v>
      </c>
      <c r="D976" s="45">
        <v>978</v>
      </c>
      <c r="E976" s="45">
        <v>254</v>
      </c>
      <c r="F976" s="45" t="s">
        <v>47</v>
      </c>
      <c r="G976" s="45" t="s">
        <v>60</v>
      </c>
      <c r="H976" s="50" t="s">
        <v>559</v>
      </c>
      <c r="I976" s="51">
        <v>1171</v>
      </c>
      <c r="J976" s="80"/>
      <c r="K9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1171 APR_FETCovid19</v>
      </c>
      <c r="L976" s="48">
        <v>44763</v>
      </c>
      <c r="M976" s="48"/>
      <c r="N976" s="49" t="s">
        <v>889</v>
      </c>
      <c r="O976" s="45"/>
      <c r="P976" s="80"/>
      <c r="Q976" s="48"/>
      <c r="R976" s="45"/>
      <c r="S976" s="115">
        <v>533</v>
      </c>
      <c r="T976" s="20">
        <v>44757</v>
      </c>
      <c r="U976" s="20">
        <v>44771</v>
      </c>
      <c r="V976" s="20">
        <v>44771</v>
      </c>
      <c r="W976" s="27"/>
    </row>
    <row r="977" spans="1:23" ht="60" hidden="1" customHeight="1" x14ac:dyDescent="0.25">
      <c r="A977" s="45" t="str">
        <f>CONCATENATE(Tabla2[[#This Row],[id_solicitud]],Tabla2[[#This Row],[tipo]])</f>
        <v>289Decreto</v>
      </c>
      <c r="B977" s="45">
        <f>COUNTIF($A$2:A977,A977)</f>
        <v>1</v>
      </c>
      <c r="C977" s="45" t="str">
        <f>Tabla2[[#This Row],[(id_solicitud-tipo_documento)]]&amp;B977</f>
        <v>289Decreto1</v>
      </c>
      <c r="D977" s="45">
        <v>979</v>
      </c>
      <c r="E977" s="45">
        <v>289</v>
      </c>
      <c r="F977" s="45" t="s">
        <v>47</v>
      </c>
      <c r="G977" s="45" t="s">
        <v>60</v>
      </c>
      <c r="H977" s="50" t="s">
        <v>8</v>
      </c>
      <c r="I977" s="51">
        <v>1174</v>
      </c>
      <c r="J977" s="80"/>
      <c r="K9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1174 DA</v>
      </c>
      <c r="L977" s="48">
        <v>44768</v>
      </c>
      <c r="M977" s="48"/>
      <c r="N977" s="49">
        <f>E977</f>
        <v>289</v>
      </c>
      <c r="O977" s="45"/>
      <c r="P977" s="80"/>
      <c r="Q977" s="48"/>
      <c r="R977" s="45"/>
      <c r="S977" s="115">
        <v>561</v>
      </c>
      <c r="T977" s="20">
        <v>44761</v>
      </c>
      <c r="U977" s="20">
        <v>44777</v>
      </c>
      <c r="V977" s="20">
        <v>44777</v>
      </c>
      <c r="W977" s="27"/>
    </row>
    <row r="978" spans="1:23" ht="60" hidden="1" customHeight="1" x14ac:dyDescent="0.25">
      <c r="A978" s="45" t="str">
        <f>CONCATENATE(Tabla2[[#This Row],[id_solicitud]],Tabla2[[#This Row],[tipo]])</f>
        <v>253Decreto</v>
      </c>
      <c r="B978" s="45">
        <f>COUNTIF($A$2:A978,A978)</f>
        <v>1</v>
      </c>
      <c r="C978" s="45" t="str">
        <f>Tabla2[[#This Row],[(id_solicitud-tipo_documento)]]&amp;B978</f>
        <v>253Decreto1</v>
      </c>
      <c r="D978" s="45">
        <v>980</v>
      </c>
      <c r="E978" s="45">
        <v>253</v>
      </c>
      <c r="F978" s="45" t="s">
        <v>47</v>
      </c>
      <c r="G978" s="45" t="s">
        <v>60</v>
      </c>
      <c r="H978" s="50" t="s">
        <v>535</v>
      </c>
      <c r="I978" s="51">
        <v>1182</v>
      </c>
      <c r="J978" s="80"/>
      <c r="K9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1182 DOH_FETCovid19</v>
      </c>
      <c r="L978" s="48">
        <v>44768</v>
      </c>
      <c r="M978" s="48"/>
      <c r="N978" s="49" t="s">
        <v>888</v>
      </c>
      <c r="O978" s="45"/>
      <c r="P978" s="80"/>
      <c r="Q978" s="48"/>
      <c r="R978" s="45"/>
      <c r="S978" s="115">
        <v>545</v>
      </c>
      <c r="T978" s="20">
        <v>44760</v>
      </c>
      <c r="U978" s="20">
        <v>44777</v>
      </c>
      <c r="V978" s="20">
        <v>44777</v>
      </c>
      <c r="W978" s="27"/>
    </row>
    <row r="979" spans="1:23" ht="60" hidden="1" customHeight="1" x14ac:dyDescent="0.25">
      <c r="A979" s="45" t="str">
        <f>CONCATENATE(Tabla2[[#This Row],[id_solicitud]],Tabla2[[#This Row],[tipo]])</f>
        <v>376Resolucion</v>
      </c>
      <c r="B979" s="45">
        <f>COUNTIF($A$2:A979,A979)</f>
        <v>1</v>
      </c>
      <c r="C979" s="45" t="str">
        <f>Tabla2[[#This Row],[(id_solicitud-tipo_documento)]]&amp;B979</f>
        <v>376Resolucion1</v>
      </c>
      <c r="D979" s="45">
        <v>981</v>
      </c>
      <c r="E979" s="45">
        <v>376</v>
      </c>
      <c r="F979" s="45" t="s">
        <v>48</v>
      </c>
      <c r="G979" s="45"/>
      <c r="H979" s="50" t="s">
        <v>541</v>
      </c>
      <c r="I979" s="51">
        <v>1194</v>
      </c>
      <c r="J979" s="80"/>
      <c r="K9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79" s="48">
        <v>44840</v>
      </c>
      <c r="M979" s="48"/>
      <c r="N979" s="49"/>
      <c r="O979" s="45"/>
      <c r="P979" s="80"/>
      <c r="Q979" s="48"/>
      <c r="R979" s="45"/>
      <c r="S979" s="114"/>
      <c r="T979" s="45"/>
      <c r="U979" s="48"/>
      <c r="V979" s="48"/>
      <c r="W979" s="27"/>
    </row>
    <row r="980" spans="1:23" ht="60" hidden="1" customHeight="1" x14ac:dyDescent="0.25">
      <c r="A980" s="45" t="str">
        <f>CONCATENATE(Tabla2[[#This Row],[id_solicitud]],Tabla2[[#This Row],[tipo]])</f>
        <v>306Resolucion</v>
      </c>
      <c r="B980" s="45">
        <f>COUNTIF($A$2:A980,A980)</f>
        <v>1</v>
      </c>
      <c r="C980" s="45" t="str">
        <f>Tabla2[[#This Row],[(id_solicitud-tipo_documento)]]&amp;B980</f>
        <v>306Resolucion1</v>
      </c>
      <c r="D980" s="45">
        <v>982</v>
      </c>
      <c r="E980" s="45">
        <v>306</v>
      </c>
      <c r="F980" s="45" t="s">
        <v>48</v>
      </c>
      <c r="G980" s="45"/>
      <c r="H980" s="50" t="s">
        <v>581</v>
      </c>
      <c r="I980" s="51">
        <v>1195</v>
      </c>
      <c r="J980" s="80"/>
      <c r="K9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80" s="48">
        <v>44764</v>
      </c>
      <c r="M980" s="48"/>
      <c r="N980" s="49"/>
      <c r="O980" s="45"/>
      <c r="P980" s="80"/>
      <c r="Q980" s="48"/>
      <c r="R980" s="45"/>
      <c r="S980" s="114"/>
      <c r="T980" s="45"/>
      <c r="U980" s="48"/>
      <c r="V980" s="48"/>
      <c r="W980" s="27"/>
    </row>
    <row r="981" spans="1:23" ht="60" hidden="1" customHeight="1" x14ac:dyDescent="0.25">
      <c r="A981" s="45" t="str">
        <f>CONCATENATE(Tabla2[[#This Row],[id_solicitud]],Tabla2[[#This Row],[tipo]])</f>
        <v>210Resolucion</v>
      </c>
      <c r="B981" s="45">
        <f>COUNTIF($A$2:A981,A981)</f>
        <v>1</v>
      </c>
      <c r="C981" s="45" t="str">
        <f>Tabla2[[#This Row],[(id_solicitud-tipo_documento)]]&amp;B981</f>
        <v>210Resolucion1</v>
      </c>
      <c r="D981" s="45">
        <v>983</v>
      </c>
      <c r="E981" s="45">
        <v>210</v>
      </c>
      <c r="F981" s="45" t="s">
        <v>48</v>
      </c>
      <c r="G981" s="45"/>
      <c r="H981" s="50" t="s">
        <v>544</v>
      </c>
      <c r="I981" s="51">
        <v>1196</v>
      </c>
      <c r="J981" s="80"/>
      <c r="K9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81" s="48">
        <v>44764</v>
      </c>
      <c r="M981" s="48"/>
      <c r="N981" s="49"/>
      <c r="O981" s="45"/>
      <c r="P981" s="80"/>
      <c r="Q981" s="48"/>
      <c r="R981" s="45"/>
      <c r="S981" s="114"/>
      <c r="T981" s="45"/>
      <c r="U981" s="48"/>
      <c r="V981" s="48"/>
      <c r="W981" s="27"/>
    </row>
    <row r="982" spans="1:23" ht="60" hidden="1" customHeight="1" x14ac:dyDescent="0.25">
      <c r="A982" s="45" t="str">
        <f>CONCATENATE(Tabla2[[#This Row],[id_solicitud]],Tabla2[[#This Row],[tipo]])</f>
        <v>299Resolucion</v>
      </c>
      <c r="B982" s="45">
        <f>COUNTIF($A$2:A982,A982)</f>
        <v>1</v>
      </c>
      <c r="C982" s="45" t="str">
        <f>Tabla2[[#This Row],[(id_solicitud-tipo_documento)]]&amp;B982</f>
        <v>299Resolucion1</v>
      </c>
      <c r="D982" s="45">
        <v>984</v>
      </c>
      <c r="E982" s="45">
        <v>299</v>
      </c>
      <c r="F982" s="45" t="s">
        <v>48</v>
      </c>
      <c r="G982" s="45"/>
      <c r="H982" s="50" t="s">
        <v>10</v>
      </c>
      <c r="I982" s="51">
        <v>1202</v>
      </c>
      <c r="J982" s="80"/>
      <c r="K9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82" s="48">
        <v>44764</v>
      </c>
      <c r="M982" s="48"/>
      <c r="N982" s="49"/>
      <c r="O982" s="45"/>
      <c r="P982" s="80"/>
      <c r="Q982" s="48"/>
      <c r="R982" s="45"/>
      <c r="S982" s="114"/>
      <c r="T982" s="45"/>
      <c r="U982" s="48"/>
      <c r="V982" s="48"/>
      <c r="W982" s="27"/>
    </row>
    <row r="983" spans="1:23" ht="60" hidden="1" customHeight="1" x14ac:dyDescent="0.25">
      <c r="A983" s="45" t="str">
        <f>CONCATENATE(Tabla2[[#This Row],[id_solicitud]],Tabla2[[#This Row],[tipo]])</f>
        <v>94Resolucion</v>
      </c>
      <c r="B983" s="45">
        <f>COUNTIF($A$2:A983,A983)</f>
        <v>1</v>
      </c>
      <c r="C983" s="45" t="str">
        <f>Tabla2[[#This Row],[(id_solicitud-tipo_documento)]]&amp;B983</f>
        <v>94Resolucion1</v>
      </c>
      <c r="D983" s="45">
        <v>985</v>
      </c>
      <c r="E983" s="45">
        <v>94</v>
      </c>
      <c r="F983" s="45" t="s">
        <v>48</v>
      </c>
      <c r="G983" s="45"/>
      <c r="H983" s="50" t="s">
        <v>538</v>
      </c>
      <c r="I983" s="51">
        <v>1208</v>
      </c>
      <c r="J983" s="80"/>
      <c r="K9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83" s="48">
        <v>44704</v>
      </c>
      <c r="M983" s="48"/>
      <c r="N983" s="49"/>
      <c r="O983" s="45"/>
      <c r="P983" s="80"/>
      <c r="Q983" s="48"/>
      <c r="R983" s="45"/>
      <c r="S983" s="114"/>
      <c r="T983" s="45"/>
      <c r="U983" s="48"/>
      <c r="V983" s="48"/>
      <c r="W983" s="27"/>
    </row>
    <row r="984" spans="1:23" ht="60" hidden="1" customHeight="1" x14ac:dyDescent="0.25">
      <c r="A984" s="45" t="str">
        <f>CONCATENATE(Tabla2[[#This Row],[id_solicitud]],Tabla2[[#This Row],[tipo]])</f>
        <v>75Resolucion</v>
      </c>
      <c r="B984" s="45">
        <f>COUNTIF($A$2:A984,A984)</f>
        <v>1</v>
      </c>
      <c r="C984" s="45" t="str">
        <f>Tabla2[[#This Row],[(id_solicitud-tipo_documento)]]&amp;B984</f>
        <v>75Resolucion1</v>
      </c>
      <c r="D984" s="45">
        <v>986</v>
      </c>
      <c r="E984" s="45">
        <v>75</v>
      </c>
      <c r="F984" s="45" t="s">
        <v>48</v>
      </c>
      <c r="G984" s="45"/>
      <c r="H984" s="50" t="s">
        <v>26</v>
      </c>
      <c r="I984" s="51">
        <v>1216</v>
      </c>
      <c r="J984" s="80"/>
      <c r="K9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84" s="48">
        <v>44704</v>
      </c>
      <c r="M984" s="48"/>
      <c r="N984" s="49"/>
      <c r="O984" s="45"/>
      <c r="P984" s="80"/>
      <c r="Q984" s="48"/>
      <c r="R984" s="45"/>
      <c r="S984" s="114"/>
      <c r="T984" s="45"/>
      <c r="U984" s="48"/>
      <c r="V984" s="48"/>
      <c r="W984" s="27"/>
    </row>
    <row r="985" spans="1:23" ht="60" hidden="1" customHeight="1" x14ac:dyDescent="0.25">
      <c r="A985" s="45" t="str">
        <f>CONCATENATE(Tabla2[[#This Row],[id_solicitud]],Tabla2[[#This Row],[tipo]])</f>
        <v>132Oficio_Solicitud</v>
      </c>
      <c r="B985" s="45">
        <f>COUNTIF($A$2:A985,A985)</f>
        <v>1</v>
      </c>
      <c r="C985" s="45" t="str">
        <f>Tabla2[[#This Row],[(id_solicitud-tipo_documento)]]&amp;B985</f>
        <v>132Oficio_Solicitud1</v>
      </c>
      <c r="D985" s="45">
        <v>987</v>
      </c>
      <c r="E985" s="45">
        <v>132</v>
      </c>
      <c r="F985" s="45" t="s">
        <v>53</v>
      </c>
      <c r="G985" s="45" t="s">
        <v>43</v>
      </c>
      <c r="H985" s="50" t="s">
        <v>28</v>
      </c>
      <c r="I985" s="51">
        <v>1218</v>
      </c>
      <c r="J985" s="80"/>
      <c r="K9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1218 FISC</v>
      </c>
      <c r="L985" s="48">
        <v>44642</v>
      </c>
      <c r="M985" s="48">
        <v>44642</v>
      </c>
      <c r="N985" s="49" t="s">
        <v>177</v>
      </c>
      <c r="O985" s="45"/>
      <c r="P985" s="80" t="s">
        <v>505</v>
      </c>
      <c r="Q985" s="48"/>
      <c r="R985" s="45"/>
      <c r="S985" s="114"/>
      <c r="T985" s="52"/>
      <c r="U985" s="48"/>
      <c r="V985" s="48"/>
      <c r="W985" s="27"/>
    </row>
    <row r="986" spans="1:23" ht="60" hidden="1" customHeight="1" x14ac:dyDescent="0.25">
      <c r="A986" s="45" t="str">
        <f>CONCATENATE(Tabla2[[#This Row],[id_solicitud]],Tabla2[[#This Row],[tipo]])</f>
        <v>280Proposicion</v>
      </c>
      <c r="B986" s="45">
        <f>COUNTIF($A$2:A986,A986)</f>
        <v>1</v>
      </c>
      <c r="C986" s="45" t="str">
        <f>Tabla2[[#This Row],[(id_solicitud-tipo_documento)]]&amp;B986</f>
        <v>280Proposicion1</v>
      </c>
      <c r="D986" s="45">
        <v>988</v>
      </c>
      <c r="E986" s="45">
        <v>280</v>
      </c>
      <c r="F986" s="45" t="s">
        <v>46</v>
      </c>
      <c r="G986" s="45" t="s">
        <v>60</v>
      </c>
      <c r="H986" s="50" t="s">
        <v>22</v>
      </c>
      <c r="I986" s="51">
        <v>449</v>
      </c>
      <c r="J986" s="80"/>
      <c r="K9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449 DOP</v>
      </c>
      <c r="L986" s="48">
        <v>44748</v>
      </c>
      <c r="M986" s="48">
        <v>44749</v>
      </c>
      <c r="N986" s="49" t="s">
        <v>675</v>
      </c>
      <c r="O986" s="45">
        <v>12</v>
      </c>
      <c r="P986" s="80" t="s">
        <v>494</v>
      </c>
      <c r="Q986" s="24"/>
      <c r="R986" s="24" t="s">
        <v>24</v>
      </c>
      <c r="S986" s="114"/>
      <c r="T986" s="45"/>
      <c r="U986" s="48"/>
      <c r="V986" s="48"/>
      <c r="W986" s="27"/>
    </row>
    <row r="987" spans="1:23" ht="60" hidden="1" customHeight="1" x14ac:dyDescent="0.25">
      <c r="A987" s="45" t="str">
        <f>CONCATENATE(Tabla2[[#This Row],[id_solicitud]],Tabla2[[#This Row],[tipo]])</f>
        <v>415Resolucion</v>
      </c>
      <c r="B987" s="45">
        <f>COUNTIF($A$2:A987,A987)</f>
        <v>1</v>
      </c>
      <c r="C987" s="45" t="str">
        <f>Tabla2[[#This Row],[(id_solicitud-tipo_documento)]]&amp;B987</f>
        <v>415Resolucion1</v>
      </c>
      <c r="D987" s="45">
        <v>989</v>
      </c>
      <c r="E987" s="45">
        <v>415</v>
      </c>
      <c r="F987" s="45" t="s">
        <v>48</v>
      </c>
      <c r="G987" s="45"/>
      <c r="H987" s="50" t="s">
        <v>8</v>
      </c>
      <c r="I987" s="51">
        <v>1226</v>
      </c>
      <c r="J987" s="80"/>
      <c r="K9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87" s="48">
        <v>44860</v>
      </c>
      <c r="M987" s="48"/>
      <c r="N987" s="49"/>
      <c r="O987" s="45"/>
      <c r="P987" s="80"/>
      <c r="Q987" s="48"/>
      <c r="R987" s="45"/>
      <c r="S987" s="114"/>
      <c r="T987" s="45"/>
      <c r="U987" s="48"/>
      <c r="V987" s="48"/>
      <c r="W987" s="27"/>
    </row>
    <row r="988" spans="1:23" ht="60" hidden="1" customHeight="1" x14ac:dyDescent="0.25">
      <c r="A988" s="45" t="str">
        <f>CONCATENATE(Tabla2[[#This Row],[id_solicitud]],Tabla2[[#This Row],[tipo]])</f>
        <v>221Oficio_Solicitud</v>
      </c>
      <c r="B988" s="45">
        <f>COUNTIF($A$2:A988,A988)</f>
        <v>1</v>
      </c>
      <c r="C988" s="45" t="str">
        <f>Tabla2[[#This Row],[(id_solicitud-tipo_documento)]]&amp;B988</f>
        <v>221Oficio_Solicitud1</v>
      </c>
      <c r="D988" s="45">
        <v>990</v>
      </c>
      <c r="E988" s="45">
        <v>221</v>
      </c>
      <c r="F988" s="45" t="s">
        <v>53</v>
      </c>
      <c r="G988" s="45" t="s">
        <v>60</v>
      </c>
      <c r="H988" s="50" t="s">
        <v>20</v>
      </c>
      <c r="I988" s="51">
        <v>1228</v>
      </c>
      <c r="J988" s="80"/>
      <c r="K9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1228 DOH</v>
      </c>
      <c r="L988" s="48">
        <v>44701</v>
      </c>
      <c r="M988" s="48">
        <v>44701</v>
      </c>
      <c r="N988" s="49" t="s">
        <v>249</v>
      </c>
      <c r="O988" s="45">
        <v>1</v>
      </c>
      <c r="P988" s="80" t="s">
        <v>494</v>
      </c>
      <c r="Q988" s="48"/>
      <c r="R988" s="45"/>
      <c r="S988" s="114"/>
      <c r="T988" s="52"/>
      <c r="U988" s="48"/>
      <c r="V988" s="48"/>
      <c r="W988" s="27"/>
    </row>
    <row r="989" spans="1:23" ht="60" hidden="1" customHeight="1" x14ac:dyDescent="0.25">
      <c r="A989" s="45" t="str">
        <f>CONCATENATE(Tabla2[[#This Row],[id_solicitud]],Tabla2[[#This Row],[tipo]])</f>
        <v>278Decreto</v>
      </c>
      <c r="B989" s="45">
        <f>COUNTIF($A$2:A989,A989)</f>
        <v>1</v>
      </c>
      <c r="C989" s="45" t="str">
        <f>Tabla2[[#This Row],[(id_solicitud-tipo_documento)]]&amp;B989</f>
        <v>278Decreto1</v>
      </c>
      <c r="D989" s="45">
        <v>991</v>
      </c>
      <c r="E989" s="45">
        <v>278</v>
      </c>
      <c r="F989" s="45" t="s">
        <v>47</v>
      </c>
      <c r="G989" s="45" t="s">
        <v>60</v>
      </c>
      <c r="H989" s="50" t="s">
        <v>544</v>
      </c>
      <c r="I989" s="51">
        <v>1228</v>
      </c>
      <c r="J989" s="80"/>
      <c r="K9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1228 DAP_FETCovid19</v>
      </c>
      <c r="L989" s="48">
        <v>44782</v>
      </c>
      <c r="M989" s="48"/>
      <c r="N989" s="49">
        <f>E989</f>
        <v>278</v>
      </c>
      <c r="O989" s="45"/>
      <c r="P989" s="80"/>
      <c r="Q989" s="48"/>
      <c r="R989" s="45"/>
      <c r="S989" s="115">
        <v>580</v>
      </c>
      <c r="T989" s="20">
        <v>44770</v>
      </c>
      <c r="U989" s="20">
        <v>44792</v>
      </c>
      <c r="V989" s="20">
        <v>44792</v>
      </c>
      <c r="W989" s="27"/>
    </row>
    <row r="990" spans="1:23" ht="60" hidden="1" customHeight="1" x14ac:dyDescent="0.25">
      <c r="A990" s="45" t="str">
        <f>CONCATENATE(Tabla2[[#This Row],[id_solicitud]],Tabla2[[#This Row],[tipo]])</f>
        <v>241Decreto</v>
      </c>
      <c r="B990" s="45">
        <f>COUNTIF($A$2:A990,A990)</f>
        <v>1</v>
      </c>
      <c r="C990" s="45" t="str">
        <f>Tabla2[[#This Row],[(id_solicitud-tipo_documento)]]&amp;B990</f>
        <v>241Decreto1</v>
      </c>
      <c r="D990" s="45">
        <v>992</v>
      </c>
      <c r="E990" s="45">
        <v>241</v>
      </c>
      <c r="F990" s="45" t="s">
        <v>47</v>
      </c>
      <c r="G990" s="45" t="s">
        <v>60</v>
      </c>
      <c r="H990" s="50" t="s">
        <v>16</v>
      </c>
      <c r="I990" s="51">
        <v>1229</v>
      </c>
      <c r="J990" s="80"/>
      <c r="K9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1229 DGC</v>
      </c>
      <c r="L990" s="48">
        <v>44782</v>
      </c>
      <c r="M990" s="48"/>
      <c r="N990" s="49" t="s">
        <v>882</v>
      </c>
      <c r="O990" s="45"/>
      <c r="P990" s="80"/>
      <c r="Q990" s="48"/>
      <c r="R990" s="45"/>
      <c r="S990" s="115">
        <v>583</v>
      </c>
      <c r="T990" s="20">
        <v>44770</v>
      </c>
      <c r="U990" s="20">
        <v>44791</v>
      </c>
      <c r="V990" s="20">
        <v>44791</v>
      </c>
      <c r="W990" s="27"/>
    </row>
    <row r="991" spans="1:23" ht="60" hidden="1" customHeight="1" x14ac:dyDescent="0.25">
      <c r="A991" s="45" t="str">
        <f>CONCATENATE(Tabla2[[#This Row],[id_solicitud]],Tabla2[[#This Row],[tipo]])</f>
        <v>67Decreto</v>
      </c>
      <c r="B991" s="45">
        <f>COUNTIF($A$2:A991,A991)</f>
        <v>1</v>
      </c>
      <c r="C991" s="45" t="str">
        <f>Tabla2[[#This Row],[(id_solicitud-tipo_documento)]]&amp;B991</f>
        <v>67Decreto1</v>
      </c>
      <c r="D991" s="45">
        <v>993</v>
      </c>
      <c r="E991" s="45">
        <v>67</v>
      </c>
      <c r="F991" s="45" t="s">
        <v>47</v>
      </c>
      <c r="G991" s="45" t="s">
        <v>42</v>
      </c>
      <c r="H991" s="50" t="s">
        <v>16</v>
      </c>
      <c r="I991" s="51">
        <v>1251</v>
      </c>
      <c r="J991" s="80"/>
      <c r="K9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1251 DGC</v>
      </c>
      <c r="L991" s="48">
        <v>44701</v>
      </c>
      <c r="M991" s="48"/>
      <c r="N991" s="49" t="s">
        <v>796</v>
      </c>
      <c r="O991" s="45"/>
      <c r="P991" s="80"/>
      <c r="Q991" s="48"/>
      <c r="R991" s="45"/>
      <c r="S991" s="115">
        <v>288</v>
      </c>
      <c r="T991" s="20">
        <v>44679</v>
      </c>
      <c r="U991" s="20">
        <v>44701</v>
      </c>
      <c r="V991" s="20">
        <v>44701</v>
      </c>
      <c r="W991" s="27"/>
    </row>
    <row r="992" spans="1:23" ht="60" hidden="1" customHeight="1" x14ac:dyDescent="0.25">
      <c r="A992" s="45" t="str">
        <f>CONCATENATE(Tabla2[[#This Row],[id_solicitud]],Tabla2[[#This Row],[tipo]])</f>
        <v>205Resolucion</v>
      </c>
      <c r="B992" s="45">
        <f>COUNTIF($A$2:A992,A992)</f>
        <v>1</v>
      </c>
      <c r="C992" s="45" t="str">
        <f>Tabla2[[#This Row],[(id_solicitud-tipo_documento)]]&amp;B992</f>
        <v>205Resolucion1</v>
      </c>
      <c r="D992" s="45">
        <v>994</v>
      </c>
      <c r="E992" s="45">
        <v>205</v>
      </c>
      <c r="F992" s="45" t="s">
        <v>48</v>
      </c>
      <c r="G992" s="45"/>
      <c r="H992" s="50" t="s">
        <v>10</v>
      </c>
      <c r="I992" s="51">
        <v>1262</v>
      </c>
      <c r="J992" s="80"/>
      <c r="K9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92" s="48">
        <v>44775</v>
      </c>
      <c r="M992" s="48"/>
      <c r="N992" s="49"/>
      <c r="O992" s="45"/>
      <c r="P992" s="80"/>
      <c r="Q992" s="48"/>
      <c r="R992" s="45"/>
      <c r="S992" s="114"/>
      <c r="T992" s="45"/>
      <c r="U992" s="48"/>
      <c r="V992" s="48"/>
      <c r="W992" s="27"/>
    </row>
    <row r="993" spans="1:23" ht="60" hidden="1" customHeight="1" x14ac:dyDescent="0.25">
      <c r="A993" s="45" t="str">
        <f>CONCATENATE(Tabla2[[#This Row],[id_solicitud]],Tabla2[[#This Row],[tipo]])</f>
        <v>130Oficio_Autorizacion</v>
      </c>
      <c r="B993" s="45">
        <f>COUNTIF($A$2:A993,A993)</f>
        <v>1</v>
      </c>
      <c r="C993" s="45" t="str">
        <f>Tabla2[[#This Row],[(id_solicitud-tipo_documento)]]&amp;B993</f>
        <v>130Oficio_Autorizacion1</v>
      </c>
      <c r="D993" s="45">
        <v>995</v>
      </c>
      <c r="E993" s="45">
        <v>130</v>
      </c>
      <c r="F993" s="45" t="s">
        <v>1272</v>
      </c>
      <c r="G993" s="45" t="s">
        <v>44</v>
      </c>
      <c r="H993" s="50" t="s">
        <v>538</v>
      </c>
      <c r="I993" s="51">
        <v>1264</v>
      </c>
      <c r="J993" s="80"/>
      <c r="K9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93" s="48">
        <v>44705</v>
      </c>
      <c r="M993" s="48"/>
      <c r="N993" s="49" t="s">
        <v>827</v>
      </c>
      <c r="O993" s="45"/>
      <c r="P993" s="80"/>
      <c r="Q993" s="48"/>
      <c r="R993" s="45"/>
      <c r="S993" s="115">
        <v>363</v>
      </c>
      <c r="T993" s="20">
        <v>44698</v>
      </c>
      <c r="U993" s="20"/>
      <c r="V993" s="20"/>
      <c r="W993" s="27"/>
    </row>
    <row r="994" spans="1:23" ht="60" hidden="1" customHeight="1" x14ac:dyDescent="0.25">
      <c r="A994" s="45" t="str">
        <f>CONCATENATE(Tabla2[[#This Row],[id_solicitud]],Tabla2[[#This Row],[tipo]])</f>
        <v>229Oficio_Solicitud</v>
      </c>
      <c r="B994" s="45">
        <f>COUNTIF($A$2:A994,A994)</f>
        <v>1</v>
      </c>
      <c r="C994" s="45" t="str">
        <f>Tabla2[[#This Row],[(id_solicitud-tipo_documento)]]&amp;B994</f>
        <v>229Oficio_Solicitud1</v>
      </c>
      <c r="D994" s="45">
        <v>996</v>
      </c>
      <c r="E994" s="45">
        <v>229</v>
      </c>
      <c r="F994" s="45" t="s">
        <v>53</v>
      </c>
      <c r="G994" s="45" t="s">
        <v>40</v>
      </c>
      <c r="H994" s="50" t="s">
        <v>559</v>
      </c>
      <c r="I994" s="51">
        <v>1265</v>
      </c>
      <c r="J994" s="80"/>
      <c r="K9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1265 APR_FETCovid19</v>
      </c>
      <c r="L994" s="48">
        <v>44706</v>
      </c>
      <c r="M994" s="48">
        <v>44707</v>
      </c>
      <c r="N994" s="49" t="s">
        <v>257</v>
      </c>
      <c r="O994" s="45"/>
      <c r="P994" s="80" t="s">
        <v>498</v>
      </c>
      <c r="Q994" s="48"/>
      <c r="R994" s="45"/>
      <c r="S994" s="114"/>
      <c r="T994" s="52"/>
      <c r="U994" s="48"/>
      <c r="V994" s="48"/>
      <c r="W994" s="27"/>
    </row>
    <row r="995" spans="1:23" ht="60" hidden="1" customHeight="1" x14ac:dyDescent="0.25">
      <c r="A995" s="45" t="str">
        <f>CONCATENATE(Tabla2[[#This Row],[id_solicitud]],Tabla2[[#This Row],[tipo]])</f>
        <v>186Oficio_Solicitud</v>
      </c>
      <c r="B995" s="45">
        <f>COUNTIF($A$2:A995,A995)</f>
        <v>1</v>
      </c>
      <c r="C995" s="45" t="str">
        <f>Tabla2[[#This Row],[(id_solicitud-tipo_documento)]]&amp;B995</f>
        <v>186Oficio_Solicitud1</v>
      </c>
      <c r="D995" s="45">
        <v>997</v>
      </c>
      <c r="E995" s="45">
        <v>186</v>
      </c>
      <c r="F995" s="45" t="s">
        <v>53</v>
      </c>
      <c r="G995" s="45" t="s">
        <v>40</v>
      </c>
      <c r="H995" s="50" t="s">
        <v>33</v>
      </c>
      <c r="I995" s="51">
        <v>1267</v>
      </c>
      <c r="J995" s="80"/>
      <c r="K9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1267 SISS</v>
      </c>
      <c r="L995" s="48">
        <v>44677</v>
      </c>
      <c r="M995" s="48">
        <v>44677</v>
      </c>
      <c r="N995" s="49" t="s">
        <v>221</v>
      </c>
      <c r="O995" s="45">
        <v>0</v>
      </c>
      <c r="P995" s="80" t="s">
        <v>500</v>
      </c>
      <c r="Q995" s="48"/>
      <c r="R995" s="45"/>
      <c r="S995" s="114"/>
      <c r="T995" s="52"/>
      <c r="U995" s="48"/>
      <c r="V995" s="48"/>
      <c r="W995" s="27"/>
    </row>
    <row r="996" spans="1:23" ht="60" hidden="1" customHeight="1" x14ac:dyDescent="0.25">
      <c r="A996" s="45" t="str">
        <f>CONCATENATE(Tabla2[[#This Row],[id_solicitud]],Tabla2[[#This Row],[tipo]])</f>
        <v>93Resolucion</v>
      </c>
      <c r="B996" s="45">
        <f>COUNTIF($A$2:A996,A996)</f>
        <v>1</v>
      </c>
      <c r="C996" s="45" t="str">
        <f>Tabla2[[#This Row],[(id_solicitud-tipo_documento)]]&amp;B996</f>
        <v>93Resolucion1</v>
      </c>
      <c r="D996" s="45">
        <v>998</v>
      </c>
      <c r="E996" s="45">
        <v>93</v>
      </c>
      <c r="F996" s="45" t="s">
        <v>48</v>
      </c>
      <c r="G996" s="45"/>
      <c r="H996" s="50" t="s">
        <v>26</v>
      </c>
      <c r="I996" s="51">
        <v>1269</v>
      </c>
      <c r="J996" s="80"/>
      <c r="K9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96" s="48">
        <v>44711</v>
      </c>
      <c r="M996" s="48"/>
      <c r="N996" s="49"/>
      <c r="O996" s="45"/>
      <c r="P996" s="80"/>
      <c r="Q996" s="48"/>
      <c r="R996" s="45"/>
      <c r="S996" s="114"/>
      <c r="T996" s="45"/>
      <c r="U996" s="48"/>
      <c r="V996" s="48"/>
      <c r="W996" s="27"/>
    </row>
    <row r="997" spans="1:23" ht="60" hidden="1" customHeight="1" x14ac:dyDescent="0.25">
      <c r="A997" s="45" t="str">
        <f>CONCATENATE(Tabla2[[#This Row],[id_solicitud]],Tabla2[[#This Row],[tipo]])</f>
        <v>187Oficio_Autorizacion</v>
      </c>
      <c r="B997" s="45">
        <f>COUNTIF($A$2:A997,A997)</f>
        <v>1</v>
      </c>
      <c r="C997" s="45" t="str">
        <f>Tabla2[[#This Row],[(id_solicitud-tipo_documento)]]&amp;B997</f>
        <v>187Oficio_Autorizacion1</v>
      </c>
      <c r="D997" s="45">
        <v>999</v>
      </c>
      <c r="E997" s="45">
        <v>187</v>
      </c>
      <c r="F997" s="45" t="s">
        <v>1272</v>
      </c>
      <c r="G997" s="45" t="s">
        <v>44</v>
      </c>
      <c r="H997" s="50" t="s">
        <v>22</v>
      </c>
      <c r="I997" s="51">
        <v>1275</v>
      </c>
      <c r="J997" s="80"/>
      <c r="K9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997" s="48">
        <v>44705</v>
      </c>
      <c r="M997" s="48"/>
      <c r="N997" s="49" t="s">
        <v>854</v>
      </c>
      <c r="O997" s="45"/>
      <c r="P997" s="80"/>
      <c r="Q997" s="48"/>
      <c r="R997" s="45"/>
      <c r="S997" s="115">
        <v>383</v>
      </c>
      <c r="T997" s="20">
        <v>44699</v>
      </c>
      <c r="U997" s="20"/>
      <c r="V997" s="20"/>
      <c r="W997" s="27"/>
    </row>
    <row r="998" spans="1:23" ht="60" hidden="1" customHeight="1" x14ac:dyDescent="0.25">
      <c r="A998" s="45" t="str">
        <f>CONCATENATE(Tabla2[[#This Row],[id_solicitud]],Tabla2[[#This Row],[tipo]])</f>
        <v>322Decreto</v>
      </c>
      <c r="B998" s="45">
        <f>COUNTIF($A$2:A998,A998)</f>
        <v>1</v>
      </c>
      <c r="C998" s="45" t="str">
        <f>Tabla2[[#This Row],[(id_solicitud-tipo_documento)]]&amp;B998</f>
        <v>322Decreto1</v>
      </c>
      <c r="D998" s="45">
        <v>1000</v>
      </c>
      <c r="E998" s="45">
        <v>322</v>
      </c>
      <c r="F998" s="45" t="s">
        <v>47</v>
      </c>
      <c r="G998" s="45" t="s">
        <v>40</v>
      </c>
      <c r="H998" s="50" t="s">
        <v>30</v>
      </c>
      <c r="I998" s="51">
        <v>1278</v>
      </c>
      <c r="J998" s="80"/>
      <c r="K9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1278 INH</v>
      </c>
      <c r="L998" s="48">
        <v>44795</v>
      </c>
      <c r="M998" s="48"/>
      <c r="N998" s="49" t="s">
        <v>332</v>
      </c>
      <c r="O998" s="45"/>
      <c r="P998" s="80"/>
      <c r="Q998" s="48"/>
      <c r="R998" s="45"/>
      <c r="S998" s="115">
        <v>614</v>
      </c>
      <c r="T998" s="20">
        <v>44784</v>
      </c>
      <c r="U998" s="20">
        <v>44798</v>
      </c>
      <c r="V998" s="20">
        <v>44798</v>
      </c>
      <c r="W998" s="27"/>
    </row>
    <row r="999" spans="1:23" ht="60" hidden="1" customHeight="1" x14ac:dyDescent="0.25">
      <c r="A999" s="45" t="str">
        <f>CONCATENATE(Tabla2[[#This Row],[id_solicitud]],Tabla2[[#This Row],[tipo]])</f>
        <v>21Oficio_Solicitud</v>
      </c>
      <c r="B999" s="45">
        <f>COUNTIF($A$2:A999,A999)</f>
        <v>1</v>
      </c>
      <c r="C999" s="45" t="str">
        <f>Tabla2[[#This Row],[(id_solicitud-tipo_documento)]]&amp;B999</f>
        <v>21Oficio_Solicitud1</v>
      </c>
      <c r="D999" s="45">
        <v>1001</v>
      </c>
      <c r="E999" s="45">
        <v>21</v>
      </c>
      <c r="F999" s="45" t="s">
        <v>53</v>
      </c>
      <c r="G999" s="45" t="s">
        <v>57</v>
      </c>
      <c r="H999" s="50" t="s">
        <v>16</v>
      </c>
      <c r="I999" s="51">
        <v>1284</v>
      </c>
      <c r="J999" s="80"/>
      <c r="K9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1284 DGC</v>
      </c>
      <c r="L999" s="48">
        <v>44537</v>
      </c>
      <c r="M999" s="48">
        <v>44540</v>
      </c>
      <c r="N999" s="49" t="s">
        <v>89</v>
      </c>
      <c r="O999" s="45">
        <v>90</v>
      </c>
      <c r="P999" s="80" t="s">
        <v>494</v>
      </c>
      <c r="Q999" s="48"/>
      <c r="R999" s="45"/>
      <c r="S999" s="114"/>
      <c r="T999" s="52"/>
      <c r="U999" s="48"/>
      <c r="V999" s="48"/>
      <c r="W999" s="27"/>
    </row>
    <row r="1000" spans="1:23" ht="60" hidden="1" customHeight="1" x14ac:dyDescent="0.25">
      <c r="A1000" s="45" t="str">
        <f>CONCATENATE(Tabla2[[#This Row],[id_solicitud]],Tabla2[[#This Row],[tipo]])</f>
        <v>22Oficio_Solicitud</v>
      </c>
      <c r="B1000" s="45">
        <f>COUNTIF($A$2:A1000,A1000)</f>
        <v>1</v>
      </c>
      <c r="C1000" s="45" t="str">
        <f>Tabla2[[#This Row],[(id_solicitud-tipo_documento)]]&amp;B1000</f>
        <v>22Oficio_Solicitud1</v>
      </c>
      <c r="D1000" s="45">
        <v>1002</v>
      </c>
      <c r="E1000" s="45">
        <v>22</v>
      </c>
      <c r="F1000" s="45" t="s">
        <v>53</v>
      </c>
      <c r="G1000" s="45" t="s">
        <v>57</v>
      </c>
      <c r="H1000" s="50" t="s">
        <v>562</v>
      </c>
      <c r="I1000" s="51">
        <v>1285</v>
      </c>
      <c r="J1000" s="80"/>
      <c r="K10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1285 DGC_FETCovid19</v>
      </c>
      <c r="L1000" s="48">
        <v>44537</v>
      </c>
      <c r="M1000" s="48">
        <v>44540</v>
      </c>
      <c r="N1000" s="49" t="s">
        <v>90</v>
      </c>
      <c r="O1000" s="45">
        <v>2</v>
      </c>
      <c r="P1000" s="80" t="s">
        <v>494</v>
      </c>
      <c r="Q1000" s="48"/>
      <c r="R1000" s="45"/>
      <c r="S1000" s="114"/>
      <c r="T1000" s="52"/>
      <c r="U1000" s="48"/>
      <c r="V1000" s="48"/>
      <c r="W1000" s="27"/>
    </row>
    <row r="1001" spans="1:23" ht="60" hidden="1" customHeight="1" x14ac:dyDescent="0.25">
      <c r="A1001" s="45" t="str">
        <f>CONCATENATE(Tabla2[[#This Row],[id_solicitud]],Tabla2[[#This Row],[tipo]])</f>
        <v>52Oficio_Solicitud</v>
      </c>
      <c r="B1001" s="45">
        <f>COUNTIF($A$2:A1001,A1001)</f>
        <v>1</v>
      </c>
      <c r="C1001" s="45" t="str">
        <f>Tabla2[[#This Row],[(id_solicitud-tipo_documento)]]&amp;B1001</f>
        <v>52Oficio_Solicitud1</v>
      </c>
      <c r="D1001" s="45">
        <v>1003</v>
      </c>
      <c r="E1001" s="45">
        <v>52</v>
      </c>
      <c r="F1001" s="45" t="s">
        <v>53</v>
      </c>
      <c r="G1001" s="45" t="s">
        <v>57</v>
      </c>
      <c r="H1001" s="50" t="s">
        <v>16</v>
      </c>
      <c r="I1001" s="51">
        <v>1285</v>
      </c>
      <c r="J1001" s="80"/>
      <c r="K10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1285 DGC</v>
      </c>
      <c r="L1001" s="48">
        <v>44537</v>
      </c>
      <c r="M1001" s="48">
        <v>44540</v>
      </c>
      <c r="N1001" s="49" t="s">
        <v>112</v>
      </c>
      <c r="O1001" s="45">
        <v>1</v>
      </c>
      <c r="P1001" s="80" t="s">
        <v>494</v>
      </c>
      <c r="Q1001" s="48"/>
      <c r="R1001" s="45"/>
      <c r="S1001" s="114"/>
      <c r="T1001" s="52"/>
      <c r="U1001" s="48"/>
      <c r="V1001" s="48"/>
      <c r="W1001" s="27"/>
    </row>
    <row r="1002" spans="1:23" ht="60" customHeight="1" x14ac:dyDescent="0.25">
      <c r="A1002" s="45" t="str">
        <f>CONCATENATE(Tabla2[[#This Row],[id_solicitud]],Tabla2[[#This Row],[tipo]])</f>
        <v>402Oficio_Autorizacion</v>
      </c>
      <c r="B1002" s="45">
        <f>COUNTIF($A$2:A1002,A1002)</f>
        <v>1</v>
      </c>
      <c r="C1002" s="45" t="str">
        <f>Tabla2[[#This Row],[(id_solicitud-tipo_documento)]]&amp;B1002</f>
        <v>402Oficio_Autorizacion1</v>
      </c>
      <c r="D1002" s="45">
        <v>1119</v>
      </c>
      <c r="E1002" s="45">
        <v>402</v>
      </c>
      <c r="F1002" s="45" t="s">
        <v>1272</v>
      </c>
      <c r="G1002" s="45" t="s">
        <v>1261</v>
      </c>
      <c r="H1002" s="50" t="s">
        <v>32</v>
      </c>
      <c r="I1002" s="51">
        <v>1798</v>
      </c>
      <c r="J1002" s="80"/>
      <c r="K10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02" s="48">
        <v>44867</v>
      </c>
      <c r="M1002" s="48"/>
      <c r="N1002" s="49" t="s">
        <v>966</v>
      </c>
      <c r="O1002" s="45"/>
      <c r="P1002" s="80"/>
      <c r="Q1002" s="48"/>
      <c r="R1002" s="45"/>
      <c r="S1002" s="115">
        <v>1063</v>
      </c>
      <c r="T1002" s="20">
        <v>44841</v>
      </c>
      <c r="U1002" s="20"/>
      <c r="V1002" s="20"/>
      <c r="W1002" s="27"/>
    </row>
    <row r="1003" spans="1:23" ht="60" hidden="1" customHeight="1" x14ac:dyDescent="0.25">
      <c r="A1003" s="45" t="str">
        <f>CONCATENATE(Tabla2[[#This Row],[id_solicitud]],Tabla2[[#This Row],[tipo]])</f>
        <v>23Oficio_Solicitud</v>
      </c>
      <c r="B1003" s="45">
        <f>COUNTIF($A$2:A1003,A1003)</f>
        <v>1</v>
      </c>
      <c r="C1003" s="45" t="str">
        <f>Tabla2[[#This Row],[(id_solicitud-tipo_documento)]]&amp;B1003</f>
        <v>23Oficio_Solicitud1</v>
      </c>
      <c r="D1003" s="45">
        <v>1005</v>
      </c>
      <c r="E1003" s="45">
        <v>23</v>
      </c>
      <c r="F1003" s="45" t="s">
        <v>53</v>
      </c>
      <c r="G1003" s="45" t="s">
        <v>57</v>
      </c>
      <c r="H1003" s="50" t="s">
        <v>16</v>
      </c>
      <c r="I1003" s="51">
        <v>1286</v>
      </c>
      <c r="J1003" s="80"/>
      <c r="K10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1286 DGC</v>
      </c>
      <c r="L1003" s="48">
        <v>44537</v>
      </c>
      <c r="M1003" s="48">
        <v>44540</v>
      </c>
      <c r="N1003" s="49" t="s">
        <v>91</v>
      </c>
      <c r="O1003" s="45">
        <v>86</v>
      </c>
      <c r="P1003" s="80" t="s">
        <v>494</v>
      </c>
      <c r="Q1003" s="48"/>
      <c r="R1003" s="45"/>
      <c r="S1003" s="114"/>
      <c r="T1003" s="52"/>
      <c r="U1003" s="48"/>
      <c r="V1003" s="48"/>
      <c r="W1003" s="27"/>
    </row>
    <row r="1004" spans="1:23" ht="60" hidden="1" customHeight="1" x14ac:dyDescent="0.25">
      <c r="A1004" s="45" t="str">
        <f>CONCATENATE(Tabla2[[#This Row],[id_solicitud]],Tabla2[[#This Row],[tipo]])</f>
        <v>185Decreto</v>
      </c>
      <c r="B1004" s="45">
        <f>COUNTIF($A$2:A1004,A1004)</f>
        <v>1</v>
      </c>
      <c r="C1004" s="45" t="str">
        <f>Tabla2[[#This Row],[(id_solicitud-tipo_documento)]]&amp;B1004</f>
        <v>185Decreto1</v>
      </c>
      <c r="D1004" s="45">
        <v>1006</v>
      </c>
      <c r="E1004" s="45">
        <v>185</v>
      </c>
      <c r="F1004" s="45" t="s">
        <v>47</v>
      </c>
      <c r="G1004" s="45" t="s">
        <v>60</v>
      </c>
      <c r="H1004" s="50" t="s">
        <v>26</v>
      </c>
      <c r="I1004" s="51">
        <v>1287</v>
      </c>
      <c r="J1004" s="80"/>
      <c r="K10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1287 DV</v>
      </c>
      <c r="L1004" s="48">
        <v>44797</v>
      </c>
      <c r="M1004" s="48"/>
      <c r="N1004" s="49" t="s">
        <v>852</v>
      </c>
      <c r="O1004" s="45"/>
      <c r="P1004" s="80"/>
      <c r="Q1004" s="48"/>
      <c r="R1004" s="45"/>
      <c r="S1004" s="115">
        <v>635</v>
      </c>
      <c r="T1004" s="20">
        <v>44795</v>
      </c>
      <c r="U1004" s="20">
        <v>44804</v>
      </c>
      <c r="V1004" s="20">
        <v>44804</v>
      </c>
      <c r="W1004" s="27"/>
    </row>
    <row r="1005" spans="1:23" ht="60" hidden="1" customHeight="1" x14ac:dyDescent="0.25">
      <c r="A1005" s="45" t="str">
        <f>CONCATENATE(Tabla2[[#This Row],[id_solicitud]],Tabla2[[#This Row],[tipo]])</f>
        <v>318Decreto</v>
      </c>
      <c r="B1005" s="45">
        <f>COUNTIF($A$2:A1005,A1005)</f>
        <v>1</v>
      </c>
      <c r="C1005" s="45" t="str">
        <f>Tabla2[[#This Row],[(id_solicitud-tipo_documento)]]&amp;B1005</f>
        <v>318Decreto1</v>
      </c>
      <c r="D1005" s="45">
        <v>1007</v>
      </c>
      <c r="E1005" s="45">
        <v>318</v>
      </c>
      <c r="F1005" s="45" t="s">
        <v>47</v>
      </c>
      <c r="G1005" s="45" t="s">
        <v>40</v>
      </c>
      <c r="H1005" s="50" t="s">
        <v>16</v>
      </c>
      <c r="I1005" s="51">
        <v>1291</v>
      </c>
      <c r="J1005" s="80"/>
      <c r="K10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1291 DGC</v>
      </c>
      <c r="L1005" s="48">
        <v>44799</v>
      </c>
      <c r="M1005" s="48"/>
      <c r="N1005" s="49" t="s">
        <v>912</v>
      </c>
      <c r="O1005" s="45"/>
      <c r="P1005" s="80"/>
      <c r="Q1005" s="48"/>
      <c r="R1005" s="45"/>
      <c r="S1005" s="115">
        <v>629</v>
      </c>
      <c r="T1005" s="20">
        <v>44785</v>
      </c>
      <c r="U1005" s="20">
        <v>44804</v>
      </c>
      <c r="V1005" s="20">
        <v>44804</v>
      </c>
      <c r="W1005" s="27"/>
    </row>
    <row r="1006" spans="1:23" ht="60" hidden="1" customHeight="1" x14ac:dyDescent="0.25">
      <c r="A1006" s="45" t="str">
        <f>CONCATENATE(Tabla2[[#This Row],[id_solicitud]],Tabla2[[#This Row],[tipo]])</f>
        <v>323Decreto</v>
      </c>
      <c r="B1006" s="45">
        <f>COUNTIF($A$2:A1006,A1006)</f>
        <v>1</v>
      </c>
      <c r="C1006" s="45" t="str">
        <f>Tabla2[[#This Row],[(id_solicitud-tipo_documento)]]&amp;B1006</f>
        <v>323Decreto1</v>
      </c>
      <c r="D1006" s="45">
        <v>1008</v>
      </c>
      <c r="E1006" s="45">
        <v>323</v>
      </c>
      <c r="F1006" s="45" t="s">
        <v>47</v>
      </c>
      <c r="G1006" s="45" t="s">
        <v>40</v>
      </c>
      <c r="H1006" s="50" t="s">
        <v>590</v>
      </c>
      <c r="I1006" s="51">
        <v>1294</v>
      </c>
      <c r="J1006" s="80"/>
      <c r="K10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1294 DOH-DCyF</v>
      </c>
      <c r="L1006" s="48">
        <v>44799</v>
      </c>
      <c r="M1006" s="48"/>
      <c r="N1006" s="49" t="s">
        <v>914</v>
      </c>
      <c r="O1006" s="45"/>
      <c r="P1006" s="80"/>
      <c r="Q1006" s="48"/>
      <c r="R1006" s="45"/>
      <c r="S1006" s="115">
        <v>612</v>
      </c>
      <c r="T1006" s="20">
        <v>44790</v>
      </c>
      <c r="U1006" s="20"/>
      <c r="V1006" s="20"/>
      <c r="W1006" s="27"/>
    </row>
    <row r="1007" spans="1:23" ht="60" hidden="1" customHeight="1" x14ac:dyDescent="0.25">
      <c r="A1007" s="45" t="str">
        <f>CONCATENATE(Tabla2[[#This Row],[id_solicitud]],Tabla2[[#This Row],[tipo]])</f>
        <v>388Decreto</v>
      </c>
      <c r="B1007" s="45">
        <f>COUNTIF($A$2:A1007,A1007)</f>
        <v>1</v>
      </c>
      <c r="C1007" s="45" t="str">
        <f>Tabla2[[#This Row],[(id_solicitud-tipo_documento)]]&amp;B1007</f>
        <v>388Decreto1</v>
      </c>
      <c r="D1007" s="45">
        <v>1009</v>
      </c>
      <c r="E1007" s="45">
        <v>388</v>
      </c>
      <c r="F1007" s="45" t="s">
        <v>47</v>
      </c>
      <c r="G1007" s="45" t="s">
        <v>40</v>
      </c>
      <c r="H1007" s="50" t="s">
        <v>599</v>
      </c>
      <c r="I1007" s="51">
        <v>1294</v>
      </c>
      <c r="J1007" s="80"/>
      <c r="K10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1294 SOP-DGOP-DOH</v>
      </c>
      <c r="L1007" s="48">
        <v>44799</v>
      </c>
      <c r="M1007" s="48"/>
      <c r="N1007" s="49" t="s">
        <v>958</v>
      </c>
      <c r="O1007" s="45"/>
      <c r="P1007" s="80"/>
      <c r="Q1007" s="48"/>
      <c r="R1007" s="45"/>
      <c r="S1007" s="115">
        <v>612</v>
      </c>
      <c r="T1007" s="20">
        <v>44790</v>
      </c>
      <c r="U1007" s="20">
        <v>44804</v>
      </c>
      <c r="V1007" s="20"/>
      <c r="W1007" s="27"/>
    </row>
    <row r="1008" spans="1:23" ht="60" hidden="1" customHeight="1" x14ac:dyDescent="0.25">
      <c r="A1008" s="45" t="str">
        <f>CONCATENATE(Tabla2[[#This Row],[id_solicitud]],Tabla2[[#This Row],[tipo]])</f>
        <v>192Oficio_Autorizacion</v>
      </c>
      <c r="B1008" s="45">
        <f>COUNTIF($A$2:A1008,A1008)</f>
        <v>1</v>
      </c>
      <c r="C1008" s="45" t="str">
        <f>Tabla2[[#This Row],[(id_solicitud-tipo_documento)]]&amp;B1008</f>
        <v>192Oficio_Autorizacion1</v>
      </c>
      <c r="D1008" s="45">
        <v>1010</v>
      </c>
      <c r="E1008" s="45">
        <v>192</v>
      </c>
      <c r="F1008" s="45" t="s">
        <v>1272</v>
      </c>
      <c r="G1008" s="45" t="s">
        <v>44</v>
      </c>
      <c r="H1008" s="50" t="s">
        <v>14</v>
      </c>
      <c r="I1008" s="51">
        <v>1307</v>
      </c>
      <c r="J1008" s="80"/>
      <c r="K10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08" s="48">
        <v>44708</v>
      </c>
      <c r="M1008" s="48"/>
      <c r="N1008" s="49" t="s">
        <v>857</v>
      </c>
      <c r="O1008" s="45"/>
      <c r="P1008" s="80"/>
      <c r="Q1008" s="48"/>
      <c r="R1008" s="45"/>
      <c r="S1008" s="115">
        <v>376</v>
      </c>
      <c r="T1008" s="20">
        <v>44700</v>
      </c>
      <c r="U1008" s="20"/>
      <c r="V1008" s="20"/>
      <c r="W1008" s="27"/>
    </row>
    <row r="1009" spans="1:23" ht="60" hidden="1" customHeight="1" x14ac:dyDescent="0.25">
      <c r="A1009" s="45" t="str">
        <f>CONCATENATE(Tabla2[[#This Row],[id_solicitud]],Tabla2[[#This Row],[tipo]])</f>
        <v>313Decreto</v>
      </c>
      <c r="B1009" s="45">
        <f>COUNTIF($A$2:A1009,A1009)</f>
        <v>1</v>
      </c>
      <c r="C1009" s="45" t="str">
        <f>Tabla2[[#This Row],[(id_solicitud-tipo_documento)]]&amp;B1009</f>
        <v>313Decreto1</v>
      </c>
      <c r="D1009" s="45">
        <v>1011</v>
      </c>
      <c r="E1009" s="45">
        <v>313</v>
      </c>
      <c r="F1009" s="45" t="s">
        <v>47</v>
      </c>
      <c r="G1009" s="45" t="s">
        <v>60</v>
      </c>
      <c r="H1009" s="50" t="s">
        <v>10</v>
      </c>
      <c r="I1009" s="51">
        <v>1311</v>
      </c>
      <c r="J1009" s="80"/>
      <c r="K10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1311 DAP</v>
      </c>
      <c r="L1009" s="48">
        <v>44799</v>
      </c>
      <c r="M1009" s="48"/>
      <c r="N1009" s="49">
        <f>+E1009</f>
        <v>313</v>
      </c>
      <c r="O1009" s="45"/>
      <c r="P1009" s="80"/>
      <c r="Q1009" s="48"/>
      <c r="R1009" s="45"/>
      <c r="S1009" s="115">
        <v>654</v>
      </c>
      <c r="T1009" s="20">
        <v>44791</v>
      </c>
      <c r="U1009" s="20">
        <v>44806</v>
      </c>
      <c r="V1009" s="20">
        <v>44806</v>
      </c>
      <c r="W1009" s="27"/>
    </row>
    <row r="1010" spans="1:23" ht="60" hidden="1" customHeight="1" x14ac:dyDescent="0.25">
      <c r="A1010" s="45" t="str">
        <f>CONCATENATE(Tabla2[[#This Row],[id_solicitud]],Tabla2[[#This Row],[tipo]])</f>
        <v>389Decreto</v>
      </c>
      <c r="B1010" s="45">
        <f>COUNTIF($A$2:A1010,A1010)</f>
        <v>1</v>
      </c>
      <c r="C1010" s="45" t="str">
        <f>Tabla2[[#This Row],[(id_solicitud-tipo_documento)]]&amp;B1010</f>
        <v>389Decreto1</v>
      </c>
      <c r="D1010" s="45">
        <v>1012</v>
      </c>
      <c r="E1010" s="45">
        <v>389</v>
      </c>
      <c r="F1010" s="45" t="s">
        <v>47</v>
      </c>
      <c r="G1010" s="45" t="s">
        <v>40</v>
      </c>
      <c r="H1010" s="50" t="s">
        <v>10</v>
      </c>
      <c r="I1010" s="51">
        <v>1312</v>
      </c>
      <c r="J1010" s="80"/>
      <c r="K10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1312 DAP</v>
      </c>
      <c r="L1010" s="48">
        <v>44799</v>
      </c>
      <c r="M1010" s="48"/>
      <c r="N1010" s="49" t="s">
        <v>959</v>
      </c>
      <c r="O1010" s="45"/>
      <c r="P1010" s="80"/>
      <c r="Q1010" s="48"/>
      <c r="R1010" s="45"/>
      <c r="S1010" s="115">
        <v>653</v>
      </c>
      <c r="T1010" s="20">
        <v>44791</v>
      </c>
      <c r="U1010" s="20">
        <v>44804</v>
      </c>
      <c r="V1010" s="20">
        <v>44804</v>
      </c>
      <c r="W1010" s="27"/>
    </row>
    <row r="1011" spans="1:23" ht="60" hidden="1" customHeight="1" x14ac:dyDescent="0.25">
      <c r="A1011" s="45" t="str">
        <f>CONCATENATE(Tabla2[[#This Row],[id_solicitud]],Tabla2[[#This Row],[tipo]])</f>
        <v>312Decreto</v>
      </c>
      <c r="B1011" s="45">
        <f>COUNTIF($A$2:A1011,A1011)</f>
        <v>1</v>
      </c>
      <c r="C1011" s="45" t="str">
        <f>Tabla2[[#This Row],[(id_solicitud-tipo_documento)]]&amp;B1011</f>
        <v>312Decreto1</v>
      </c>
      <c r="D1011" s="45">
        <v>1013</v>
      </c>
      <c r="E1011" s="45">
        <v>312</v>
      </c>
      <c r="F1011" s="45" t="s">
        <v>47</v>
      </c>
      <c r="G1011" s="45" t="s">
        <v>40</v>
      </c>
      <c r="H1011" s="50" t="s">
        <v>26</v>
      </c>
      <c r="I1011" s="51">
        <v>1313</v>
      </c>
      <c r="J1011" s="80"/>
      <c r="K10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1313 DV</v>
      </c>
      <c r="L1011" s="48">
        <v>44799</v>
      </c>
      <c r="M1011" s="48"/>
      <c r="N1011" s="49" t="s">
        <v>910</v>
      </c>
      <c r="O1011" s="45"/>
      <c r="P1011" s="80"/>
      <c r="Q1011" s="48"/>
      <c r="R1011" s="45"/>
      <c r="S1011" s="115">
        <v>674</v>
      </c>
      <c r="T1011" s="20">
        <v>44791</v>
      </c>
      <c r="U1011" s="20">
        <v>44805</v>
      </c>
      <c r="V1011" s="20">
        <v>44805</v>
      </c>
      <c r="W1011" s="27"/>
    </row>
    <row r="1012" spans="1:23" ht="60" hidden="1" customHeight="1" x14ac:dyDescent="0.25">
      <c r="A1012" s="45" t="str">
        <f>CONCATENATE(Tabla2[[#This Row],[id_solicitud]],Tabla2[[#This Row],[tipo]])</f>
        <v>314Decreto</v>
      </c>
      <c r="B1012" s="45">
        <f>COUNTIF($A$2:A1012,A1012)</f>
        <v>1</v>
      </c>
      <c r="C1012" s="45" t="str">
        <f>Tabla2[[#This Row],[(id_solicitud-tipo_documento)]]&amp;B1012</f>
        <v>314Decreto1</v>
      </c>
      <c r="D1012" s="45">
        <v>1014</v>
      </c>
      <c r="E1012" s="45">
        <v>314</v>
      </c>
      <c r="F1012" s="45" t="s">
        <v>47</v>
      </c>
      <c r="G1012" s="45" t="s">
        <v>60</v>
      </c>
      <c r="H1012" s="50" t="s">
        <v>544</v>
      </c>
      <c r="I1012" s="51">
        <v>1318</v>
      </c>
      <c r="J1012" s="80"/>
      <c r="K10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1318 DAP_FETCovid19</v>
      </c>
      <c r="L1012" s="48">
        <v>44799</v>
      </c>
      <c r="M1012" s="48"/>
      <c r="N1012" s="49">
        <f>+E1012</f>
        <v>314</v>
      </c>
      <c r="O1012" s="45"/>
      <c r="P1012" s="80"/>
      <c r="Q1012" s="48"/>
      <c r="R1012" s="45"/>
      <c r="S1012" s="115">
        <v>651</v>
      </c>
      <c r="T1012" s="20">
        <v>44791</v>
      </c>
      <c r="U1012" s="20">
        <v>44810</v>
      </c>
      <c r="V1012" s="20">
        <v>44810</v>
      </c>
      <c r="W1012" s="27"/>
    </row>
    <row r="1013" spans="1:23" ht="60" hidden="1" customHeight="1" x14ac:dyDescent="0.25">
      <c r="A1013" s="45" t="str">
        <f>CONCATENATE(Tabla2[[#This Row],[id_solicitud]],Tabla2[[#This Row],[tipo]])</f>
        <v>331Decreto</v>
      </c>
      <c r="B1013" s="45">
        <f>COUNTIF($A$2:A1013,A1013)</f>
        <v>1</v>
      </c>
      <c r="C1013" s="45" t="str">
        <f>Tabla2[[#This Row],[(id_solicitud-tipo_documento)]]&amp;B1013</f>
        <v>331Decreto1</v>
      </c>
      <c r="D1013" s="45">
        <v>1015</v>
      </c>
      <c r="E1013" s="45">
        <v>331</v>
      </c>
      <c r="F1013" s="45" t="s">
        <v>47</v>
      </c>
      <c r="G1013" s="45" t="s">
        <v>40</v>
      </c>
      <c r="H1013" s="50" t="s">
        <v>24</v>
      </c>
      <c r="I1013" s="51">
        <v>1334</v>
      </c>
      <c r="J1013" s="80"/>
      <c r="K10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1334 DP</v>
      </c>
      <c r="L1013" s="48">
        <v>44803</v>
      </c>
      <c r="M1013" s="48"/>
      <c r="N1013" s="49" t="s">
        <v>921</v>
      </c>
      <c r="O1013" s="45"/>
      <c r="P1013" s="80"/>
      <c r="Q1013" s="48"/>
      <c r="R1013" s="45"/>
      <c r="S1013" s="115">
        <v>719</v>
      </c>
      <c r="T1013" s="20">
        <v>44797</v>
      </c>
      <c r="U1013" s="20">
        <v>44806</v>
      </c>
      <c r="V1013" s="20">
        <v>44806</v>
      </c>
      <c r="W1013" s="27"/>
    </row>
    <row r="1014" spans="1:23" ht="60" hidden="1" customHeight="1" x14ac:dyDescent="0.25">
      <c r="A1014" s="45" t="str">
        <f>CONCATENATE(Tabla2[[#This Row],[id_solicitud]],Tabla2[[#This Row],[tipo]])</f>
        <v>7Oficio_Solicitud</v>
      </c>
      <c r="B1014" s="45">
        <f>COUNTIF($A$2:A1014,A1014)</f>
        <v>1</v>
      </c>
      <c r="C1014" s="45" t="str">
        <f>Tabla2[[#This Row],[(id_solicitud-tipo_documento)]]&amp;B1014</f>
        <v>7Oficio_Solicitud1</v>
      </c>
      <c r="D1014" s="45">
        <v>1016</v>
      </c>
      <c r="E1014" s="45">
        <v>7</v>
      </c>
      <c r="F1014" s="45" t="s">
        <v>53</v>
      </c>
      <c r="G1014" s="45" t="s">
        <v>43</v>
      </c>
      <c r="H1014" s="50" t="s">
        <v>532</v>
      </c>
      <c r="I1014" s="51">
        <v>1340</v>
      </c>
      <c r="J1014" s="80"/>
      <c r="K10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1340 DA_FETCovid19</v>
      </c>
      <c r="L1014" s="48">
        <v>44531</v>
      </c>
      <c r="M1014" s="48">
        <v>44533</v>
      </c>
      <c r="N1014" s="49" t="s">
        <v>75</v>
      </c>
      <c r="O1014" s="45">
        <v>5</v>
      </c>
      <c r="P1014" s="80" t="s">
        <v>494</v>
      </c>
      <c r="Q1014" s="48"/>
      <c r="R1014" s="45"/>
      <c r="S1014" s="114"/>
      <c r="T1014" s="52"/>
      <c r="U1014" s="48"/>
      <c r="V1014" s="48"/>
      <c r="W1014" s="27"/>
    </row>
    <row r="1015" spans="1:23" ht="60" hidden="1" customHeight="1" x14ac:dyDescent="0.25">
      <c r="A1015" s="45" t="str">
        <f>CONCATENATE(Tabla2[[#This Row],[id_solicitud]],Tabla2[[#This Row],[tipo]])</f>
        <v>71Oficio_Solicitud</v>
      </c>
      <c r="B1015" s="45">
        <f>COUNTIF($A$2:A1015,A1015)</f>
        <v>1</v>
      </c>
      <c r="C1015" s="45" t="str">
        <f>Tabla2[[#This Row],[(id_solicitud-tipo_documento)]]&amp;B1015</f>
        <v>71Oficio_Solicitud1</v>
      </c>
      <c r="D1015" s="45">
        <v>1017</v>
      </c>
      <c r="E1015" s="45">
        <v>71</v>
      </c>
      <c r="F1015" s="45" t="s">
        <v>53</v>
      </c>
      <c r="G1015" s="45" t="s">
        <v>43</v>
      </c>
      <c r="H1015" s="50" t="s">
        <v>8</v>
      </c>
      <c r="I1015" s="51">
        <v>1340</v>
      </c>
      <c r="J1015" s="80"/>
      <c r="K10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1340 DA</v>
      </c>
      <c r="L1015" s="48">
        <v>44531</v>
      </c>
      <c r="M1015" s="48">
        <v>44533</v>
      </c>
      <c r="N1015" s="49" t="s">
        <v>75</v>
      </c>
      <c r="O1015" s="45">
        <v>5</v>
      </c>
      <c r="P1015" s="80" t="s">
        <v>494</v>
      </c>
      <c r="Q1015" s="48"/>
      <c r="R1015" s="45"/>
      <c r="S1015" s="114"/>
      <c r="T1015" s="52"/>
      <c r="U1015" s="48"/>
      <c r="V1015" s="48"/>
      <c r="W1015" s="27"/>
    </row>
    <row r="1016" spans="1:23" ht="60" hidden="1" customHeight="1" x14ac:dyDescent="0.25">
      <c r="A1016" s="45" t="str">
        <f>CONCATENATE(Tabla2[[#This Row],[id_solicitud]],Tabla2[[#This Row],[tipo]])</f>
        <v>8Oficio_Solicitud</v>
      </c>
      <c r="B1016" s="45">
        <f>COUNTIF($A$2:A1016,A1016)</f>
        <v>1</v>
      </c>
      <c r="C1016" s="45" t="str">
        <f>Tabla2[[#This Row],[(id_solicitud-tipo_documento)]]&amp;B1016</f>
        <v>8Oficio_Solicitud1</v>
      </c>
      <c r="D1016" s="45">
        <v>1018</v>
      </c>
      <c r="E1016" s="45">
        <v>8</v>
      </c>
      <c r="F1016" s="45" t="s">
        <v>53</v>
      </c>
      <c r="G1016" s="45" t="s">
        <v>43</v>
      </c>
      <c r="H1016" s="50" t="s">
        <v>8</v>
      </c>
      <c r="I1016" s="51">
        <v>1341</v>
      </c>
      <c r="J1016" s="80"/>
      <c r="K10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1341 DA</v>
      </c>
      <c r="L1016" s="48">
        <v>44531</v>
      </c>
      <c r="M1016" s="48">
        <v>44533</v>
      </c>
      <c r="N1016" s="49" t="s">
        <v>76</v>
      </c>
      <c r="O1016" s="45">
        <v>11</v>
      </c>
      <c r="P1016" s="80" t="s">
        <v>494</v>
      </c>
      <c r="Q1016" s="48"/>
      <c r="R1016" s="45"/>
      <c r="S1016" s="114"/>
      <c r="T1016" s="52"/>
      <c r="U1016" s="48"/>
      <c r="V1016" s="48"/>
      <c r="W1016" s="27"/>
    </row>
    <row r="1017" spans="1:23" ht="60" hidden="1" customHeight="1" x14ac:dyDescent="0.25">
      <c r="A1017" s="45" t="str">
        <f>CONCATENATE(Tabla2[[#This Row],[id_solicitud]],Tabla2[[#This Row],[tipo]])</f>
        <v>343Decreto</v>
      </c>
      <c r="B1017" s="45">
        <f>COUNTIF($A$2:A1017,A1017)</f>
        <v>1</v>
      </c>
      <c r="C1017" s="45" t="str">
        <f>Tabla2[[#This Row],[(id_solicitud-tipo_documento)]]&amp;B1017</f>
        <v>343Decreto1</v>
      </c>
      <c r="D1017" s="45">
        <v>1019</v>
      </c>
      <c r="E1017" s="45">
        <v>343</v>
      </c>
      <c r="F1017" s="45" t="s">
        <v>47</v>
      </c>
      <c r="G1017" s="45" t="s">
        <v>40</v>
      </c>
      <c r="H1017" s="50" t="s">
        <v>8</v>
      </c>
      <c r="I1017" s="51">
        <v>1344</v>
      </c>
      <c r="J1017" s="80"/>
      <c r="K10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1344 DA</v>
      </c>
      <c r="L1017" s="48">
        <v>44804</v>
      </c>
      <c r="M1017" s="48"/>
      <c r="N1017" s="49">
        <f>E1017</f>
        <v>343</v>
      </c>
      <c r="O1017" s="45"/>
      <c r="P1017" s="80"/>
      <c r="Q1017" s="48"/>
      <c r="R1017" s="45"/>
      <c r="S1017" s="115">
        <v>745</v>
      </c>
      <c r="T1017" s="20">
        <v>44802</v>
      </c>
      <c r="U1017" s="20">
        <v>44806</v>
      </c>
      <c r="V1017" s="20">
        <v>44806</v>
      </c>
      <c r="W1017" s="27"/>
    </row>
    <row r="1018" spans="1:23" ht="60" hidden="1" customHeight="1" x14ac:dyDescent="0.25">
      <c r="A1018" s="45" t="str">
        <f>CONCATENATE(Tabla2[[#This Row],[id_solicitud]],Tabla2[[#This Row],[tipo]])</f>
        <v>343Decreto</v>
      </c>
      <c r="B1018" s="45">
        <f>COUNTIF($A$2:A1018,A1018)</f>
        <v>2</v>
      </c>
      <c r="C1018" s="45" t="str">
        <f>Tabla2[[#This Row],[(id_solicitud-tipo_documento)]]&amp;B1018</f>
        <v>343Decreto2</v>
      </c>
      <c r="D1018" s="45">
        <v>1020</v>
      </c>
      <c r="E1018" s="45">
        <v>343</v>
      </c>
      <c r="F1018" s="45" t="s">
        <v>47</v>
      </c>
      <c r="G1018" s="45" t="s">
        <v>60</v>
      </c>
      <c r="H1018" s="50" t="s">
        <v>8</v>
      </c>
      <c r="I1018" s="51">
        <v>1345</v>
      </c>
      <c r="J1018" s="80"/>
      <c r="K10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1345 DA</v>
      </c>
      <c r="L1018" s="48">
        <v>44804</v>
      </c>
      <c r="M1018" s="48"/>
      <c r="N1018" s="49">
        <f>E1018</f>
        <v>343</v>
      </c>
      <c r="O1018" s="45"/>
      <c r="P1018" s="80"/>
      <c r="Q1018" s="48"/>
      <c r="R1018" s="45"/>
      <c r="S1018" s="115">
        <v>746</v>
      </c>
      <c r="T1018" s="20">
        <v>44802</v>
      </c>
      <c r="U1018" s="20">
        <v>44811</v>
      </c>
      <c r="V1018" s="20">
        <v>44811</v>
      </c>
      <c r="W1018" s="27"/>
    </row>
    <row r="1019" spans="1:23" ht="60" hidden="1" customHeight="1" x14ac:dyDescent="0.25">
      <c r="A1019" s="45" t="str">
        <f>CONCATENATE(Tabla2[[#This Row],[id_solicitud]],Tabla2[[#This Row],[tipo]])</f>
        <v>315Decreto</v>
      </c>
      <c r="B1019" s="45">
        <f>COUNTIF($A$2:A1019,A1019)</f>
        <v>1</v>
      </c>
      <c r="C1019" s="45" t="str">
        <f>Tabla2[[#This Row],[(id_solicitud-tipo_documento)]]&amp;B1019</f>
        <v>315Decreto1</v>
      </c>
      <c r="D1019" s="45">
        <v>1021</v>
      </c>
      <c r="E1019" s="45">
        <v>315</v>
      </c>
      <c r="F1019" s="45" t="s">
        <v>47</v>
      </c>
      <c r="G1019" s="45" t="s">
        <v>40</v>
      </c>
      <c r="H1019" s="50" t="s">
        <v>22</v>
      </c>
      <c r="I1019" s="51">
        <v>1346</v>
      </c>
      <c r="J1019" s="80"/>
      <c r="K10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1346 DOP</v>
      </c>
      <c r="L1019" s="48">
        <v>44804</v>
      </c>
      <c r="M1019" s="48"/>
      <c r="N1019" s="49" t="s">
        <v>962</v>
      </c>
      <c r="O1019" s="45"/>
      <c r="P1019" s="80"/>
      <c r="Q1019" s="48"/>
      <c r="R1019" s="45"/>
      <c r="S1019" s="115">
        <v>710</v>
      </c>
      <c r="T1019" s="20">
        <v>44802</v>
      </c>
      <c r="U1019" s="20">
        <v>44806</v>
      </c>
      <c r="V1019" s="20">
        <v>44806</v>
      </c>
      <c r="W1019" s="27"/>
    </row>
    <row r="1020" spans="1:23" ht="60" hidden="1" customHeight="1" x14ac:dyDescent="0.25">
      <c r="A1020" s="45" t="str">
        <f>CONCATENATE(Tabla2[[#This Row],[id_solicitud]],Tabla2[[#This Row],[tipo]])</f>
        <v>315Decreto</v>
      </c>
      <c r="B1020" s="45">
        <f>COUNTIF($A$2:A1020,A1020)</f>
        <v>2</v>
      </c>
      <c r="C1020" s="45" t="str">
        <f>Tabla2[[#This Row],[(id_solicitud-tipo_documento)]]&amp;B1020</f>
        <v>315Decreto2</v>
      </c>
      <c r="D1020" s="45">
        <v>1022</v>
      </c>
      <c r="E1020" s="45">
        <v>315</v>
      </c>
      <c r="F1020" s="45" t="s">
        <v>47</v>
      </c>
      <c r="G1020" s="45" t="s">
        <v>60</v>
      </c>
      <c r="H1020" s="50" t="s">
        <v>22</v>
      </c>
      <c r="I1020" s="51">
        <v>1347</v>
      </c>
      <c r="J1020" s="80"/>
      <c r="K10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1347 DOP</v>
      </c>
      <c r="L1020" s="48">
        <v>44804</v>
      </c>
      <c r="M1020" s="48"/>
      <c r="N1020" s="49" t="s">
        <v>911</v>
      </c>
      <c r="O1020" s="45"/>
      <c r="P1020" s="80"/>
      <c r="Q1020" s="48"/>
      <c r="R1020" s="45"/>
      <c r="S1020" s="115">
        <v>711</v>
      </c>
      <c r="T1020" s="20">
        <v>44802</v>
      </c>
      <c r="U1020" s="20">
        <v>44811</v>
      </c>
      <c r="V1020" s="20">
        <v>44811</v>
      </c>
      <c r="W1020" s="27"/>
    </row>
    <row r="1021" spans="1:23" ht="60" hidden="1" customHeight="1" x14ac:dyDescent="0.25">
      <c r="A1021" s="45" t="str">
        <f>CONCATENATE(Tabla2[[#This Row],[id_solicitud]],Tabla2[[#This Row],[tipo]])</f>
        <v>197Decreto</v>
      </c>
      <c r="B1021" s="45">
        <f>COUNTIF($A$2:A1021,A1021)</f>
        <v>1</v>
      </c>
      <c r="C1021" s="45" t="str">
        <f>Tabla2[[#This Row],[(id_solicitud-tipo_documento)]]&amp;B1021</f>
        <v>197Decreto1</v>
      </c>
      <c r="D1021" s="45">
        <v>1023</v>
      </c>
      <c r="E1021" s="45">
        <v>197</v>
      </c>
      <c r="F1021" s="45" t="s">
        <v>47</v>
      </c>
      <c r="G1021" s="45" t="s">
        <v>60</v>
      </c>
      <c r="H1021" s="50" t="s">
        <v>538</v>
      </c>
      <c r="I1021" s="51">
        <v>1348</v>
      </c>
      <c r="J1021" s="80"/>
      <c r="K10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1348 DV_FETCovid19</v>
      </c>
      <c r="L1021" s="48">
        <v>44804</v>
      </c>
      <c r="M1021" s="48"/>
      <c r="N1021" s="49" t="s">
        <v>860</v>
      </c>
      <c r="O1021" s="45"/>
      <c r="P1021" s="80"/>
      <c r="Q1021" s="48"/>
      <c r="R1021" s="45"/>
      <c r="S1021" s="115">
        <v>729</v>
      </c>
      <c r="T1021" s="20">
        <v>44802</v>
      </c>
      <c r="U1021" s="20">
        <v>44811</v>
      </c>
      <c r="V1021" s="20">
        <v>44811</v>
      </c>
      <c r="W1021" s="27"/>
    </row>
    <row r="1022" spans="1:23" ht="60" hidden="1" customHeight="1" x14ac:dyDescent="0.25">
      <c r="A1022" s="45" t="str">
        <f>CONCATENATE(Tabla2[[#This Row],[id_solicitud]],Tabla2[[#This Row],[tipo]])</f>
        <v>310Decreto</v>
      </c>
      <c r="B1022" s="45">
        <f>COUNTIF($A$2:A1022,A1022)</f>
        <v>1</v>
      </c>
      <c r="C1022" s="45" t="str">
        <f>Tabla2[[#This Row],[(id_solicitud-tipo_documento)]]&amp;B1022</f>
        <v>310Decreto1</v>
      </c>
      <c r="D1022" s="45">
        <v>1024</v>
      </c>
      <c r="E1022" s="45">
        <v>310</v>
      </c>
      <c r="F1022" s="45" t="s">
        <v>47</v>
      </c>
      <c r="G1022" s="45"/>
      <c r="H1022" s="50" t="s">
        <v>6</v>
      </c>
      <c r="I1022" s="51">
        <v>1353</v>
      </c>
      <c r="J1022" s="80"/>
      <c r="K10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1353 APR</v>
      </c>
      <c r="L1022" s="48">
        <v>44804</v>
      </c>
      <c r="M1022" s="48"/>
      <c r="N1022" s="49" t="s">
        <v>909</v>
      </c>
      <c r="O1022" s="45"/>
      <c r="P1022" s="80"/>
      <c r="Q1022" s="48"/>
      <c r="R1022" s="45"/>
      <c r="S1022" s="115">
        <v>670</v>
      </c>
      <c r="T1022" s="20">
        <v>44799</v>
      </c>
      <c r="U1022" s="20">
        <v>44811</v>
      </c>
      <c r="V1022" s="20">
        <v>44811</v>
      </c>
      <c r="W1022" s="27"/>
    </row>
    <row r="1023" spans="1:23" ht="60" hidden="1" customHeight="1" x14ac:dyDescent="0.25">
      <c r="A1023" s="45" t="str">
        <f>CONCATENATE(Tabla2[[#This Row],[id_solicitud]],Tabla2[[#This Row],[tipo]])</f>
        <v>300Decreto</v>
      </c>
      <c r="B1023" s="45">
        <f>COUNTIF($A$2:A1023,A1023)</f>
        <v>1</v>
      </c>
      <c r="C1023" s="45" t="str">
        <f>Tabla2[[#This Row],[(id_solicitud-tipo_documento)]]&amp;B1023</f>
        <v>300Decreto1</v>
      </c>
      <c r="D1023" s="45">
        <v>1025</v>
      </c>
      <c r="E1023" s="45">
        <v>300</v>
      </c>
      <c r="F1023" s="45" t="s">
        <v>47</v>
      </c>
      <c r="G1023" s="45" t="s">
        <v>60</v>
      </c>
      <c r="H1023" s="50" t="s">
        <v>26</v>
      </c>
      <c r="I1023" s="51">
        <v>1360</v>
      </c>
      <c r="J1023" s="80"/>
      <c r="K10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1360 DV</v>
      </c>
      <c r="L1023" s="48">
        <v>44804</v>
      </c>
      <c r="M1023" s="48"/>
      <c r="N1023" s="49" t="s">
        <v>906</v>
      </c>
      <c r="O1023" s="45"/>
      <c r="P1023" s="80"/>
      <c r="Q1023" s="48"/>
      <c r="R1023" s="45"/>
      <c r="S1023" s="115">
        <v>731</v>
      </c>
      <c r="T1023" s="20">
        <v>44802</v>
      </c>
      <c r="U1023" s="20">
        <v>44806</v>
      </c>
      <c r="V1023" s="20">
        <v>44806</v>
      </c>
      <c r="W1023" s="27"/>
    </row>
    <row r="1024" spans="1:23" ht="60" hidden="1" customHeight="1" x14ac:dyDescent="0.25">
      <c r="A1024" s="45" t="str">
        <f>CONCATENATE(Tabla2[[#This Row],[id_solicitud]],Tabla2[[#This Row],[tipo]])</f>
        <v>252Oficio_Solicitud</v>
      </c>
      <c r="B1024" s="45">
        <f>COUNTIF($A$2:A1024,A1024)</f>
        <v>1</v>
      </c>
      <c r="C1024" s="45" t="str">
        <f>Tabla2[[#This Row],[(id_solicitud-tipo_documento)]]&amp;B1024</f>
        <v>252Oficio_Solicitud1</v>
      </c>
      <c r="D1024" s="45">
        <v>1026</v>
      </c>
      <c r="E1024" s="45">
        <v>252</v>
      </c>
      <c r="F1024" s="45" t="s">
        <v>53</v>
      </c>
      <c r="G1024" s="45" t="s">
        <v>1258</v>
      </c>
      <c r="H1024" s="50" t="s">
        <v>535</v>
      </c>
      <c r="I1024" s="51">
        <v>1363</v>
      </c>
      <c r="J1024" s="80"/>
      <c r="K10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1363 DOH_FETCovid19</v>
      </c>
      <c r="L1024" s="48">
        <v>44718</v>
      </c>
      <c r="M1024" s="48">
        <v>44719</v>
      </c>
      <c r="N1024" s="49" t="s">
        <v>279</v>
      </c>
      <c r="O1024" s="45">
        <v>4</v>
      </c>
      <c r="P1024" s="80" t="s">
        <v>494</v>
      </c>
      <c r="Q1024" s="48"/>
      <c r="R1024" s="45"/>
      <c r="S1024" s="114"/>
      <c r="T1024" s="52"/>
      <c r="U1024" s="48"/>
      <c r="V1024" s="48"/>
      <c r="W1024" s="27"/>
    </row>
    <row r="1025" spans="1:23" ht="60" hidden="1" customHeight="1" x14ac:dyDescent="0.25">
      <c r="A1025" s="45" t="str">
        <f>CONCATENATE(Tabla2[[#This Row],[id_solicitud]],Tabla2[[#This Row],[tipo]])</f>
        <v>20Oficio_Solicitud</v>
      </c>
      <c r="B1025" s="45">
        <f>COUNTIF($A$2:A1025,A1025)</f>
        <v>1</v>
      </c>
      <c r="C1025" s="45" t="str">
        <f>Tabla2[[#This Row],[(id_solicitud-tipo_documento)]]&amp;B1025</f>
        <v>20Oficio_Solicitud1</v>
      </c>
      <c r="D1025" s="45">
        <v>1027</v>
      </c>
      <c r="E1025" s="45">
        <v>20</v>
      </c>
      <c r="F1025" s="45" t="s">
        <v>53</v>
      </c>
      <c r="G1025" s="45" t="s">
        <v>43</v>
      </c>
      <c r="H1025" s="50" t="s">
        <v>532</v>
      </c>
      <c r="I1025" s="51">
        <v>1372</v>
      </c>
      <c r="J1025" s="80"/>
      <c r="K10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1372 DA_FETCovid19</v>
      </c>
      <c r="L1025" s="48">
        <v>44539</v>
      </c>
      <c r="M1025" s="48">
        <v>44545</v>
      </c>
      <c r="N1025" s="49" t="s">
        <v>88</v>
      </c>
      <c r="O1025" s="45">
        <v>3</v>
      </c>
      <c r="P1025" s="80" t="s">
        <v>494</v>
      </c>
      <c r="Q1025" s="48"/>
      <c r="R1025" s="45"/>
      <c r="S1025" s="114"/>
      <c r="T1025" s="52"/>
      <c r="U1025" s="48"/>
      <c r="V1025" s="48"/>
      <c r="W1025" s="27"/>
    </row>
    <row r="1026" spans="1:23" ht="60" hidden="1" customHeight="1" x14ac:dyDescent="0.25">
      <c r="A1026" s="45" t="str">
        <f>CONCATENATE(Tabla2[[#This Row],[id_solicitud]],Tabla2[[#This Row],[tipo]])</f>
        <v>19Oficio_Solicitud</v>
      </c>
      <c r="B1026" s="45">
        <f>COUNTIF($A$2:A1026,A1026)</f>
        <v>1</v>
      </c>
      <c r="C1026" s="45" t="str">
        <f>Tabla2[[#This Row],[(id_solicitud-tipo_documento)]]&amp;B1026</f>
        <v>19Oficio_Solicitud1</v>
      </c>
      <c r="D1026" s="45">
        <v>1028</v>
      </c>
      <c r="E1026" s="45">
        <v>19</v>
      </c>
      <c r="F1026" s="45" t="s">
        <v>53</v>
      </c>
      <c r="G1026" s="45" t="s">
        <v>43</v>
      </c>
      <c r="H1026" s="50" t="s">
        <v>8</v>
      </c>
      <c r="I1026" s="51">
        <v>1374</v>
      </c>
      <c r="J1026" s="80"/>
      <c r="K10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1374 DA</v>
      </c>
      <c r="L1026" s="48">
        <v>44539</v>
      </c>
      <c r="M1026" s="48">
        <v>44545</v>
      </c>
      <c r="N1026" s="49" t="s">
        <v>87</v>
      </c>
      <c r="O1026" s="45">
        <v>8</v>
      </c>
      <c r="P1026" s="80" t="s">
        <v>494</v>
      </c>
      <c r="Q1026" s="48"/>
      <c r="R1026" s="45"/>
      <c r="S1026" s="114"/>
      <c r="T1026" s="52"/>
      <c r="U1026" s="48"/>
      <c r="V1026" s="48"/>
      <c r="W1026" s="27"/>
    </row>
    <row r="1027" spans="1:23" ht="60" hidden="1" customHeight="1" x14ac:dyDescent="0.25">
      <c r="A1027" s="45" t="str">
        <f>CONCATENATE(Tabla2[[#This Row],[id_solicitud]],Tabla2[[#This Row],[tipo]])</f>
        <v>258Oficio_Autorizacion</v>
      </c>
      <c r="B1027" s="45">
        <f>COUNTIF($A$2:A1027,A1027)</f>
        <v>1</v>
      </c>
      <c r="C1027" s="45" t="str">
        <f>Tabla2[[#This Row],[(id_solicitud-tipo_documento)]]&amp;B1027</f>
        <v>258Oficio_Autorizacion1</v>
      </c>
      <c r="D1027" s="45">
        <v>1029</v>
      </c>
      <c r="E1027" s="45">
        <v>258</v>
      </c>
      <c r="F1027" s="45" t="s">
        <v>1272</v>
      </c>
      <c r="G1027" s="45" t="s">
        <v>44</v>
      </c>
      <c r="H1027" s="50" t="s">
        <v>26</v>
      </c>
      <c r="I1027" s="51">
        <v>1389</v>
      </c>
      <c r="J1027" s="80"/>
      <c r="K10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27" s="48">
        <v>44718</v>
      </c>
      <c r="M1027" s="48"/>
      <c r="N1027" s="49" t="s">
        <v>891</v>
      </c>
      <c r="O1027" s="45"/>
      <c r="P1027" s="80"/>
      <c r="Q1027" s="48"/>
      <c r="R1027" s="45"/>
      <c r="S1027" s="115">
        <v>424</v>
      </c>
      <c r="T1027" s="20">
        <v>44711</v>
      </c>
      <c r="U1027" s="20"/>
      <c r="V1027" s="20"/>
      <c r="W1027" s="27"/>
    </row>
    <row r="1028" spans="1:23" ht="60" hidden="1" customHeight="1" x14ac:dyDescent="0.25">
      <c r="A1028" s="45" t="str">
        <f>CONCATENATE(Tabla2[[#This Row],[id_solicitud]],Tabla2[[#This Row],[tipo]])</f>
        <v>186Decreto</v>
      </c>
      <c r="B1028" s="45">
        <f>COUNTIF($A$2:A1028,A1028)</f>
        <v>1</v>
      </c>
      <c r="C1028" s="45" t="str">
        <f>Tabla2[[#This Row],[(id_solicitud-tipo_documento)]]&amp;B1028</f>
        <v>186Decreto1</v>
      </c>
      <c r="D1028" s="45">
        <v>1030</v>
      </c>
      <c r="E1028" s="45">
        <v>186</v>
      </c>
      <c r="F1028" s="45" t="s">
        <v>47</v>
      </c>
      <c r="G1028" s="45" t="s">
        <v>40</v>
      </c>
      <c r="H1028" s="50" t="s">
        <v>33</v>
      </c>
      <c r="I1028" s="51">
        <v>1390</v>
      </c>
      <c r="J1028" s="80"/>
      <c r="K10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1390 SISS</v>
      </c>
      <c r="L1028" s="48">
        <v>44718</v>
      </c>
      <c r="M1028" s="48"/>
      <c r="N1028" s="49" t="s">
        <v>853</v>
      </c>
      <c r="O1028" s="45"/>
      <c r="P1028" s="80"/>
      <c r="Q1028" s="48"/>
      <c r="R1028" s="45"/>
      <c r="S1028" s="115">
        <v>354</v>
      </c>
      <c r="T1028" s="20">
        <v>44697</v>
      </c>
      <c r="U1028" s="20"/>
      <c r="V1028" s="20"/>
      <c r="W1028" s="27"/>
    </row>
    <row r="1029" spans="1:23" ht="60" hidden="1" customHeight="1" x14ac:dyDescent="0.25">
      <c r="A1029" s="45" t="str">
        <f>CONCATENATE(Tabla2[[#This Row],[id_solicitud]],Tabla2[[#This Row],[tipo]])</f>
        <v>332Decreto</v>
      </c>
      <c r="B1029" s="45">
        <f>COUNTIF($A$2:A1029,A1029)</f>
        <v>1</v>
      </c>
      <c r="C1029" s="45" t="str">
        <f>Tabla2[[#This Row],[(id_solicitud-tipo_documento)]]&amp;B1029</f>
        <v>332Decreto1</v>
      </c>
      <c r="D1029" s="45">
        <v>1031</v>
      </c>
      <c r="E1029" s="45">
        <v>332</v>
      </c>
      <c r="F1029" s="45" t="s">
        <v>47</v>
      </c>
      <c r="G1029" s="45" t="s">
        <v>40</v>
      </c>
      <c r="H1029" s="50" t="s">
        <v>591</v>
      </c>
      <c r="I1029" s="51">
        <v>1407</v>
      </c>
      <c r="J1029" s="80"/>
      <c r="K10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1407 DOH-SISS</v>
      </c>
      <c r="L1029" s="48">
        <v>44812</v>
      </c>
      <c r="M1029" s="48"/>
      <c r="N1029" s="49">
        <f>+E1029</f>
        <v>332</v>
      </c>
      <c r="O1029" s="45"/>
      <c r="P1029" s="80"/>
      <c r="Q1029" s="48"/>
      <c r="R1029" s="45"/>
      <c r="S1029" s="115">
        <v>739</v>
      </c>
      <c r="T1029" s="20">
        <v>44799</v>
      </c>
      <c r="U1029" s="20">
        <v>44819</v>
      </c>
      <c r="V1029" s="20">
        <v>44819</v>
      </c>
      <c r="W1029" s="27"/>
    </row>
    <row r="1030" spans="1:23" ht="60" hidden="1" customHeight="1" x14ac:dyDescent="0.25">
      <c r="A1030" s="45" t="str">
        <f>CONCATENATE(Tabla2[[#This Row],[id_solicitud]],Tabla2[[#This Row],[tipo]])</f>
        <v>327Decreto</v>
      </c>
      <c r="B1030" s="45">
        <f>COUNTIF($A$2:A1030,A1030)</f>
        <v>1</v>
      </c>
      <c r="C1030" s="45" t="str">
        <f>Tabla2[[#This Row],[(id_solicitud-tipo_documento)]]&amp;B1030</f>
        <v>327Decreto1</v>
      </c>
      <c r="D1030" s="45">
        <v>1032</v>
      </c>
      <c r="E1030" s="45">
        <v>327</v>
      </c>
      <c r="F1030" s="45" t="s">
        <v>47</v>
      </c>
      <c r="G1030" s="45" t="s">
        <v>1256</v>
      </c>
      <c r="H1030" s="50" t="s">
        <v>22</v>
      </c>
      <c r="I1030" s="51">
        <v>1414</v>
      </c>
      <c r="J1030" s="80"/>
      <c r="K10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1414 DOP</v>
      </c>
      <c r="L1030" s="48">
        <v>44812</v>
      </c>
      <c r="M1030" s="48"/>
      <c r="N1030" s="49" t="s">
        <v>917</v>
      </c>
      <c r="O1030" s="45"/>
      <c r="P1030" s="80"/>
      <c r="Q1030" s="48"/>
      <c r="R1030" s="45"/>
      <c r="S1030" s="115">
        <v>715</v>
      </c>
      <c r="T1030" s="20">
        <v>44799</v>
      </c>
      <c r="U1030" s="20">
        <v>44819</v>
      </c>
      <c r="V1030" s="20">
        <v>44819</v>
      </c>
      <c r="W1030" s="27"/>
    </row>
    <row r="1031" spans="1:23" ht="60" hidden="1" customHeight="1" x14ac:dyDescent="0.25">
      <c r="A1031" s="45" t="str">
        <f>CONCATENATE(Tabla2[[#This Row],[id_solicitud]],Tabla2[[#This Row],[tipo]])</f>
        <v>350Decreto</v>
      </c>
      <c r="B1031" s="45">
        <f>COUNTIF($A$2:A1031,A1031)</f>
        <v>1</v>
      </c>
      <c r="C1031" s="45" t="str">
        <f>Tabla2[[#This Row],[(id_solicitud-tipo_documento)]]&amp;B1031</f>
        <v>350Decreto1</v>
      </c>
      <c r="D1031" s="45">
        <v>1033</v>
      </c>
      <c r="E1031" s="45">
        <v>350</v>
      </c>
      <c r="F1031" s="45" t="s">
        <v>47</v>
      </c>
      <c r="G1031" s="45" t="s">
        <v>60</v>
      </c>
      <c r="H1031" s="50" t="s">
        <v>10</v>
      </c>
      <c r="I1031" s="51">
        <v>1415</v>
      </c>
      <c r="J1031" s="80"/>
      <c r="K10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1415 DAP</v>
      </c>
      <c r="L1031" s="48">
        <v>44812</v>
      </c>
      <c r="M1031" s="48"/>
      <c r="N1031" s="49">
        <f>+E1031</f>
        <v>350</v>
      </c>
      <c r="O1031" s="45"/>
      <c r="P1031" s="80"/>
      <c r="Q1031" s="48"/>
      <c r="R1031" s="45"/>
      <c r="S1031" s="115">
        <v>717</v>
      </c>
      <c r="T1031" s="20">
        <v>44799</v>
      </c>
      <c r="U1031" s="20">
        <v>44832</v>
      </c>
      <c r="V1031" s="20">
        <v>44832</v>
      </c>
      <c r="W1031" s="27"/>
    </row>
    <row r="1032" spans="1:23" ht="60" hidden="1" customHeight="1" x14ac:dyDescent="0.25">
      <c r="A1032" s="45" t="str">
        <f>CONCATENATE(Tabla2[[#This Row],[id_solicitud]],Tabla2[[#This Row],[tipo]])</f>
        <v>351Resolucion</v>
      </c>
      <c r="B1032" s="45">
        <f>COUNTIF($A$2:A1032,A1032)</f>
        <v>1</v>
      </c>
      <c r="C1032" s="45" t="str">
        <f>Tabla2[[#This Row],[(id_solicitud-tipo_documento)]]&amp;B1032</f>
        <v>351Resolucion1</v>
      </c>
      <c r="D1032" s="45">
        <v>1034</v>
      </c>
      <c r="E1032" s="45">
        <v>351</v>
      </c>
      <c r="F1032" s="45" t="s">
        <v>48</v>
      </c>
      <c r="G1032" s="45"/>
      <c r="H1032" s="50" t="s">
        <v>544</v>
      </c>
      <c r="I1032" s="51">
        <v>1420</v>
      </c>
      <c r="J1032" s="80"/>
      <c r="K10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32" s="48">
        <v>44791</v>
      </c>
      <c r="M1032" s="48"/>
      <c r="N1032" s="49"/>
      <c r="O1032" s="45"/>
      <c r="P1032" s="80"/>
      <c r="Q1032" s="48"/>
      <c r="R1032" s="45"/>
      <c r="S1032" s="114"/>
      <c r="T1032" s="45"/>
      <c r="U1032" s="48"/>
      <c r="V1032" s="48"/>
      <c r="W1032" s="27"/>
    </row>
    <row r="1033" spans="1:23" ht="60" hidden="1" customHeight="1" x14ac:dyDescent="0.25">
      <c r="A1033" s="45" t="str">
        <f>CONCATENATE(Tabla2[[#This Row],[id_solicitud]],Tabla2[[#This Row],[tipo]])</f>
        <v>359Decreto</v>
      </c>
      <c r="B1033" s="45">
        <f>COUNTIF($A$2:A1033,A1033)</f>
        <v>1</v>
      </c>
      <c r="C1033" s="45" t="str">
        <f>Tabla2[[#This Row],[(id_solicitud-tipo_documento)]]&amp;B1033</f>
        <v>359Decreto1</v>
      </c>
      <c r="D1033" s="45">
        <v>1035</v>
      </c>
      <c r="E1033" s="45">
        <v>359</v>
      </c>
      <c r="F1033" s="45" t="s">
        <v>47</v>
      </c>
      <c r="G1033" s="45" t="s">
        <v>40</v>
      </c>
      <c r="H1033" s="50" t="s">
        <v>595</v>
      </c>
      <c r="I1033" s="51">
        <v>1430</v>
      </c>
      <c r="J1033" s="80"/>
      <c r="K10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1430 DGC-DOH</v>
      </c>
      <c r="L1033" s="48">
        <v>44819</v>
      </c>
      <c r="M1033" s="48"/>
      <c r="N1033" s="49">
        <f>+E1033</f>
        <v>359</v>
      </c>
      <c r="O1033" s="45"/>
      <c r="P1033" s="80"/>
      <c r="Q1033" s="48"/>
      <c r="R1033" s="45"/>
      <c r="S1033" s="115">
        <v>766</v>
      </c>
      <c r="T1033" s="20">
        <v>44810</v>
      </c>
      <c r="U1033" s="20">
        <v>44826</v>
      </c>
      <c r="V1033" s="20">
        <v>44826</v>
      </c>
      <c r="W1033" s="27"/>
    </row>
    <row r="1034" spans="1:23" ht="60" hidden="1" customHeight="1" x14ac:dyDescent="0.25">
      <c r="A1034" s="45" t="str">
        <f>CONCATENATE(Tabla2[[#This Row],[id_solicitud]],Tabla2[[#This Row],[tipo]])</f>
        <v>321Decreto</v>
      </c>
      <c r="B1034" s="45">
        <f>COUNTIF($A$2:A1034,A1034)</f>
        <v>1</v>
      </c>
      <c r="C1034" s="45" t="str">
        <f>Tabla2[[#This Row],[(id_solicitud-tipo_documento)]]&amp;B1034</f>
        <v>321Decreto1</v>
      </c>
      <c r="D1034" s="45">
        <v>1036</v>
      </c>
      <c r="E1034" s="45">
        <v>321</v>
      </c>
      <c r="F1034" s="45" t="s">
        <v>47</v>
      </c>
      <c r="G1034" s="45" t="s">
        <v>60</v>
      </c>
      <c r="H1034" s="50" t="s">
        <v>16</v>
      </c>
      <c r="I1034" s="51">
        <v>1431</v>
      </c>
      <c r="J1034" s="80"/>
      <c r="K10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1431 DGC</v>
      </c>
      <c r="L1034" s="48">
        <v>44819</v>
      </c>
      <c r="M1034" s="48"/>
      <c r="N1034" s="49">
        <f>E1034</f>
        <v>321</v>
      </c>
      <c r="O1034" s="45"/>
      <c r="P1034" s="80"/>
      <c r="Q1034" s="48"/>
      <c r="R1034" s="45"/>
      <c r="S1034" s="115">
        <v>764</v>
      </c>
      <c r="T1034" s="20">
        <v>44810</v>
      </c>
      <c r="U1034" s="20">
        <v>44839</v>
      </c>
      <c r="V1034" s="20">
        <v>44839</v>
      </c>
      <c r="W1034" s="27"/>
    </row>
    <row r="1035" spans="1:23" ht="60" hidden="1" customHeight="1" x14ac:dyDescent="0.25">
      <c r="A1035" s="45" t="str">
        <f>CONCATENATE(Tabla2[[#This Row],[id_solicitud]],Tabla2[[#This Row],[tipo]])</f>
        <v>358Resolucion</v>
      </c>
      <c r="B1035" s="45">
        <f>COUNTIF($A$2:A1035,A1035)</f>
        <v>1</v>
      </c>
      <c r="C1035" s="45" t="str">
        <f>Tabla2[[#This Row],[(id_solicitud-tipo_documento)]]&amp;B1035</f>
        <v>358Resolucion1</v>
      </c>
      <c r="D1035" s="45">
        <v>1037</v>
      </c>
      <c r="E1035" s="45">
        <v>358</v>
      </c>
      <c r="F1035" s="45" t="s">
        <v>48</v>
      </c>
      <c r="G1035" s="45"/>
      <c r="H1035" s="50" t="s">
        <v>10</v>
      </c>
      <c r="I1035" s="51">
        <v>1431</v>
      </c>
      <c r="J1035" s="80"/>
      <c r="K10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35" s="48">
        <v>44792</v>
      </c>
      <c r="M1035" s="48"/>
      <c r="N1035" s="49"/>
      <c r="O1035" s="45"/>
      <c r="P1035" s="80"/>
      <c r="Q1035" s="48"/>
      <c r="R1035" s="45"/>
      <c r="S1035" s="114"/>
      <c r="T1035" s="45"/>
      <c r="U1035" s="48"/>
      <c r="V1035" s="48"/>
      <c r="W1035" s="27"/>
    </row>
    <row r="1036" spans="1:23" ht="60" hidden="1" customHeight="1" x14ac:dyDescent="0.25">
      <c r="A1036" s="45" t="str">
        <f>CONCATENATE(Tabla2[[#This Row],[id_solicitud]],Tabla2[[#This Row],[tipo]])</f>
        <v>38Oficio_Solicitud</v>
      </c>
      <c r="B1036" s="45">
        <f>COUNTIF($A$2:A1036,A1036)</f>
        <v>1</v>
      </c>
      <c r="C1036" s="45" t="str">
        <f>Tabla2[[#This Row],[(id_solicitud-tipo_documento)]]&amp;B1036</f>
        <v>38Oficio_Solicitud1</v>
      </c>
      <c r="D1036" s="45">
        <v>1038</v>
      </c>
      <c r="E1036" s="45">
        <v>38</v>
      </c>
      <c r="F1036" s="45" t="s">
        <v>53</v>
      </c>
      <c r="G1036" s="45" t="s">
        <v>57</v>
      </c>
      <c r="H1036" s="50" t="s">
        <v>16</v>
      </c>
      <c r="I1036" s="51">
        <v>1445</v>
      </c>
      <c r="J1036" s="80"/>
      <c r="K10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1445 DGC</v>
      </c>
      <c r="L1036" s="48">
        <v>44561</v>
      </c>
      <c r="M1036" s="48">
        <v>44565</v>
      </c>
      <c r="N1036" s="49" t="s">
        <v>100</v>
      </c>
      <c r="O1036" s="45">
        <v>13</v>
      </c>
      <c r="P1036" s="80" t="s">
        <v>494</v>
      </c>
      <c r="Q1036" s="48"/>
      <c r="R1036" s="45"/>
      <c r="S1036" s="114"/>
      <c r="T1036" s="52"/>
      <c r="U1036" s="48"/>
      <c r="V1036" s="48"/>
      <c r="W1036" s="27"/>
    </row>
    <row r="1037" spans="1:23" ht="60" hidden="1" customHeight="1" x14ac:dyDescent="0.25">
      <c r="A1037" s="45" t="str">
        <f>CONCATENATE(Tabla2[[#This Row],[id_solicitud]],Tabla2[[#This Row],[tipo]])</f>
        <v>353Decreto</v>
      </c>
      <c r="B1037" s="45">
        <f>COUNTIF($A$2:A1037,A1037)</f>
        <v>1</v>
      </c>
      <c r="C1037" s="45" t="str">
        <f>Tabla2[[#This Row],[(id_solicitud-tipo_documento)]]&amp;B1037</f>
        <v>353Decreto1</v>
      </c>
      <c r="D1037" s="45">
        <v>1039</v>
      </c>
      <c r="E1037" s="45">
        <v>353</v>
      </c>
      <c r="F1037" s="45" t="s">
        <v>47</v>
      </c>
      <c r="G1037" s="45" t="s">
        <v>65</v>
      </c>
      <c r="H1037" s="50" t="s">
        <v>593</v>
      </c>
      <c r="I1037" s="51">
        <v>1445</v>
      </c>
      <c r="J1037" s="80"/>
      <c r="K10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1445 DOH-FISC</v>
      </c>
      <c r="L1037" s="48">
        <v>44819</v>
      </c>
      <c r="M1037" s="48"/>
      <c r="N1037" s="49" t="s">
        <v>933</v>
      </c>
      <c r="O1037" s="45"/>
      <c r="P1037" s="80"/>
      <c r="Q1037" s="48"/>
      <c r="R1037" s="45"/>
      <c r="S1037" s="115">
        <v>727</v>
      </c>
      <c r="T1037" s="20">
        <v>44804</v>
      </c>
      <c r="U1037" s="20">
        <v>44827</v>
      </c>
      <c r="V1037" s="20">
        <v>44827</v>
      </c>
      <c r="W1037" s="27"/>
    </row>
    <row r="1038" spans="1:23" ht="60" hidden="1" customHeight="1" x14ac:dyDescent="0.25">
      <c r="A1038" s="45" t="str">
        <f>CONCATENATE(Tabla2[[#This Row],[id_solicitud]],Tabla2[[#This Row],[tipo]])</f>
        <v>354Decreto</v>
      </c>
      <c r="B1038" s="45">
        <f>COUNTIF($A$2:A1038,A1038)</f>
        <v>1</v>
      </c>
      <c r="C1038" s="45" t="str">
        <f>Tabla2[[#This Row],[(id_solicitud-tipo_documento)]]&amp;B1038</f>
        <v>354Decreto1</v>
      </c>
      <c r="D1038" s="45">
        <v>1040</v>
      </c>
      <c r="E1038" s="45">
        <v>354</v>
      </c>
      <c r="F1038" s="45" t="s">
        <v>47</v>
      </c>
      <c r="G1038" s="45" t="s">
        <v>65</v>
      </c>
      <c r="H1038" s="50" t="s">
        <v>594</v>
      </c>
      <c r="I1038" s="51">
        <v>1445</v>
      </c>
      <c r="J1038" s="80"/>
      <c r="K10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1445 DGOP-DOH</v>
      </c>
      <c r="L1038" s="48">
        <v>44819</v>
      </c>
      <c r="M1038" s="48"/>
      <c r="N1038" s="49" t="s">
        <v>934</v>
      </c>
      <c r="O1038" s="45"/>
      <c r="P1038" s="80"/>
      <c r="Q1038" s="48"/>
      <c r="R1038" s="45"/>
      <c r="S1038" s="115">
        <v>727</v>
      </c>
      <c r="T1038" s="20">
        <v>44804</v>
      </c>
      <c r="U1038" s="20">
        <v>44827</v>
      </c>
      <c r="V1038" s="20">
        <v>44827</v>
      </c>
      <c r="W1038" s="27"/>
    </row>
    <row r="1039" spans="1:23" ht="60" hidden="1" customHeight="1" x14ac:dyDescent="0.25">
      <c r="A1039" s="45" t="str">
        <f>CONCATENATE(Tabla2[[#This Row],[id_solicitud]],Tabla2[[#This Row],[tipo]])</f>
        <v>431Decreto</v>
      </c>
      <c r="B1039" s="45">
        <f>COUNTIF($A$2:A1039,A1039)</f>
        <v>1</v>
      </c>
      <c r="C1039" s="45" t="str">
        <f>Tabla2[[#This Row],[(id_solicitud-tipo_documento)]]&amp;B1039</f>
        <v>431Decreto1</v>
      </c>
      <c r="D1039" s="45">
        <v>1041</v>
      </c>
      <c r="E1039" s="45">
        <v>431</v>
      </c>
      <c r="F1039" s="45" t="s">
        <v>47</v>
      </c>
      <c r="G1039" s="45" t="s">
        <v>65</v>
      </c>
      <c r="H1039" s="50" t="s">
        <v>602</v>
      </c>
      <c r="I1039" s="51">
        <v>1445</v>
      </c>
      <c r="J1039" s="80"/>
      <c r="K10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1445 DOH-DGOP-FISC</v>
      </c>
      <c r="L1039" s="48">
        <v>44819</v>
      </c>
      <c r="M1039" s="48"/>
      <c r="N1039" s="49" t="s">
        <v>934</v>
      </c>
      <c r="O1039" s="45"/>
      <c r="P1039" s="80"/>
      <c r="Q1039" s="48"/>
      <c r="R1039" s="45"/>
      <c r="S1039" s="115">
        <v>727</v>
      </c>
      <c r="T1039" s="20">
        <v>44804</v>
      </c>
      <c r="U1039" s="20">
        <v>44827</v>
      </c>
      <c r="V1039" s="20">
        <v>44827</v>
      </c>
      <c r="W1039" s="27"/>
    </row>
    <row r="1040" spans="1:23" ht="60" hidden="1" customHeight="1" x14ac:dyDescent="0.25">
      <c r="A1040" s="45" t="str">
        <f>CONCATENATE(Tabla2[[#This Row],[id_solicitud]],Tabla2[[#This Row],[tipo]])</f>
        <v>278Resolucion</v>
      </c>
      <c r="B1040" s="45">
        <f>COUNTIF($A$2:A1040,A1040)</f>
        <v>1</v>
      </c>
      <c r="C1040" s="45" t="str">
        <f>Tabla2[[#This Row],[(id_solicitud-tipo_documento)]]&amp;B1040</f>
        <v>278Resolucion1</v>
      </c>
      <c r="D1040" s="45">
        <v>1042</v>
      </c>
      <c r="E1040" s="45">
        <v>278</v>
      </c>
      <c r="F1040" s="45" t="s">
        <v>48</v>
      </c>
      <c r="G1040" s="45"/>
      <c r="H1040" s="50" t="s">
        <v>544</v>
      </c>
      <c r="I1040" s="51">
        <v>1448</v>
      </c>
      <c r="J1040" s="80"/>
      <c r="K10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40" s="48">
        <v>44795</v>
      </c>
      <c r="M1040" s="48"/>
      <c r="N1040" s="49"/>
      <c r="O1040" s="45"/>
      <c r="P1040" s="80"/>
      <c r="Q1040" s="48"/>
      <c r="R1040" s="45"/>
      <c r="S1040" s="114"/>
      <c r="T1040" s="45"/>
      <c r="U1040" s="48"/>
      <c r="V1040" s="48"/>
      <c r="W1040" s="27"/>
    </row>
    <row r="1041" spans="1:23" ht="60" hidden="1" customHeight="1" x14ac:dyDescent="0.25">
      <c r="A1041" s="45" t="str">
        <f>CONCATENATE(Tabla2[[#This Row],[id_solicitud]],Tabla2[[#This Row],[tipo]])</f>
        <v>345Oficio_Autorizacion</v>
      </c>
      <c r="B1041" s="45">
        <f>COUNTIF($A$2:A1041,A1041)</f>
        <v>1</v>
      </c>
      <c r="C1041" s="45" t="str">
        <f>Tabla2[[#This Row],[(id_solicitud-tipo_documento)]]&amp;B1041</f>
        <v>345Oficio_Autorizacion1</v>
      </c>
      <c r="D1041" s="45">
        <v>1043</v>
      </c>
      <c r="E1041" s="45">
        <v>345</v>
      </c>
      <c r="F1041" s="45" t="s">
        <v>1272</v>
      </c>
      <c r="G1041" s="45" t="s">
        <v>1260</v>
      </c>
      <c r="H1041" s="50" t="s">
        <v>26</v>
      </c>
      <c r="I1041" s="51">
        <v>1454</v>
      </c>
      <c r="J1041" s="80"/>
      <c r="K10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41" s="48">
        <v>44819</v>
      </c>
      <c r="M1041" s="48"/>
      <c r="N1041" s="49" t="s">
        <v>928</v>
      </c>
      <c r="O1041" s="45"/>
      <c r="P1041" s="80"/>
      <c r="Q1041" s="48"/>
      <c r="R1041" s="45"/>
      <c r="S1041" s="115">
        <v>786</v>
      </c>
      <c r="T1041" s="20">
        <v>44806</v>
      </c>
      <c r="U1041" s="20">
        <v>44827</v>
      </c>
      <c r="V1041" s="20">
        <v>44827</v>
      </c>
      <c r="W1041" s="27"/>
    </row>
    <row r="1042" spans="1:23" ht="60" hidden="1" customHeight="1" x14ac:dyDescent="0.25">
      <c r="A1042" s="45" t="str">
        <f>CONCATENATE(Tabla2[[#This Row],[id_solicitud]],Tabla2[[#This Row],[tipo]])</f>
        <v>374Decreto</v>
      </c>
      <c r="B1042" s="45">
        <f>COUNTIF($A$2:A1042,A1042)</f>
        <v>1</v>
      </c>
      <c r="C1042" s="45" t="str">
        <f>Tabla2[[#This Row],[(id_solicitud-tipo_documento)]]&amp;B1042</f>
        <v>374Decreto1</v>
      </c>
      <c r="D1042" s="45">
        <v>1044</v>
      </c>
      <c r="E1042" s="45">
        <v>374</v>
      </c>
      <c r="F1042" s="45" t="s">
        <v>47</v>
      </c>
      <c r="G1042" s="45" t="s">
        <v>60</v>
      </c>
      <c r="H1042" s="50" t="s">
        <v>544</v>
      </c>
      <c r="I1042" s="51">
        <v>1459</v>
      </c>
      <c r="J1042" s="80"/>
      <c r="K10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1459 DAP_FETCovid19</v>
      </c>
      <c r="L1042" s="48">
        <v>44819</v>
      </c>
      <c r="M1042" s="48"/>
      <c r="N1042" s="49">
        <f>+E1042</f>
        <v>374</v>
      </c>
      <c r="O1042" s="45"/>
      <c r="P1042" s="80"/>
      <c r="Q1042" s="48"/>
      <c r="R1042" s="45"/>
      <c r="S1042" s="115">
        <v>777</v>
      </c>
      <c r="T1042" s="20">
        <v>44806</v>
      </c>
      <c r="U1042" s="20">
        <v>44827</v>
      </c>
      <c r="V1042" s="20">
        <v>44827</v>
      </c>
      <c r="W1042" s="27"/>
    </row>
    <row r="1043" spans="1:23" ht="60" hidden="1" customHeight="1" x14ac:dyDescent="0.25">
      <c r="A1043" s="45" t="str">
        <f>CONCATENATE(Tabla2[[#This Row],[id_solicitud]],Tabla2[[#This Row],[tipo]])</f>
        <v>374Decreto</v>
      </c>
      <c r="B1043" s="45">
        <f>COUNTIF($A$2:A1043,A1043)</f>
        <v>2</v>
      </c>
      <c r="C1043" s="45" t="str">
        <f>Tabla2[[#This Row],[(id_solicitud-tipo_documento)]]&amp;B1043</f>
        <v>374Decreto2</v>
      </c>
      <c r="D1043" s="45">
        <v>1045</v>
      </c>
      <c r="E1043" s="45">
        <v>374</v>
      </c>
      <c r="F1043" s="45" t="s">
        <v>47</v>
      </c>
      <c r="G1043" s="45" t="s">
        <v>40</v>
      </c>
      <c r="H1043" s="50" t="s">
        <v>544</v>
      </c>
      <c r="I1043" s="51">
        <v>1461</v>
      </c>
      <c r="J1043" s="80"/>
      <c r="K10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1461 DAP_FETCovid19</v>
      </c>
      <c r="L1043" s="48">
        <v>44819</v>
      </c>
      <c r="M1043" s="48"/>
      <c r="N1043" s="49" t="s">
        <v>979</v>
      </c>
      <c r="O1043" s="45"/>
      <c r="P1043" s="80"/>
      <c r="Q1043" s="48"/>
      <c r="R1043" s="45"/>
      <c r="S1043" s="115">
        <v>776</v>
      </c>
      <c r="T1043" s="20">
        <v>44806</v>
      </c>
      <c r="U1043" s="20">
        <v>44827</v>
      </c>
      <c r="V1043" s="20">
        <v>44827</v>
      </c>
      <c r="W1043" s="27"/>
    </row>
    <row r="1044" spans="1:23" ht="60" hidden="1" customHeight="1" x14ac:dyDescent="0.25">
      <c r="A1044" s="45" t="str">
        <f>CONCATENATE(Tabla2[[#This Row],[id_solicitud]],Tabla2[[#This Row],[tipo]])</f>
        <v>376Decreto</v>
      </c>
      <c r="B1044" s="45">
        <f>COUNTIF($A$2:A1044,A1044)</f>
        <v>1</v>
      </c>
      <c r="C1044" s="45" t="str">
        <f>Tabla2[[#This Row],[(id_solicitud-tipo_documento)]]&amp;B1044</f>
        <v>376Decreto1</v>
      </c>
      <c r="D1044" s="45">
        <v>1046</v>
      </c>
      <c r="E1044" s="45">
        <v>376</v>
      </c>
      <c r="F1044" s="45" t="s">
        <v>47</v>
      </c>
      <c r="G1044" s="45" t="s">
        <v>60</v>
      </c>
      <c r="H1044" s="50" t="s">
        <v>541</v>
      </c>
      <c r="I1044" s="51">
        <v>1468</v>
      </c>
      <c r="J1044" s="80"/>
      <c r="K10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1468 DOP_FETCovid19</v>
      </c>
      <c r="L1044" s="48">
        <v>44826</v>
      </c>
      <c r="M1044" s="48"/>
      <c r="N1044" s="49" t="s">
        <v>949</v>
      </c>
      <c r="O1044" s="45"/>
      <c r="P1044" s="80"/>
      <c r="Q1044" s="48"/>
      <c r="R1044" s="45"/>
      <c r="S1044" s="115">
        <v>894</v>
      </c>
      <c r="T1044" s="20">
        <v>44816</v>
      </c>
      <c r="U1044" s="20">
        <v>44837</v>
      </c>
      <c r="V1044" s="20">
        <v>44837</v>
      </c>
      <c r="W1044" s="27"/>
    </row>
    <row r="1045" spans="1:23" ht="60" hidden="1" customHeight="1" x14ac:dyDescent="0.25">
      <c r="A1045" s="45" t="str">
        <f>CONCATENATE(Tabla2[[#This Row],[id_solicitud]],Tabla2[[#This Row],[tipo]])</f>
        <v>273Oficio_Solicitud</v>
      </c>
      <c r="B1045" s="45">
        <f>COUNTIF($A$2:A1045,A1045)</f>
        <v>1</v>
      </c>
      <c r="C1045" s="45" t="str">
        <f>Tabla2[[#This Row],[(id_solicitud-tipo_documento)]]&amp;B1045</f>
        <v>273Oficio_Solicitud1</v>
      </c>
      <c r="D1045" s="45">
        <v>1047</v>
      </c>
      <c r="E1045" s="45">
        <v>273</v>
      </c>
      <c r="F1045" s="45" t="s">
        <v>53</v>
      </c>
      <c r="G1045" s="45" t="s">
        <v>1258</v>
      </c>
      <c r="H1045" s="50" t="s">
        <v>20</v>
      </c>
      <c r="I1045" s="51">
        <v>1470</v>
      </c>
      <c r="J1045" s="80"/>
      <c r="K10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1470 DOH</v>
      </c>
      <c r="L1045" s="48">
        <v>44729</v>
      </c>
      <c r="M1045" s="48">
        <v>44729</v>
      </c>
      <c r="N1045" s="49" t="s">
        <v>295</v>
      </c>
      <c r="O1045" s="45">
        <v>4</v>
      </c>
      <c r="P1045" s="80" t="s">
        <v>494</v>
      </c>
      <c r="Q1045" s="48"/>
      <c r="R1045" s="45"/>
      <c r="S1045" s="114"/>
      <c r="T1045" s="52"/>
      <c r="U1045" s="48"/>
      <c r="V1045" s="48"/>
      <c r="W1045" s="27"/>
    </row>
    <row r="1046" spans="1:23" ht="60" hidden="1" customHeight="1" x14ac:dyDescent="0.25">
      <c r="A1046" s="45" t="str">
        <f>CONCATENATE(Tabla2[[#This Row],[id_solicitud]],Tabla2[[#This Row],[tipo]])</f>
        <v>432Decreto</v>
      </c>
      <c r="B1046" s="45">
        <f>COUNTIF($A$2:A1046,A1046)</f>
        <v>1</v>
      </c>
      <c r="C1046" s="45" t="str">
        <f>Tabla2[[#This Row],[(id_solicitud-tipo_documento)]]&amp;B1046</f>
        <v>432Decreto1</v>
      </c>
      <c r="D1046" s="45">
        <v>1048</v>
      </c>
      <c r="E1046" s="45">
        <v>432</v>
      </c>
      <c r="F1046" s="45" t="s">
        <v>47</v>
      </c>
      <c r="G1046" s="45" t="s">
        <v>60</v>
      </c>
      <c r="H1046" s="50" t="s">
        <v>26</v>
      </c>
      <c r="I1046" s="51">
        <v>1479</v>
      </c>
      <c r="J1046" s="80"/>
      <c r="K10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1479 DV</v>
      </c>
      <c r="L1046" s="48">
        <v>44826</v>
      </c>
      <c r="M1046" s="48"/>
      <c r="N1046" s="49" t="s">
        <v>982</v>
      </c>
      <c r="O1046" s="45"/>
      <c r="P1046" s="80"/>
      <c r="Q1046" s="48"/>
      <c r="R1046" s="45"/>
      <c r="S1046" s="115">
        <v>915</v>
      </c>
      <c r="T1046" s="20">
        <v>44817</v>
      </c>
      <c r="U1046" s="20">
        <v>44832</v>
      </c>
      <c r="V1046" s="20">
        <v>44832</v>
      </c>
      <c r="W1046" s="27"/>
    </row>
    <row r="1047" spans="1:23" ht="60" hidden="1" customHeight="1" x14ac:dyDescent="0.25">
      <c r="A1047" s="45" t="str">
        <f>CONCATENATE(Tabla2[[#This Row],[id_solicitud]],Tabla2[[#This Row],[tipo]])</f>
        <v>373Decreto</v>
      </c>
      <c r="B1047" s="45">
        <f>COUNTIF($A$2:A1047,A1047)</f>
        <v>1</v>
      </c>
      <c r="C1047" s="45" t="str">
        <f>Tabla2[[#This Row],[(id_solicitud-tipo_documento)]]&amp;B1047</f>
        <v>373Decreto1</v>
      </c>
      <c r="D1047" s="45">
        <v>1049</v>
      </c>
      <c r="E1047" s="45">
        <v>373</v>
      </c>
      <c r="F1047" s="45" t="s">
        <v>47</v>
      </c>
      <c r="G1047" s="45" t="s">
        <v>60</v>
      </c>
      <c r="H1047" s="50" t="s">
        <v>595</v>
      </c>
      <c r="I1047" s="51">
        <v>1480</v>
      </c>
      <c r="J1047" s="80"/>
      <c r="K10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1480 DGC-DOH</v>
      </c>
      <c r="L1047" s="48">
        <v>44826</v>
      </c>
      <c r="M1047" s="48"/>
      <c r="N1047" s="49" t="s">
        <v>948</v>
      </c>
      <c r="O1047" s="45"/>
      <c r="P1047" s="80"/>
      <c r="Q1047" s="48"/>
      <c r="R1047" s="45"/>
      <c r="S1047" s="115">
        <v>839</v>
      </c>
      <c r="T1047" s="20">
        <v>44814</v>
      </c>
      <c r="U1047" s="20">
        <v>44839</v>
      </c>
      <c r="V1047" s="20">
        <v>44839</v>
      </c>
      <c r="W1047" s="27"/>
    </row>
    <row r="1048" spans="1:23" ht="60" hidden="1" customHeight="1" x14ac:dyDescent="0.25">
      <c r="A1048" s="45" t="str">
        <f>CONCATENATE(Tabla2[[#This Row],[id_solicitud]],Tabla2[[#This Row],[tipo]])</f>
        <v>396Decreto</v>
      </c>
      <c r="B1048" s="45">
        <f>COUNTIF($A$2:A1048,A1048)</f>
        <v>1</v>
      </c>
      <c r="C1048" s="45" t="str">
        <f>Tabla2[[#This Row],[(id_solicitud-tipo_documento)]]&amp;B1048</f>
        <v>396Decreto1</v>
      </c>
      <c r="D1048" s="45">
        <v>1050</v>
      </c>
      <c r="E1048" s="45">
        <v>396</v>
      </c>
      <c r="F1048" s="45" t="s">
        <v>47</v>
      </c>
      <c r="G1048" s="45" t="s">
        <v>60</v>
      </c>
      <c r="H1048" s="50" t="s">
        <v>16</v>
      </c>
      <c r="I1048" s="51">
        <v>1484</v>
      </c>
      <c r="J1048" s="80"/>
      <c r="K10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1484 DGC</v>
      </c>
      <c r="L1048" s="48">
        <v>44826</v>
      </c>
      <c r="M1048" s="48"/>
      <c r="N1048" s="49" t="s">
        <v>961</v>
      </c>
      <c r="O1048" s="45"/>
      <c r="P1048" s="80"/>
      <c r="Q1048" s="48"/>
      <c r="R1048" s="45"/>
      <c r="S1048" s="115">
        <v>908</v>
      </c>
      <c r="T1048" s="20">
        <v>44817</v>
      </c>
      <c r="U1048" s="20">
        <v>44840</v>
      </c>
      <c r="V1048" s="20">
        <v>44840</v>
      </c>
      <c r="W1048" s="27"/>
    </row>
    <row r="1049" spans="1:23" ht="60" hidden="1" customHeight="1" x14ac:dyDescent="0.25">
      <c r="A1049" s="45" t="str">
        <f>CONCATENATE(Tabla2[[#This Row],[id_solicitud]],Tabla2[[#This Row],[tipo]])</f>
        <v>349Decreto</v>
      </c>
      <c r="B1049" s="45">
        <f>COUNTIF($A$2:A1049,A1049)</f>
        <v>1</v>
      </c>
      <c r="C1049" s="45" t="str">
        <f>Tabla2[[#This Row],[(id_solicitud-tipo_documento)]]&amp;B1049</f>
        <v>349Decreto1</v>
      </c>
      <c r="D1049" s="45">
        <v>1051</v>
      </c>
      <c r="E1049" s="45">
        <v>349</v>
      </c>
      <c r="F1049" s="45" t="s">
        <v>47</v>
      </c>
      <c r="G1049" s="45" t="s">
        <v>61</v>
      </c>
      <c r="H1049" s="50" t="s">
        <v>559</v>
      </c>
      <c r="I1049" s="51">
        <v>1488</v>
      </c>
      <c r="J1049" s="80"/>
      <c r="K10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1488 APR_FETCovid19</v>
      </c>
      <c r="L1049" s="48">
        <v>44827</v>
      </c>
      <c r="M1049" s="48"/>
      <c r="N1049" s="49" t="s">
        <v>932</v>
      </c>
      <c r="O1049" s="45"/>
      <c r="P1049" s="80"/>
      <c r="Q1049" s="48"/>
      <c r="R1049" s="45"/>
      <c r="S1049" s="115">
        <v>834</v>
      </c>
      <c r="T1049" s="20">
        <v>44814</v>
      </c>
      <c r="U1049" s="20"/>
      <c r="V1049" s="20"/>
      <c r="W1049" s="27"/>
    </row>
    <row r="1050" spans="1:23" ht="60" hidden="1" customHeight="1" x14ac:dyDescent="0.25">
      <c r="A1050" s="45" t="str">
        <f>CONCATENATE(Tabla2[[#This Row],[id_solicitud]],Tabla2[[#This Row],[tipo]])</f>
        <v>427Decreto</v>
      </c>
      <c r="B1050" s="45">
        <f>COUNTIF($A$2:A1050,A1050)</f>
        <v>1</v>
      </c>
      <c r="C1050" s="45" t="str">
        <f>Tabla2[[#This Row],[(id_solicitud-tipo_documento)]]&amp;B1050</f>
        <v>427Decreto1</v>
      </c>
      <c r="D1050" s="45">
        <v>1052</v>
      </c>
      <c r="E1050" s="45">
        <v>427</v>
      </c>
      <c r="F1050" s="45" t="s">
        <v>47</v>
      </c>
      <c r="G1050" s="45" t="s">
        <v>40</v>
      </c>
      <c r="H1050" s="50" t="s">
        <v>16</v>
      </c>
      <c r="I1050" s="51">
        <v>1494</v>
      </c>
      <c r="J1050" s="80"/>
      <c r="K10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1494 DGC</v>
      </c>
      <c r="L1050" s="48">
        <v>44827</v>
      </c>
      <c r="M1050" s="48"/>
      <c r="N1050" s="49" t="s">
        <v>981</v>
      </c>
      <c r="O1050" s="45"/>
      <c r="P1050" s="80"/>
      <c r="Q1050" s="48"/>
      <c r="R1050" s="45"/>
      <c r="S1050" s="115">
        <v>770</v>
      </c>
      <c r="T1050" s="20">
        <v>44805</v>
      </c>
      <c r="U1050" s="20">
        <v>44833</v>
      </c>
      <c r="V1050" s="20">
        <v>44833</v>
      </c>
      <c r="W1050" s="27"/>
    </row>
    <row r="1051" spans="1:23" ht="60" hidden="1" customHeight="1" x14ac:dyDescent="0.25">
      <c r="A1051" s="45" t="str">
        <f>CONCATENATE(Tabla2[[#This Row],[id_solicitud]],Tabla2[[#This Row],[tipo]])</f>
        <v>330Decreto</v>
      </c>
      <c r="B1051" s="45">
        <f>COUNTIF($A$2:A1051,A1051)</f>
        <v>1</v>
      </c>
      <c r="C1051" s="45" t="str">
        <f>Tabla2[[#This Row],[(id_solicitud-tipo_documento)]]&amp;B1051</f>
        <v>330Decreto1</v>
      </c>
      <c r="D1051" s="45">
        <v>1053</v>
      </c>
      <c r="E1051" s="45">
        <v>330</v>
      </c>
      <c r="F1051" s="45" t="s">
        <v>47</v>
      </c>
      <c r="G1051" s="45" t="s">
        <v>40</v>
      </c>
      <c r="H1051" s="50" t="s">
        <v>20</v>
      </c>
      <c r="I1051" s="51">
        <v>1499</v>
      </c>
      <c r="J1051" s="80"/>
      <c r="K10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1499 DOH</v>
      </c>
      <c r="L1051" s="48">
        <v>44827</v>
      </c>
      <c r="M1051" s="48"/>
      <c r="N1051" s="49" t="s">
        <v>920</v>
      </c>
      <c r="O1051" s="45"/>
      <c r="P1051" s="80"/>
      <c r="Q1051" s="48"/>
      <c r="R1051" s="45"/>
      <c r="S1051" s="115">
        <v>750</v>
      </c>
      <c r="T1051" s="20">
        <v>44805</v>
      </c>
      <c r="U1051" s="20">
        <v>44832</v>
      </c>
      <c r="V1051" s="20">
        <v>44832</v>
      </c>
      <c r="W1051" s="27"/>
    </row>
    <row r="1052" spans="1:23" ht="60" hidden="1" customHeight="1" x14ac:dyDescent="0.25">
      <c r="A1052" s="45" t="str">
        <f>CONCATENATE(Tabla2[[#This Row],[id_solicitud]],Tabla2[[#This Row],[tipo]])</f>
        <v>208Oficio_Solicitud</v>
      </c>
      <c r="B1052" s="45">
        <f>COUNTIF($A$2:A1052,A1052)</f>
        <v>1</v>
      </c>
      <c r="C1052" s="45" t="str">
        <f>Tabla2[[#This Row],[(id_solicitud-tipo_documento)]]&amp;B1052</f>
        <v>208Oficio_Solicitud1</v>
      </c>
      <c r="D1052" s="45">
        <v>1054</v>
      </c>
      <c r="E1052" s="45">
        <v>208</v>
      </c>
      <c r="F1052" s="45" t="s">
        <v>53</v>
      </c>
      <c r="G1052" s="45" t="s">
        <v>40</v>
      </c>
      <c r="H1052" s="50" t="s">
        <v>578</v>
      </c>
      <c r="I1052" s="51">
        <v>1515</v>
      </c>
      <c r="J1052" s="80"/>
      <c r="K10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1515 DV-SISS</v>
      </c>
      <c r="L1052" s="48">
        <v>44699</v>
      </c>
      <c r="M1052" s="48">
        <v>44699</v>
      </c>
      <c r="N1052" s="49" t="s">
        <v>236</v>
      </c>
      <c r="O1052" s="45">
        <v>0</v>
      </c>
      <c r="P1052" s="80" t="s">
        <v>501</v>
      </c>
      <c r="Q1052" s="48"/>
      <c r="R1052" s="45"/>
      <c r="S1052" s="114"/>
      <c r="T1052" s="52"/>
      <c r="U1052" s="48"/>
      <c r="V1052" s="48"/>
      <c r="W1052" s="27"/>
    </row>
    <row r="1053" spans="1:23" ht="60" hidden="1" customHeight="1" x14ac:dyDescent="0.25">
      <c r="A1053" s="45" t="str">
        <f>CONCATENATE(Tabla2[[#This Row],[id_solicitud]],Tabla2[[#This Row],[tipo]])</f>
        <v>375Resolucion</v>
      </c>
      <c r="B1053" s="45">
        <f>COUNTIF($A$2:A1053,A1053)</f>
        <v>1</v>
      </c>
      <c r="C1053" s="45" t="str">
        <f>Tabla2[[#This Row],[(id_solicitud-tipo_documento)]]&amp;B1053</f>
        <v>375Resolucion1</v>
      </c>
      <c r="D1053" s="45">
        <v>1055</v>
      </c>
      <c r="E1053" s="45">
        <v>375</v>
      </c>
      <c r="F1053" s="45" t="s">
        <v>48</v>
      </c>
      <c r="G1053" s="45"/>
      <c r="H1053" s="50" t="s">
        <v>10</v>
      </c>
      <c r="I1053" s="51">
        <v>1517</v>
      </c>
      <c r="J1053" s="80"/>
      <c r="K10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53" s="48">
        <v>44802</v>
      </c>
      <c r="M1053" s="48"/>
      <c r="N1053" s="49"/>
      <c r="O1053" s="45"/>
      <c r="P1053" s="80"/>
      <c r="Q1053" s="48"/>
      <c r="R1053" s="45"/>
      <c r="S1053" s="114"/>
      <c r="T1053" s="45"/>
      <c r="U1053" s="48"/>
      <c r="V1053" s="48"/>
      <c r="W1053" s="27"/>
    </row>
    <row r="1054" spans="1:23" ht="60" hidden="1" customHeight="1" x14ac:dyDescent="0.25">
      <c r="A1054" s="45" t="str">
        <f>CONCATENATE(Tabla2[[#This Row],[id_solicitud]],Tabla2[[#This Row],[tipo]])</f>
        <v>385Resolucion</v>
      </c>
      <c r="B1054" s="45">
        <f>COUNTIF($A$2:A1054,A1054)</f>
        <v>1</v>
      </c>
      <c r="C1054" s="45" t="str">
        <f>Tabla2[[#This Row],[(id_solicitud-tipo_documento)]]&amp;B1054</f>
        <v>385Resolucion1</v>
      </c>
      <c r="D1054" s="45">
        <v>1056</v>
      </c>
      <c r="E1054" s="45">
        <v>385</v>
      </c>
      <c r="F1054" s="45" t="s">
        <v>48</v>
      </c>
      <c r="G1054" s="45"/>
      <c r="H1054" s="50" t="s">
        <v>544</v>
      </c>
      <c r="I1054" s="51">
        <v>1523</v>
      </c>
      <c r="J1054" s="80"/>
      <c r="K10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54" s="48">
        <v>44802</v>
      </c>
      <c r="M1054" s="48"/>
      <c r="N1054" s="49"/>
      <c r="O1054" s="45"/>
      <c r="P1054" s="80"/>
      <c r="Q1054" s="48"/>
      <c r="R1054" s="45"/>
      <c r="S1054" s="114"/>
      <c r="T1054" s="45"/>
      <c r="U1054" s="48"/>
      <c r="V1054" s="48"/>
      <c r="W1054" s="27"/>
    </row>
    <row r="1055" spans="1:23" ht="60" hidden="1" customHeight="1" x14ac:dyDescent="0.25">
      <c r="A1055" s="45" t="str">
        <f>CONCATENATE(Tabla2[[#This Row],[id_solicitud]],Tabla2[[#This Row],[tipo]])</f>
        <v>394Decreto</v>
      </c>
      <c r="B1055" s="45">
        <f>COUNTIF($A$2:A1055,A1055)</f>
        <v>1</v>
      </c>
      <c r="C1055" s="45" t="str">
        <f>Tabla2[[#This Row],[(id_solicitud-tipo_documento)]]&amp;B1055</f>
        <v>394Decreto1</v>
      </c>
      <c r="D1055" s="45">
        <v>1057</v>
      </c>
      <c r="E1055" s="45">
        <v>394</v>
      </c>
      <c r="F1055" s="45" t="s">
        <v>47</v>
      </c>
      <c r="G1055" s="45" t="s">
        <v>40</v>
      </c>
      <c r="H1055" s="50" t="s">
        <v>600</v>
      </c>
      <c r="I1055" s="51">
        <v>1523</v>
      </c>
      <c r="J1055" s="80"/>
      <c r="K10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1523 DOP-DGA-SISS</v>
      </c>
      <c r="L1055" s="48">
        <v>44827</v>
      </c>
      <c r="M1055" s="48"/>
      <c r="N1055" s="49">
        <f>+E1055</f>
        <v>394</v>
      </c>
      <c r="O1055" s="45"/>
      <c r="P1055" s="80"/>
      <c r="Q1055" s="48"/>
      <c r="R1055" s="45"/>
      <c r="S1055" s="115">
        <v>841</v>
      </c>
      <c r="T1055" s="20">
        <v>44812</v>
      </c>
      <c r="U1055" s="20">
        <v>44833</v>
      </c>
      <c r="V1055" s="20">
        <v>44833</v>
      </c>
      <c r="W1055" s="27"/>
    </row>
    <row r="1056" spans="1:23" ht="60" hidden="1" customHeight="1" x14ac:dyDescent="0.25">
      <c r="A1056" s="45" t="str">
        <f>CONCATENATE(Tabla2[[#This Row],[id_solicitud]],Tabla2[[#This Row],[tipo]])</f>
        <v>285Oficio_Solicitud</v>
      </c>
      <c r="B1056" s="45">
        <f>COUNTIF($A$2:A1056,A1056)</f>
        <v>1</v>
      </c>
      <c r="C1056" s="45" t="str">
        <f>Tabla2[[#This Row],[(id_solicitud-tipo_documento)]]&amp;B1056</f>
        <v>285Oficio_Solicitud1</v>
      </c>
      <c r="D1056" s="45">
        <v>1058</v>
      </c>
      <c r="E1056" s="45">
        <v>285</v>
      </c>
      <c r="F1056" s="45" t="s">
        <v>53</v>
      </c>
      <c r="G1056" s="45" t="s">
        <v>1258</v>
      </c>
      <c r="H1056" s="50" t="s">
        <v>6</v>
      </c>
      <c r="I1056" s="51">
        <v>1585</v>
      </c>
      <c r="J1056" s="80"/>
      <c r="K10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1585 APR</v>
      </c>
      <c r="L1056" s="48">
        <v>44742</v>
      </c>
      <c r="M1056" s="48">
        <v>44742</v>
      </c>
      <c r="N1056" s="49" t="s">
        <v>302</v>
      </c>
      <c r="O1056" s="45">
        <v>1</v>
      </c>
      <c r="P1056" s="80" t="s">
        <v>494</v>
      </c>
      <c r="Q1056" s="48"/>
      <c r="R1056" s="45"/>
      <c r="S1056" s="114"/>
      <c r="T1056" s="52"/>
      <c r="U1056" s="48"/>
      <c r="V1056" s="48"/>
      <c r="W1056" s="27"/>
    </row>
    <row r="1057" spans="1:23" ht="60" hidden="1" customHeight="1" x14ac:dyDescent="0.25">
      <c r="A1057" s="45" t="str">
        <f>CONCATENATE(Tabla2[[#This Row],[id_solicitud]],Tabla2[[#This Row],[tipo]])</f>
        <v>360Decreto</v>
      </c>
      <c r="B1057" s="45">
        <f>COUNTIF($A$2:A1057,A1057)</f>
        <v>1</v>
      </c>
      <c r="C1057" s="45" t="str">
        <f>Tabla2[[#This Row],[(id_solicitud-tipo_documento)]]&amp;B1057</f>
        <v>360Decreto1</v>
      </c>
      <c r="D1057" s="45">
        <v>1059</v>
      </c>
      <c r="E1057" s="45">
        <v>360</v>
      </c>
      <c r="F1057" s="45" t="s">
        <v>47</v>
      </c>
      <c r="G1057" s="45" t="s">
        <v>1267</v>
      </c>
      <c r="H1057" s="50" t="s">
        <v>596</v>
      </c>
      <c r="I1057" s="51">
        <v>1532</v>
      </c>
      <c r="J1057" s="80"/>
      <c r="K10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1532 DOH-DGA</v>
      </c>
      <c r="L1057" s="48">
        <v>44827</v>
      </c>
      <c r="M1057" s="48"/>
      <c r="N1057" s="49" t="s">
        <v>937</v>
      </c>
      <c r="O1057" s="45"/>
      <c r="P1057" s="80"/>
      <c r="Q1057" s="48"/>
      <c r="R1057" s="45"/>
      <c r="S1057" s="115">
        <v>796</v>
      </c>
      <c r="T1057" s="20">
        <v>44812</v>
      </c>
      <c r="U1057" s="20">
        <v>44833</v>
      </c>
      <c r="V1057" s="20">
        <v>44833</v>
      </c>
      <c r="W1057" s="27"/>
    </row>
    <row r="1058" spans="1:23" ht="60" hidden="1" customHeight="1" x14ac:dyDescent="0.25">
      <c r="A1058" s="45" t="str">
        <f>CONCATENATE(Tabla2[[#This Row],[id_solicitud]],Tabla2[[#This Row],[tipo]])</f>
        <v>364Decreto</v>
      </c>
      <c r="B1058" s="45">
        <f>COUNTIF($A$2:A1058,A1058)</f>
        <v>1</v>
      </c>
      <c r="C1058" s="45" t="str">
        <f>Tabla2[[#This Row],[(id_solicitud-tipo_documento)]]&amp;B1058</f>
        <v>364Decreto1</v>
      </c>
      <c r="D1058" s="45">
        <v>1060</v>
      </c>
      <c r="E1058" s="45">
        <v>364</v>
      </c>
      <c r="F1058" s="45" t="s">
        <v>47</v>
      </c>
      <c r="G1058" s="45" t="s">
        <v>66</v>
      </c>
      <c r="H1058" s="50" t="s">
        <v>597</v>
      </c>
      <c r="I1058" s="51">
        <v>1533</v>
      </c>
      <c r="J1058" s="80"/>
      <c r="K10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1533 DV-APR</v>
      </c>
      <c r="L1058" s="48">
        <v>44827</v>
      </c>
      <c r="M1058" s="48"/>
      <c r="N1058" s="49" t="s">
        <v>940</v>
      </c>
      <c r="O1058" s="45"/>
      <c r="P1058" s="80"/>
      <c r="Q1058" s="48"/>
      <c r="R1058" s="45"/>
      <c r="S1058" s="115">
        <v>802</v>
      </c>
      <c r="T1058" s="20">
        <v>44812</v>
      </c>
      <c r="U1058" s="20">
        <v>44833</v>
      </c>
      <c r="V1058" s="20">
        <v>44833</v>
      </c>
      <c r="W1058" s="27"/>
    </row>
    <row r="1059" spans="1:23" ht="60" hidden="1" customHeight="1" x14ac:dyDescent="0.25">
      <c r="A1059" s="45" t="str">
        <f>CONCATENATE(Tabla2[[#This Row],[id_solicitud]],Tabla2[[#This Row],[tipo]])</f>
        <v>212Oficio_Autorizacion</v>
      </c>
      <c r="B1059" s="45">
        <f>COUNTIF($A$2:A1059,A1059)</f>
        <v>1</v>
      </c>
      <c r="C1059" s="45" t="str">
        <f>Tabla2[[#This Row],[(id_solicitud-tipo_documento)]]&amp;B1059</f>
        <v>212Oficio_Autorizacion1</v>
      </c>
      <c r="D1059" s="45">
        <v>1061</v>
      </c>
      <c r="E1059" s="45">
        <v>212</v>
      </c>
      <c r="F1059" s="45" t="s">
        <v>1272</v>
      </c>
      <c r="G1059" s="45" t="s">
        <v>44</v>
      </c>
      <c r="H1059" s="50" t="s">
        <v>35</v>
      </c>
      <c r="I1059" s="51">
        <v>1535</v>
      </c>
      <c r="J1059" s="80"/>
      <c r="K10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59" s="48">
        <v>44732</v>
      </c>
      <c r="M1059" s="48"/>
      <c r="N1059" s="49" t="s">
        <v>871</v>
      </c>
      <c r="O1059" s="45"/>
      <c r="P1059" s="80"/>
      <c r="Q1059" s="48"/>
      <c r="R1059" s="45"/>
      <c r="S1059" s="115"/>
      <c r="T1059" s="20"/>
      <c r="U1059" s="20"/>
      <c r="V1059" s="20"/>
      <c r="W1059" s="27"/>
    </row>
    <row r="1060" spans="1:23" ht="60" hidden="1" customHeight="1" x14ac:dyDescent="0.25">
      <c r="A1060" s="45" t="str">
        <f>CONCATENATE(Tabla2[[#This Row],[id_solicitud]],Tabla2[[#This Row],[tipo]])</f>
        <v>117Resolucion</v>
      </c>
      <c r="B1060" s="45">
        <f>COUNTIF($A$2:A1060,A1060)</f>
        <v>1</v>
      </c>
      <c r="C1060" s="45" t="str">
        <f>Tabla2[[#This Row],[(id_solicitud-tipo_documento)]]&amp;B1060</f>
        <v>117Resolucion1</v>
      </c>
      <c r="D1060" s="45">
        <v>1062</v>
      </c>
      <c r="E1060" s="45">
        <v>117</v>
      </c>
      <c r="F1060" s="45" t="s">
        <v>48</v>
      </c>
      <c r="G1060" s="45"/>
      <c r="H1060" s="50" t="s">
        <v>559</v>
      </c>
      <c r="I1060" s="51">
        <v>1549</v>
      </c>
      <c r="J1060" s="80"/>
      <c r="K10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60" s="48">
        <v>44673</v>
      </c>
      <c r="M1060" s="48"/>
      <c r="N1060" s="49"/>
      <c r="O1060" s="45"/>
      <c r="P1060" s="80"/>
      <c r="Q1060" s="48"/>
      <c r="R1060" s="45"/>
      <c r="S1060" s="114"/>
      <c r="T1060" s="45"/>
      <c r="U1060" s="48"/>
      <c r="V1060" s="48"/>
      <c r="W1060" s="27"/>
    </row>
    <row r="1061" spans="1:23" ht="60" hidden="1" customHeight="1" x14ac:dyDescent="0.25">
      <c r="A1061" s="45" t="str">
        <f>CONCATENATE(Tabla2[[#This Row],[id_solicitud]],Tabla2[[#This Row],[tipo]])</f>
        <v>341Decreto</v>
      </c>
      <c r="B1061" s="45">
        <f>COUNTIF($A$2:A1061,A1061)</f>
        <v>1</v>
      </c>
      <c r="C1061" s="45" t="str">
        <f>Tabla2[[#This Row],[(id_solicitud-tipo_documento)]]&amp;B1061</f>
        <v>341Decreto1</v>
      </c>
      <c r="D1061" s="45">
        <v>1063</v>
      </c>
      <c r="E1061" s="45">
        <v>341</v>
      </c>
      <c r="F1061" s="45" t="s">
        <v>47</v>
      </c>
      <c r="G1061" s="45" t="s">
        <v>60</v>
      </c>
      <c r="H1061" s="50" t="s">
        <v>535</v>
      </c>
      <c r="I1061" s="51">
        <v>1551</v>
      </c>
      <c r="J1061" s="80"/>
      <c r="K10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1551 DOH_FETCovid19</v>
      </c>
      <c r="L1061" s="48">
        <v>44831</v>
      </c>
      <c r="M1061" s="48"/>
      <c r="N1061" s="49" t="s">
        <v>927</v>
      </c>
      <c r="O1061" s="45"/>
      <c r="P1061" s="80"/>
      <c r="Q1061" s="48"/>
      <c r="R1061" s="45"/>
      <c r="S1061" s="115">
        <v>876</v>
      </c>
      <c r="T1061" s="20">
        <v>44814</v>
      </c>
      <c r="U1061" s="20">
        <v>44841</v>
      </c>
      <c r="V1061" s="20">
        <v>44841</v>
      </c>
      <c r="W1061" s="27"/>
    </row>
    <row r="1062" spans="1:23" ht="60" hidden="1" customHeight="1" x14ac:dyDescent="0.25">
      <c r="A1062" s="45" t="str">
        <f>CONCATENATE(Tabla2[[#This Row],[id_solicitud]],Tabla2[[#This Row],[tipo]])</f>
        <v>435Decreto</v>
      </c>
      <c r="B1062" s="45">
        <f>COUNTIF($A$2:A1062,A1062)</f>
        <v>1</v>
      </c>
      <c r="C1062" s="45" t="str">
        <f>Tabla2[[#This Row],[(id_solicitud-tipo_documento)]]&amp;B1062</f>
        <v>435Decreto1</v>
      </c>
      <c r="D1062" s="45">
        <v>1064</v>
      </c>
      <c r="E1062" s="45">
        <v>435</v>
      </c>
      <c r="F1062" s="45" t="s">
        <v>47</v>
      </c>
      <c r="G1062" s="45" t="s">
        <v>60</v>
      </c>
      <c r="H1062" s="50" t="s">
        <v>535</v>
      </c>
      <c r="I1062" s="51">
        <v>1553</v>
      </c>
      <c r="J1062" s="80"/>
      <c r="K10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1553 DOH_FETCovid19</v>
      </c>
      <c r="L1062" s="48">
        <v>44831</v>
      </c>
      <c r="M1062" s="48"/>
      <c r="N1062" s="49" t="s">
        <v>985</v>
      </c>
      <c r="O1062" s="45"/>
      <c r="P1062" s="80"/>
      <c r="Q1062" s="48"/>
      <c r="R1062" s="45"/>
      <c r="S1062" s="115">
        <v>836</v>
      </c>
      <c r="T1062" s="20">
        <v>44814</v>
      </c>
      <c r="U1062" s="20"/>
      <c r="V1062" s="20"/>
      <c r="W1062" s="27"/>
    </row>
    <row r="1063" spans="1:23" ht="60" hidden="1" customHeight="1" x14ac:dyDescent="0.25">
      <c r="A1063" s="45" t="str">
        <f>CONCATENATE(Tabla2[[#This Row],[id_solicitud]],Tabla2[[#This Row],[tipo]])</f>
        <v>156Resolucion</v>
      </c>
      <c r="B1063" s="45">
        <f>COUNTIF($A$2:A1063,A1063)</f>
        <v>1</v>
      </c>
      <c r="C1063" s="45" t="str">
        <f>Tabla2[[#This Row],[(id_solicitud-tipo_documento)]]&amp;B1063</f>
        <v>156Resolucion1</v>
      </c>
      <c r="D1063" s="45">
        <v>1065</v>
      </c>
      <c r="E1063" s="45">
        <v>156</v>
      </c>
      <c r="F1063" s="45" t="s">
        <v>48</v>
      </c>
      <c r="G1063" s="45"/>
      <c r="H1063" s="50" t="s">
        <v>20</v>
      </c>
      <c r="I1063" s="51">
        <v>1556</v>
      </c>
      <c r="J1063" s="80"/>
      <c r="K10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63" s="48">
        <v>44676</v>
      </c>
      <c r="M1063" s="48"/>
      <c r="N1063" s="49"/>
      <c r="O1063" s="45"/>
      <c r="P1063" s="80"/>
      <c r="Q1063" s="48"/>
      <c r="R1063" s="45"/>
      <c r="S1063" s="114"/>
      <c r="T1063" s="45"/>
      <c r="U1063" s="48"/>
      <c r="V1063" s="48"/>
      <c r="W1063" s="27"/>
    </row>
    <row r="1064" spans="1:23" ht="60" hidden="1" customHeight="1" x14ac:dyDescent="0.25">
      <c r="A1064" s="45" t="str">
        <f>CONCATENATE(Tabla2[[#This Row],[id_solicitud]],Tabla2[[#This Row],[tipo]])</f>
        <v>313Resolucion</v>
      </c>
      <c r="B1064" s="45">
        <f>COUNTIF($A$2:A1064,A1064)</f>
        <v>1</v>
      </c>
      <c r="C1064" s="45" t="str">
        <f>Tabla2[[#This Row],[(id_solicitud-tipo_documento)]]&amp;B1064</f>
        <v>313Resolucion1</v>
      </c>
      <c r="D1064" s="45">
        <v>1066</v>
      </c>
      <c r="E1064" s="45">
        <v>313</v>
      </c>
      <c r="F1064" s="45" t="s">
        <v>48</v>
      </c>
      <c r="G1064" s="45"/>
      <c r="H1064" s="50" t="s">
        <v>10</v>
      </c>
      <c r="I1064" s="51">
        <v>1573</v>
      </c>
      <c r="J1064" s="80"/>
      <c r="K10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64" s="48">
        <v>44809</v>
      </c>
      <c r="M1064" s="48"/>
      <c r="N1064" s="49"/>
      <c r="O1064" s="45"/>
      <c r="P1064" s="80"/>
      <c r="Q1064" s="48"/>
      <c r="R1064" s="45"/>
      <c r="S1064" s="114"/>
      <c r="T1064" s="45"/>
      <c r="U1064" s="48"/>
      <c r="V1064" s="48"/>
      <c r="W1064" s="27"/>
    </row>
    <row r="1065" spans="1:23" ht="60" hidden="1" customHeight="1" x14ac:dyDescent="0.25">
      <c r="A1065" s="45" t="str">
        <f>CONCATENATE(Tabla2[[#This Row],[id_solicitud]],Tabla2[[#This Row],[tipo]])</f>
        <v>217Decreto</v>
      </c>
      <c r="B1065" s="45">
        <f>COUNTIF($A$2:A1065,A1065)</f>
        <v>1</v>
      </c>
      <c r="C1065" s="45" t="str">
        <f>Tabla2[[#This Row],[(id_solicitud-tipo_documento)]]&amp;B1065</f>
        <v>217Decreto1</v>
      </c>
      <c r="D1065" s="45">
        <v>1067</v>
      </c>
      <c r="E1065" s="45">
        <v>217</v>
      </c>
      <c r="F1065" s="45" t="s">
        <v>47</v>
      </c>
      <c r="G1065" s="45" t="s">
        <v>40</v>
      </c>
      <c r="H1065" s="50" t="s">
        <v>547</v>
      </c>
      <c r="I1065" s="51">
        <v>1574</v>
      </c>
      <c r="J1065" s="80"/>
      <c r="K10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1574 DGOP_FETCovid19</v>
      </c>
      <c r="L1065" s="48">
        <v>44742</v>
      </c>
      <c r="M1065" s="48"/>
      <c r="N1065" s="49" t="s">
        <v>875</v>
      </c>
      <c r="O1065" s="45"/>
      <c r="P1065" s="80"/>
      <c r="Q1065" s="48"/>
      <c r="R1065" s="45"/>
      <c r="S1065" s="115">
        <v>490</v>
      </c>
      <c r="T1065" s="20">
        <v>44732</v>
      </c>
      <c r="U1065" s="20"/>
      <c r="V1065" s="20"/>
      <c r="W1065" s="27"/>
    </row>
    <row r="1066" spans="1:23" ht="60" customHeight="1" x14ac:dyDescent="0.25">
      <c r="A1066" s="45" t="str">
        <f>CONCATENATE(Tabla2[[#This Row],[id_solicitud]],Tabla2[[#This Row],[tipo]])</f>
        <v>403Oficio_Solicitud</v>
      </c>
      <c r="B1066" s="45">
        <f>COUNTIF($A$2:A1066,A1066)</f>
        <v>1</v>
      </c>
      <c r="C1066" s="45" t="str">
        <f>Tabla2[[#This Row],[(id_solicitud-tipo_documento)]]&amp;B1066</f>
        <v>403Oficio_Solicitud1</v>
      </c>
      <c r="D1066" s="45">
        <v>495</v>
      </c>
      <c r="E1066" s="45">
        <v>403</v>
      </c>
      <c r="F1066" s="45" t="s">
        <v>53</v>
      </c>
      <c r="G1066" s="45" t="s">
        <v>1258</v>
      </c>
      <c r="H1066" s="50" t="s">
        <v>10</v>
      </c>
      <c r="I1066" s="51">
        <v>493</v>
      </c>
      <c r="J1066" s="80"/>
      <c r="K10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493 DAP</v>
      </c>
      <c r="L1066" s="48">
        <v>44810</v>
      </c>
      <c r="M1066" s="48">
        <v>44811</v>
      </c>
      <c r="N1066" s="49" t="s">
        <v>396</v>
      </c>
      <c r="O1066" s="45">
        <v>1</v>
      </c>
      <c r="P1066" s="80" t="s">
        <v>494</v>
      </c>
      <c r="Q1066" s="48"/>
      <c r="R1066" s="45"/>
      <c r="S1066" s="114"/>
      <c r="T1066" s="52"/>
      <c r="U1066" s="48"/>
      <c r="V1066" s="48"/>
      <c r="W1066" s="27"/>
    </row>
    <row r="1067" spans="1:23" ht="60" hidden="1" customHeight="1" x14ac:dyDescent="0.25">
      <c r="A1067" s="45" t="str">
        <f>CONCATENATE(Tabla2[[#This Row],[id_solicitud]],Tabla2[[#This Row],[tipo]])</f>
        <v>250Oficio_Autorizacion</v>
      </c>
      <c r="B1067" s="45">
        <f>COUNTIF($A$2:A1067,A1067)</f>
        <v>1</v>
      </c>
      <c r="C1067" s="45" t="str">
        <f>Tabla2[[#This Row],[(id_solicitud-tipo_documento)]]&amp;B1067</f>
        <v>250Oficio_Autorizacion1</v>
      </c>
      <c r="D1067" s="45">
        <v>1069</v>
      </c>
      <c r="E1067" s="45">
        <v>250</v>
      </c>
      <c r="F1067" s="45" t="s">
        <v>1272</v>
      </c>
      <c r="G1067" s="45" t="s">
        <v>44</v>
      </c>
      <c r="H1067" s="50" t="s">
        <v>547</v>
      </c>
      <c r="I1067" s="51">
        <v>1574</v>
      </c>
      <c r="J1067" s="80"/>
      <c r="K10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67" s="48">
        <v>44742</v>
      </c>
      <c r="M1067" s="48"/>
      <c r="N1067" s="49" t="s">
        <v>875</v>
      </c>
      <c r="O1067" s="45"/>
      <c r="P1067" s="80"/>
      <c r="Q1067" s="48"/>
      <c r="R1067" s="45"/>
      <c r="S1067" s="115">
        <v>490</v>
      </c>
      <c r="T1067" s="20">
        <v>44732</v>
      </c>
      <c r="U1067" s="20"/>
      <c r="V1067" s="20"/>
      <c r="W1067" s="27"/>
    </row>
    <row r="1068" spans="1:23" ht="60" hidden="1" customHeight="1" x14ac:dyDescent="0.25">
      <c r="A1068" s="45" t="str">
        <f>CONCATENATE(Tabla2[[#This Row],[id_solicitud]],Tabla2[[#This Row],[tipo]])</f>
        <v>290Oficio_Solicitud</v>
      </c>
      <c r="B1068" s="45">
        <f>COUNTIF($A$2:A1068,A1068)</f>
        <v>1</v>
      </c>
      <c r="C1068" s="45" t="str">
        <f>Tabla2[[#This Row],[(id_solicitud-tipo_documento)]]&amp;B1068</f>
        <v>290Oficio_Solicitud1</v>
      </c>
      <c r="D1068" s="45">
        <v>1070</v>
      </c>
      <c r="E1068" s="45">
        <v>290</v>
      </c>
      <c r="F1068" s="45" t="s">
        <v>53</v>
      </c>
      <c r="G1068" s="45" t="s">
        <v>1258</v>
      </c>
      <c r="H1068" s="50" t="s">
        <v>20</v>
      </c>
      <c r="I1068" s="51">
        <v>1605</v>
      </c>
      <c r="J1068" s="80"/>
      <c r="K10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1605 DOH</v>
      </c>
      <c r="L1068" s="48">
        <v>44747</v>
      </c>
      <c r="M1068" s="48">
        <v>44747</v>
      </c>
      <c r="N1068" s="49" t="s">
        <v>307</v>
      </c>
      <c r="O1068" s="45">
        <v>1</v>
      </c>
      <c r="P1068" s="80" t="s">
        <v>494</v>
      </c>
      <c r="Q1068" s="48"/>
      <c r="R1068" s="45"/>
      <c r="S1068" s="114"/>
      <c r="T1068" s="52"/>
      <c r="U1068" s="48"/>
      <c r="V1068" s="48"/>
      <c r="W1068" s="27"/>
    </row>
    <row r="1069" spans="1:23" ht="60" hidden="1" customHeight="1" x14ac:dyDescent="0.25">
      <c r="A1069" s="45" t="str">
        <f>CONCATENATE(Tabla2[[#This Row],[id_solicitud]],Tabla2[[#This Row],[tipo]])</f>
        <v>393Resolucion</v>
      </c>
      <c r="B1069" s="45">
        <f>COUNTIF($A$2:A1069,A1069)</f>
        <v>1</v>
      </c>
      <c r="C1069" s="45" t="str">
        <f>Tabla2[[#This Row],[(id_solicitud-tipo_documento)]]&amp;B1069</f>
        <v>393Resolucion1</v>
      </c>
      <c r="D1069" s="45">
        <v>1071</v>
      </c>
      <c r="E1069" s="45">
        <v>393</v>
      </c>
      <c r="F1069" s="45" t="s">
        <v>48</v>
      </c>
      <c r="G1069" s="45"/>
      <c r="H1069" s="50" t="s">
        <v>10</v>
      </c>
      <c r="I1069" s="51">
        <v>1592</v>
      </c>
      <c r="J1069" s="80"/>
      <c r="K10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69" s="48">
        <v>44780</v>
      </c>
      <c r="M1069" s="48"/>
      <c r="N1069" s="49"/>
      <c r="O1069" s="45"/>
      <c r="P1069" s="80"/>
      <c r="Q1069" s="48"/>
      <c r="R1069" s="45"/>
      <c r="S1069" s="114"/>
      <c r="T1069" s="45"/>
      <c r="U1069" s="48"/>
      <c r="V1069" s="48"/>
      <c r="W1069" s="27"/>
    </row>
    <row r="1070" spans="1:23" ht="60" hidden="1" customHeight="1" x14ac:dyDescent="0.25">
      <c r="A1070" s="45" t="str">
        <f>CONCATENATE(Tabla2[[#This Row],[id_solicitud]],Tabla2[[#This Row],[tipo]])</f>
        <v>314Resolucion</v>
      </c>
      <c r="B1070" s="45">
        <f>COUNTIF($A$2:A1070,A1070)</f>
        <v>1</v>
      </c>
      <c r="C1070" s="45" t="str">
        <f>Tabla2[[#This Row],[(id_solicitud-tipo_documento)]]&amp;B1070</f>
        <v>314Resolucion1</v>
      </c>
      <c r="D1070" s="45">
        <v>1072</v>
      </c>
      <c r="E1070" s="45">
        <v>314</v>
      </c>
      <c r="F1070" s="45" t="s">
        <v>48</v>
      </c>
      <c r="G1070" s="45"/>
      <c r="H1070" s="50" t="s">
        <v>544</v>
      </c>
      <c r="I1070" s="51">
        <v>1596</v>
      </c>
      <c r="J1070" s="80"/>
      <c r="K10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70" s="48">
        <v>44811</v>
      </c>
      <c r="M1070" s="48"/>
      <c r="N1070" s="49"/>
      <c r="O1070" s="45"/>
      <c r="P1070" s="80"/>
      <c r="Q1070" s="48"/>
      <c r="R1070" s="45"/>
      <c r="S1070" s="114"/>
      <c r="T1070" s="45"/>
      <c r="U1070" s="48"/>
      <c r="V1070" s="48"/>
      <c r="W1070" s="27"/>
    </row>
    <row r="1071" spans="1:23" ht="60" hidden="1" customHeight="1" x14ac:dyDescent="0.25">
      <c r="A1071" s="45" t="str">
        <f>CONCATENATE(Tabla2[[#This Row],[id_solicitud]],Tabla2[[#This Row],[tipo]])</f>
        <v>450Decreto</v>
      </c>
      <c r="B1071" s="45">
        <f>COUNTIF($A$2:A1071,A1071)</f>
        <v>1</v>
      </c>
      <c r="C1071" s="45" t="str">
        <f>Tabla2[[#This Row],[(id_solicitud-tipo_documento)]]&amp;B1071</f>
        <v>450Decreto1</v>
      </c>
      <c r="D1071" s="45">
        <v>1073</v>
      </c>
      <c r="E1071" s="45">
        <v>450</v>
      </c>
      <c r="F1071" s="45" t="s">
        <v>47</v>
      </c>
      <c r="G1071" s="45" t="s">
        <v>40</v>
      </c>
      <c r="H1071" s="50" t="s">
        <v>32</v>
      </c>
      <c r="I1071" s="51">
        <v>1599</v>
      </c>
      <c r="J1071" s="80"/>
      <c r="K10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1599 MOP</v>
      </c>
      <c r="L1071" s="48">
        <v>44839</v>
      </c>
      <c r="M1071" s="48"/>
      <c r="N1071" s="49" t="s">
        <v>986</v>
      </c>
      <c r="O1071" s="45"/>
      <c r="P1071" s="80"/>
      <c r="Q1071" s="48"/>
      <c r="R1071" s="45"/>
      <c r="S1071" s="115">
        <v>852</v>
      </c>
      <c r="T1071" s="20">
        <v>44814</v>
      </c>
      <c r="U1071" s="20">
        <v>44851</v>
      </c>
      <c r="V1071" s="20">
        <v>44851</v>
      </c>
      <c r="W1071" s="27"/>
    </row>
    <row r="1072" spans="1:23" ht="60" hidden="1" customHeight="1" x14ac:dyDescent="0.25">
      <c r="A1072" s="45" t="str">
        <f>CONCATENATE(Tabla2[[#This Row],[id_solicitud]],Tabla2[[#This Row],[tipo]])</f>
        <v>381Decreto</v>
      </c>
      <c r="B1072" s="45">
        <f>COUNTIF($A$2:A1072,A1072)</f>
        <v>1</v>
      </c>
      <c r="C1072" s="45" t="str">
        <f>Tabla2[[#This Row],[(id_solicitud-tipo_documento)]]&amp;B1072</f>
        <v>381Decreto1</v>
      </c>
      <c r="D1072" s="45">
        <v>1074</v>
      </c>
      <c r="E1072" s="45">
        <v>381</v>
      </c>
      <c r="F1072" s="45" t="s">
        <v>47</v>
      </c>
      <c r="G1072" s="45" t="s">
        <v>40</v>
      </c>
      <c r="H1072" s="50" t="s">
        <v>24</v>
      </c>
      <c r="I1072" s="51">
        <v>1600</v>
      </c>
      <c r="J1072" s="80"/>
      <c r="K10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1600 DP</v>
      </c>
      <c r="L1072" s="48">
        <v>44839</v>
      </c>
      <c r="M1072" s="48"/>
      <c r="N1072" s="49" t="s">
        <v>954</v>
      </c>
      <c r="O1072" s="45"/>
      <c r="P1072" s="80"/>
      <c r="Q1072" s="48"/>
      <c r="R1072" s="45"/>
      <c r="S1072" s="115">
        <v>847</v>
      </c>
      <c r="T1072" s="20">
        <v>44814</v>
      </c>
      <c r="U1072" s="20">
        <v>44846</v>
      </c>
      <c r="V1072" s="20">
        <v>44846</v>
      </c>
      <c r="W1072" s="27"/>
    </row>
    <row r="1073" spans="1:23" ht="60" hidden="1" customHeight="1" x14ac:dyDescent="0.25">
      <c r="A1073" s="45" t="str">
        <f>CONCATENATE(Tabla2[[#This Row],[id_solicitud]],Tabla2[[#This Row],[tipo]])</f>
        <v>245Oficio_Solicitud</v>
      </c>
      <c r="B1073" s="45">
        <f>COUNTIF($A$2:A1073,A1073)</f>
        <v>1</v>
      </c>
      <c r="C1073" s="45" t="str">
        <f>Tabla2[[#This Row],[(id_solicitud-tipo_documento)]]&amp;B1073</f>
        <v>245Oficio_Solicitud1</v>
      </c>
      <c r="D1073" s="45">
        <v>1075</v>
      </c>
      <c r="E1073" s="45">
        <v>245</v>
      </c>
      <c r="F1073" s="45" t="s">
        <v>53</v>
      </c>
      <c r="G1073" s="45" t="s">
        <v>40</v>
      </c>
      <c r="H1073" s="50" t="s">
        <v>585</v>
      </c>
      <c r="I1073" s="51">
        <v>1624</v>
      </c>
      <c r="J1073" s="80"/>
      <c r="K10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1624 DA-SISS</v>
      </c>
      <c r="L1073" s="48">
        <v>44711</v>
      </c>
      <c r="M1073" s="48">
        <v>44712</v>
      </c>
      <c r="N1073" s="49" t="s">
        <v>272</v>
      </c>
      <c r="O1073" s="45">
        <v>0</v>
      </c>
      <c r="P1073" s="80" t="s">
        <v>517</v>
      </c>
      <c r="Q1073" s="48">
        <v>44719</v>
      </c>
      <c r="R1073" s="45"/>
      <c r="S1073" s="114"/>
      <c r="T1073" s="52"/>
      <c r="U1073" s="48"/>
      <c r="V1073" s="48"/>
      <c r="W1073" s="27"/>
    </row>
    <row r="1074" spans="1:23" ht="60" hidden="1" customHeight="1" x14ac:dyDescent="0.25">
      <c r="A1074" s="45" t="str">
        <f>CONCATENATE(Tabla2[[#This Row],[id_solicitud]],Tabla2[[#This Row],[tipo]])</f>
        <v>128Proposicion</v>
      </c>
      <c r="B1074" s="45">
        <f>COUNTIF($A$2:A1074,A1074)</f>
        <v>1</v>
      </c>
      <c r="C1074" s="45" t="str">
        <f>Tabla2[[#This Row],[(id_solicitud-tipo_documento)]]&amp;B1074</f>
        <v>128Proposicion1</v>
      </c>
      <c r="D1074" s="45">
        <v>1076</v>
      </c>
      <c r="E1074" s="45">
        <v>128</v>
      </c>
      <c r="F1074" s="45" t="s">
        <v>46</v>
      </c>
      <c r="G1074" s="45" t="s">
        <v>44</v>
      </c>
      <c r="H1074" s="50" t="s">
        <v>26</v>
      </c>
      <c r="I1074" s="51">
        <v>1611</v>
      </c>
      <c r="J1074" s="80"/>
      <c r="K10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1611 DV</v>
      </c>
      <c r="L1074" s="48">
        <v>44609</v>
      </c>
      <c r="M1074" s="48">
        <v>44609</v>
      </c>
      <c r="N1074" s="49" t="s">
        <v>174</v>
      </c>
      <c r="O1074" s="45"/>
      <c r="P1074" s="80" t="s">
        <v>504</v>
      </c>
      <c r="Q1074" s="24"/>
      <c r="R1074" s="24" t="s">
        <v>26</v>
      </c>
      <c r="S1074" s="114"/>
      <c r="T1074" s="45"/>
      <c r="U1074" s="48"/>
      <c r="V1074" s="48"/>
      <c r="W1074" s="27"/>
    </row>
    <row r="1075" spans="1:23" ht="60" hidden="1" customHeight="1" x14ac:dyDescent="0.25">
      <c r="A1075" s="45" t="str">
        <f>CONCATENATE(Tabla2[[#This Row],[id_solicitud]],Tabla2[[#This Row],[tipo]])</f>
        <v>372Decreto</v>
      </c>
      <c r="B1075" s="45">
        <f>COUNTIF($A$2:A1075,A1075)</f>
        <v>1</v>
      </c>
      <c r="C1075" s="45" t="str">
        <f>Tabla2[[#This Row],[(id_solicitud-tipo_documento)]]&amp;B1075</f>
        <v>372Decreto1</v>
      </c>
      <c r="D1075" s="45">
        <v>1077</v>
      </c>
      <c r="E1075" s="45">
        <v>372</v>
      </c>
      <c r="F1075" s="45" t="s">
        <v>47</v>
      </c>
      <c r="G1075" s="45" t="s">
        <v>40</v>
      </c>
      <c r="H1075" s="50" t="s">
        <v>8</v>
      </c>
      <c r="I1075" s="51">
        <v>1611</v>
      </c>
      <c r="J1075" s="80"/>
      <c r="K10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1611 DA</v>
      </c>
      <c r="L1075" s="48">
        <v>44839</v>
      </c>
      <c r="M1075" s="48"/>
      <c r="N1075" s="49" t="s">
        <v>947</v>
      </c>
      <c r="O1075" s="45"/>
      <c r="P1075" s="80"/>
      <c r="Q1075" s="48"/>
      <c r="R1075" s="45"/>
      <c r="S1075" s="115">
        <v>886</v>
      </c>
      <c r="T1075" s="20">
        <v>44814</v>
      </c>
      <c r="U1075" s="20">
        <v>44840</v>
      </c>
      <c r="V1075" s="20">
        <v>44840</v>
      </c>
      <c r="W1075" s="27"/>
    </row>
    <row r="1076" spans="1:23" ht="60" customHeight="1" x14ac:dyDescent="0.25">
      <c r="A1076" s="45" t="str">
        <f>CONCATENATE(Tabla2[[#This Row],[id_solicitud]],Tabla2[[#This Row],[tipo]])</f>
        <v>403Proposicion</v>
      </c>
      <c r="B1076" s="45">
        <f>COUNTIF($A$2:A1076,A1076)</f>
        <v>1</v>
      </c>
      <c r="C1076" s="45" t="str">
        <f>Tabla2[[#This Row],[(id_solicitud-tipo_documento)]]&amp;B1076</f>
        <v>403Proposicion1</v>
      </c>
      <c r="D1076" s="45">
        <v>649</v>
      </c>
      <c r="E1076" s="45">
        <v>403</v>
      </c>
      <c r="F1076" s="45" t="s">
        <v>46</v>
      </c>
      <c r="G1076" s="45" t="s">
        <v>1258</v>
      </c>
      <c r="H1076" s="50" t="s">
        <v>10</v>
      </c>
      <c r="I1076" s="51">
        <v>620</v>
      </c>
      <c r="J1076" s="80"/>
      <c r="K10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620 DAP</v>
      </c>
      <c r="L1076" s="48">
        <v>44812</v>
      </c>
      <c r="M1076" s="48">
        <v>44812</v>
      </c>
      <c r="N1076" s="49" t="s">
        <v>396</v>
      </c>
      <c r="O1076" s="45">
        <v>1</v>
      </c>
      <c r="P1076" s="80" t="s">
        <v>494</v>
      </c>
      <c r="Q1076" s="24"/>
      <c r="R1076" s="24" t="s">
        <v>24</v>
      </c>
      <c r="S1076" s="114"/>
      <c r="T1076" s="45"/>
      <c r="U1076" s="48"/>
      <c r="V1076" s="48"/>
      <c r="W1076" s="27"/>
    </row>
    <row r="1077" spans="1:23" ht="60" hidden="1" customHeight="1" x14ac:dyDescent="0.25">
      <c r="A1077" s="45" t="str">
        <f>CONCATENATE(Tabla2[[#This Row],[id_solicitud]],Tabla2[[#This Row],[tipo]])</f>
        <v>152Resolucion</v>
      </c>
      <c r="B1077" s="45">
        <f>COUNTIF($A$2:A1077,A1077)</f>
        <v>1</v>
      </c>
      <c r="C1077" s="45" t="str">
        <f>Tabla2[[#This Row],[(id_solicitud-tipo_documento)]]&amp;B1077</f>
        <v>152Resolucion1</v>
      </c>
      <c r="D1077" s="45">
        <v>1079</v>
      </c>
      <c r="E1077" s="45">
        <v>152</v>
      </c>
      <c r="F1077" s="45" t="s">
        <v>48</v>
      </c>
      <c r="G1077" s="45"/>
      <c r="H1077" s="50" t="s">
        <v>26</v>
      </c>
      <c r="I1077" s="51">
        <v>1621</v>
      </c>
      <c r="J1077" s="80"/>
      <c r="K10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77" s="48">
        <v>44741</v>
      </c>
      <c r="M1077" s="48"/>
      <c r="N1077" s="49"/>
      <c r="O1077" s="45"/>
      <c r="P1077" s="80"/>
      <c r="Q1077" s="48"/>
      <c r="R1077" s="45"/>
      <c r="S1077" s="114"/>
      <c r="T1077" s="45"/>
      <c r="U1077" s="48"/>
      <c r="V1077" s="48"/>
      <c r="W1077" s="27"/>
    </row>
    <row r="1078" spans="1:23" ht="60" hidden="1" customHeight="1" x14ac:dyDescent="0.25">
      <c r="A1078" s="45" t="str">
        <f>CONCATENATE(Tabla2[[#This Row],[id_solicitud]],Tabla2[[#This Row],[tipo]])</f>
        <v>304Oficio_Solicitud</v>
      </c>
      <c r="B1078" s="45">
        <f>COUNTIF($A$2:A1078,A1078)</f>
        <v>1</v>
      </c>
      <c r="C1078" s="45" t="str">
        <f>Tabla2[[#This Row],[(id_solicitud-tipo_documento)]]&amp;B1078</f>
        <v>304Oficio_Solicitud1</v>
      </c>
      <c r="D1078" s="45">
        <v>1080</v>
      </c>
      <c r="E1078" s="45">
        <v>304</v>
      </c>
      <c r="F1078" s="45" t="s">
        <v>53</v>
      </c>
      <c r="G1078" s="45" t="s">
        <v>60</v>
      </c>
      <c r="H1078" s="50" t="s">
        <v>20</v>
      </c>
      <c r="I1078" s="51">
        <v>1714</v>
      </c>
      <c r="J1078" s="80"/>
      <c r="K10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1714 DOH</v>
      </c>
      <c r="L1078" s="48">
        <v>44761</v>
      </c>
      <c r="M1078" s="48">
        <v>44762</v>
      </c>
      <c r="N1078" s="49" t="s">
        <v>317</v>
      </c>
      <c r="O1078" s="45">
        <v>43</v>
      </c>
      <c r="P1078" s="80" t="s">
        <v>494</v>
      </c>
      <c r="Q1078" s="48">
        <v>44770</v>
      </c>
      <c r="R1078" s="45"/>
      <c r="S1078" s="114"/>
      <c r="T1078" s="52"/>
      <c r="U1078" s="48"/>
      <c r="V1078" s="48"/>
      <c r="W1078" s="27"/>
    </row>
    <row r="1079" spans="1:23" ht="60" hidden="1" customHeight="1" x14ac:dyDescent="0.25">
      <c r="A1079" s="45" t="str">
        <f>CONCATENATE(Tabla2[[#This Row],[id_solicitud]],Tabla2[[#This Row],[tipo]])</f>
        <v>457Decreto</v>
      </c>
      <c r="B1079" s="45">
        <f>COUNTIF($A$2:A1079,A1079)</f>
        <v>1</v>
      </c>
      <c r="C1079" s="45" t="str">
        <f>Tabla2[[#This Row],[(id_solicitud-tipo_documento)]]&amp;B1079</f>
        <v>457Decreto1</v>
      </c>
      <c r="D1079" s="45">
        <v>1081</v>
      </c>
      <c r="E1079" s="45">
        <v>457</v>
      </c>
      <c r="F1079" s="45" t="s">
        <v>47</v>
      </c>
      <c r="G1079" s="45" t="s">
        <v>40</v>
      </c>
      <c r="H1079" s="50" t="s">
        <v>6</v>
      </c>
      <c r="I1079" s="51">
        <v>1633</v>
      </c>
      <c r="J1079" s="80"/>
      <c r="K10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1633 APR</v>
      </c>
      <c r="L1079" s="48">
        <v>44846</v>
      </c>
      <c r="M1079" s="48"/>
      <c r="N1079" s="49" t="s">
        <v>990</v>
      </c>
      <c r="O1079" s="45"/>
      <c r="P1079" s="80"/>
      <c r="Q1079" s="48"/>
      <c r="R1079" s="45"/>
      <c r="S1079" s="115">
        <v>871</v>
      </c>
      <c r="T1079" s="20">
        <v>44824</v>
      </c>
      <c r="U1079" s="20">
        <v>44852</v>
      </c>
      <c r="V1079" s="20">
        <v>44852</v>
      </c>
      <c r="W1079" s="27"/>
    </row>
    <row r="1080" spans="1:23" ht="60" hidden="1" customHeight="1" x14ac:dyDescent="0.25">
      <c r="A1080" s="45" t="str">
        <f>CONCATENATE(Tabla2[[#This Row],[id_solicitud]],Tabla2[[#This Row],[tipo]])</f>
        <v>455Decreto</v>
      </c>
      <c r="B1080" s="45">
        <f>COUNTIF($A$2:A1080,A1080)</f>
        <v>1</v>
      </c>
      <c r="C1080" s="45" t="str">
        <f>Tabla2[[#This Row],[(id_solicitud-tipo_documento)]]&amp;B1080</f>
        <v>455Decreto1</v>
      </c>
      <c r="D1080" s="45">
        <v>1082</v>
      </c>
      <c r="E1080" s="45">
        <v>455</v>
      </c>
      <c r="F1080" s="45" t="s">
        <v>47</v>
      </c>
      <c r="G1080" s="45" t="s">
        <v>42</v>
      </c>
      <c r="H1080" s="50" t="s">
        <v>603</v>
      </c>
      <c r="I1080" s="51">
        <v>1645</v>
      </c>
      <c r="J1080" s="80"/>
      <c r="K10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1645 DV-DOP</v>
      </c>
      <c r="L1080" s="48">
        <v>44841</v>
      </c>
      <c r="M1080" s="48"/>
      <c r="N1080" s="49" t="s">
        <v>988</v>
      </c>
      <c r="O1080" s="45"/>
      <c r="P1080" s="80"/>
      <c r="Q1080" s="48"/>
      <c r="R1080" s="45"/>
      <c r="S1080" s="115">
        <v>956</v>
      </c>
      <c r="T1080" s="20">
        <v>44834</v>
      </c>
      <c r="U1080" s="20">
        <v>44860</v>
      </c>
      <c r="V1080" s="20">
        <v>44860</v>
      </c>
      <c r="W1080" s="27"/>
    </row>
    <row r="1081" spans="1:23" ht="60" hidden="1" customHeight="1" x14ac:dyDescent="0.25">
      <c r="A1081" s="45" t="str">
        <f>CONCATENATE(Tabla2[[#This Row],[id_solicitud]],Tabla2[[#This Row],[tipo]])</f>
        <v>421Oficio_Autorizacion</v>
      </c>
      <c r="B1081" s="45">
        <f>COUNTIF($A$2:A1081,A1081)</f>
        <v>1</v>
      </c>
      <c r="C1081" s="45" t="str">
        <f>Tabla2[[#This Row],[(id_solicitud-tipo_documento)]]&amp;B1081</f>
        <v>421Oficio_Autorizacion1</v>
      </c>
      <c r="D1081" s="45">
        <v>1083</v>
      </c>
      <c r="E1081" s="45">
        <v>421</v>
      </c>
      <c r="F1081" s="45" t="s">
        <v>1272</v>
      </c>
      <c r="G1081" s="45" t="s">
        <v>1259</v>
      </c>
      <c r="H1081" s="50" t="s">
        <v>35</v>
      </c>
      <c r="I1081" s="51">
        <v>1646</v>
      </c>
      <c r="J1081" s="80"/>
      <c r="K10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81" s="48">
        <v>44841</v>
      </c>
      <c r="M1081" s="48"/>
      <c r="N1081" s="49" t="s">
        <v>977</v>
      </c>
      <c r="O1081" s="45"/>
      <c r="P1081" s="80"/>
      <c r="Q1081" s="48"/>
      <c r="R1081" s="45"/>
      <c r="S1081" s="115">
        <v>990</v>
      </c>
      <c r="T1081" s="20">
        <v>44831</v>
      </c>
      <c r="U1081" s="20">
        <v>44848</v>
      </c>
      <c r="V1081" s="20">
        <v>44848</v>
      </c>
      <c r="W1081" s="27"/>
    </row>
    <row r="1082" spans="1:23" ht="60" hidden="1" customHeight="1" x14ac:dyDescent="0.25">
      <c r="A1082" s="45" t="str">
        <f>CONCATENATE(Tabla2[[#This Row],[id_solicitud]],Tabla2[[#This Row],[tipo]])</f>
        <v>460Decreto</v>
      </c>
      <c r="B1082" s="45">
        <f>COUNTIF($A$2:A1082,A1082)</f>
        <v>1</v>
      </c>
      <c r="C1082" s="45" t="str">
        <f>Tabla2[[#This Row],[(id_solicitud-tipo_documento)]]&amp;B1082</f>
        <v>460Decreto1</v>
      </c>
      <c r="D1082" s="45">
        <v>1084</v>
      </c>
      <c r="E1082" s="45">
        <v>460</v>
      </c>
      <c r="F1082" s="45" t="s">
        <v>47</v>
      </c>
      <c r="G1082" s="45" t="s">
        <v>40</v>
      </c>
      <c r="H1082" s="50" t="s">
        <v>604</v>
      </c>
      <c r="I1082" s="51">
        <v>1647</v>
      </c>
      <c r="J1082" s="80"/>
      <c r="K10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1647 DA-DV</v>
      </c>
      <c r="L1082" s="48">
        <v>44841</v>
      </c>
      <c r="M1082" s="48"/>
      <c r="N1082" s="49">
        <f>E1082</f>
        <v>460</v>
      </c>
      <c r="O1082" s="45"/>
      <c r="P1082" s="80"/>
      <c r="Q1082" s="48"/>
      <c r="R1082" s="45"/>
      <c r="S1082" s="115">
        <v>954</v>
      </c>
      <c r="T1082" s="20">
        <v>44834</v>
      </c>
      <c r="U1082" s="20">
        <v>44860</v>
      </c>
      <c r="V1082" s="20">
        <v>44860</v>
      </c>
      <c r="W1082" s="27"/>
    </row>
    <row r="1083" spans="1:23" ht="60" hidden="1" customHeight="1" x14ac:dyDescent="0.25">
      <c r="A1083" s="45" t="str">
        <f>CONCATENATE(Tabla2[[#This Row],[id_solicitud]],Tabla2[[#This Row],[tipo]])</f>
        <v>264Resolucion</v>
      </c>
      <c r="B1083" s="45">
        <f>COUNTIF($A$2:A1083,A1083)</f>
        <v>1</v>
      </c>
      <c r="C1083" s="45" t="str">
        <f>Tabla2[[#This Row],[(id_solicitud-tipo_documento)]]&amp;B1083</f>
        <v>264Resolucion1</v>
      </c>
      <c r="D1083" s="45">
        <v>1085</v>
      </c>
      <c r="E1083" s="45">
        <v>264</v>
      </c>
      <c r="F1083" s="45" t="s">
        <v>48</v>
      </c>
      <c r="G1083" s="45"/>
      <c r="H1083" s="50" t="s">
        <v>538</v>
      </c>
      <c r="I1083" s="51">
        <v>1648</v>
      </c>
      <c r="J1083" s="80"/>
      <c r="K10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83" s="48">
        <v>44743</v>
      </c>
      <c r="M1083" s="48"/>
      <c r="N1083" s="49"/>
      <c r="O1083" s="45"/>
      <c r="P1083" s="80"/>
      <c r="Q1083" s="48"/>
      <c r="R1083" s="45"/>
      <c r="S1083" s="114"/>
      <c r="T1083" s="45"/>
      <c r="U1083" s="48"/>
      <c r="V1083" s="48"/>
      <c r="W1083" s="27"/>
    </row>
    <row r="1084" spans="1:23" ht="60" hidden="1" customHeight="1" x14ac:dyDescent="0.25">
      <c r="A1084" s="45" t="str">
        <f>CONCATENATE(Tabla2[[#This Row],[id_solicitud]],Tabla2[[#This Row],[tipo]])</f>
        <v>263Resolucion</v>
      </c>
      <c r="B1084" s="45">
        <f>COUNTIF($A$2:A1084,A1084)</f>
        <v>1</v>
      </c>
      <c r="C1084" s="45" t="str">
        <f>Tabla2[[#This Row],[(id_solicitud-tipo_documento)]]&amp;B1084</f>
        <v>263Resolucion1</v>
      </c>
      <c r="D1084" s="45">
        <v>1086</v>
      </c>
      <c r="E1084" s="45">
        <v>263</v>
      </c>
      <c r="F1084" s="45" t="s">
        <v>48</v>
      </c>
      <c r="G1084" s="45"/>
      <c r="H1084" s="50" t="s">
        <v>26</v>
      </c>
      <c r="I1084" s="51">
        <v>1649</v>
      </c>
      <c r="J1084" s="80"/>
      <c r="K10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84" s="48">
        <v>44743</v>
      </c>
      <c r="M1084" s="48"/>
      <c r="N1084" s="49"/>
      <c r="O1084" s="45"/>
      <c r="P1084" s="80"/>
      <c r="Q1084" s="48"/>
      <c r="R1084" s="45"/>
      <c r="S1084" s="114"/>
      <c r="T1084" s="45"/>
      <c r="U1084" s="48"/>
      <c r="V1084" s="48"/>
      <c r="W1084" s="27"/>
    </row>
    <row r="1085" spans="1:23" ht="60" hidden="1" customHeight="1" x14ac:dyDescent="0.25">
      <c r="A1085" s="45" t="str">
        <f>CONCATENATE(Tabla2[[#This Row],[id_solicitud]],Tabla2[[#This Row],[tipo]])</f>
        <v>129Proposicion</v>
      </c>
      <c r="B1085" s="45">
        <f>COUNTIF($A$2:A1085,A1085)</f>
        <v>1</v>
      </c>
      <c r="C1085" s="45" t="str">
        <f>Tabla2[[#This Row],[(id_solicitud-tipo_documento)]]&amp;B1085</f>
        <v>129Proposicion1</v>
      </c>
      <c r="D1085" s="45">
        <v>1087</v>
      </c>
      <c r="E1085" s="45">
        <v>129</v>
      </c>
      <c r="F1085" s="45" t="s">
        <v>46</v>
      </c>
      <c r="G1085" s="45" t="s">
        <v>44</v>
      </c>
      <c r="H1085" s="50" t="s">
        <v>26</v>
      </c>
      <c r="I1085" s="51">
        <v>1667</v>
      </c>
      <c r="J1085" s="80"/>
      <c r="K10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1667 DV</v>
      </c>
      <c r="L1085" s="48">
        <v>44610</v>
      </c>
      <c r="M1085" s="48">
        <v>44610</v>
      </c>
      <c r="N1085" s="49" t="s">
        <v>646</v>
      </c>
      <c r="O1085" s="45"/>
      <c r="P1085" s="80" t="s">
        <v>497</v>
      </c>
      <c r="Q1085" s="24"/>
      <c r="R1085" s="24" t="s">
        <v>26</v>
      </c>
      <c r="S1085" s="114"/>
      <c r="T1085" s="45"/>
      <c r="U1085" s="48"/>
      <c r="V1085" s="48"/>
      <c r="W1085" s="27"/>
    </row>
    <row r="1086" spans="1:23" ht="60" hidden="1" customHeight="1" x14ac:dyDescent="0.25">
      <c r="A1086" s="45" t="str">
        <f>CONCATENATE(Tabla2[[#This Row],[id_solicitud]],Tabla2[[#This Row],[tipo]])</f>
        <v>456Oficio_Autorizacion</v>
      </c>
      <c r="B1086" s="45">
        <f>COUNTIF($A$2:A1086,A1086)</f>
        <v>1</v>
      </c>
      <c r="C1086" s="45" t="str">
        <f>Tabla2[[#This Row],[(id_solicitud-tipo_documento)]]&amp;B1086</f>
        <v>456Oficio_Autorizacion1</v>
      </c>
      <c r="D1086" s="45">
        <v>1088</v>
      </c>
      <c r="E1086" s="45">
        <v>456</v>
      </c>
      <c r="F1086" s="45" t="s">
        <v>1272</v>
      </c>
      <c r="G1086" s="45" t="s">
        <v>44</v>
      </c>
      <c r="H1086" s="50" t="s">
        <v>22</v>
      </c>
      <c r="I1086" s="51">
        <v>2613</v>
      </c>
      <c r="J1086" s="80"/>
      <c r="K10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86" s="48">
        <v>44841</v>
      </c>
      <c r="M1086" s="48"/>
      <c r="N1086" s="49" t="s">
        <v>989</v>
      </c>
      <c r="O1086" s="45"/>
      <c r="P1086" s="80"/>
      <c r="Q1086" s="48"/>
      <c r="R1086" s="45"/>
      <c r="S1086" s="115">
        <v>957</v>
      </c>
      <c r="T1086" s="20">
        <v>44806</v>
      </c>
      <c r="U1086" s="20"/>
      <c r="V1086" s="20"/>
      <c r="W1086" s="27"/>
    </row>
    <row r="1087" spans="1:23" ht="60" hidden="1" customHeight="1" x14ac:dyDescent="0.25">
      <c r="A1087" s="45" t="str">
        <f>CONCATENATE(Tabla2[[#This Row],[id_solicitud]],Tabla2[[#This Row],[tipo]])</f>
        <v>307Oficio_Solicitud</v>
      </c>
      <c r="B1087" s="45">
        <f>COUNTIF($A$2:A1087,A1087)</f>
        <v>1</v>
      </c>
      <c r="C1087" s="45" t="str">
        <f>Tabla2[[#This Row],[(id_solicitud-tipo_documento)]]&amp;B1087</f>
        <v>307Oficio_Solicitud1</v>
      </c>
      <c r="D1087" s="45">
        <v>1089</v>
      </c>
      <c r="E1087" s="45">
        <v>307</v>
      </c>
      <c r="F1087" s="45" t="s">
        <v>53</v>
      </c>
      <c r="G1087" s="45" t="s">
        <v>1258</v>
      </c>
      <c r="H1087" s="50" t="s">
        <v>6</v>
      </c>
      <c r="I1087" s="51">
        <v>1747</v>
      </c>
      <c r="J1087" s="80"/>
      <c r="K10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1747 APR</v>
      </c>
      <c r="L1087" s="48">
        <v>44763</v>
      </c>
      <c r="M1087" s="48">
        <v>44764</v>
      </c>
      <c r="N1087" s="49" t="s">
        <v>319</v>
      </c>
      <c r="O1087" s="45">
        <v>2</v>
      </c>
      <c r="P1087" s="80" t="s">
        <v>494</v>
      </c>
      <c r="Q1087" s="48"/>
      <c r="R1087" s="45"/>
      <c r="S1087" s="114"/>
      <c r="T1087" s="52"/>
      <c r="U1087" s="48"/>
      <c r="V1087" s="48"/>
      <c r="W1087" s="27"/>
    </row>
    <row r="1088" spans="1:23" ht="60" hidden="1" customHeight="1" x14ac:dyDescent="0.25">
      <c r="A1088" s="45" t="str">
        <f>CONCATENATE(Tabla2[[#This Row],[id_solicitud]],Tabla2[[#This Row],[tipo]])</f>
        <v>413Decreto</v>
      </c>
      <c r="B1088" s="45">
        <f>COUNTIF($A$2:A1088,A1088)</f>
        <v>1</v>
      </c>
      <c r="C1088" s="45" t="str">
        <f>Tabla2[[#This Row],[(id_solicitud-tipo_documento)]]&amp;B1088</f>
        <v>413Decreto1</v>
      </c>
      <c r="D1088" s="45">
        <v>1090</v>
      </c>
      <c r="E1088" s="45">
        <v>413</v>
      </c>
      <c r="F1088" s="45" t="s">
        <v>47</v>
      </c>
      <c r="G1088" s="45" t="s">
        <v>59</v>
      </c>
      <c r="H1088" s="50" t="s">
        <v>601</v>
      </c>
      <c r="I1088" s="51">
        <v>1689</v>
      </c>
      <c r="J1088" s="80"/>
      <c r="K10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1689 DGOP-DP</v>
      </c>
      <c r="L1088" s="48">
        <v>44846</v>
      </c>
      <c r="M1088" s="48"/>
      <c r="N1088" s="49" t="s">
        <v>972</v>
      </c>
      <c r="O1088" s="45"/>
      <c r="P1088" s="80"/>
      <c r="Q1088" s="48"/>
      <c r="R1088" s="45"/>
      <c r="S1088" s="115">
        <v>1039</v>
      </c>
      <c r="T1088" s="20">
        <v>44838</v>
      </c>
      <c r="U1088" s="20">
        <v>44852</v>
      </c>
      <c r="V1088" s="20">
        <v>44852</v>
      </c>
      <c r="W1088" s="27"/>
    </row>
    <row r="1089" spans="1:23" ht="60" hidden="1" customHeight="1" x14ac:dyDescent="0.25">
      <c r="A1089" s="45" t="str">
        <f>CONCATENATE(Tabla2[[#This Row],[id_solicitud]],Tabla2[[#This Row],[tipo]])</f>
        <v>295Oficio_Autorizacion</v>
      </c>
      <c r="B1089" s="45">
        <f>COUNTIF($A$2:A1089,A1089)</f>
        <v>1</v>
      </c>
      <c r="C1089" s="45" t="str">
        <f>Tabla2[[#This Row],[(id_solicitud-tipo_documento)]]&amp;B1089</f>
        <v>295Oficio_Autorizacion1</v>
      </c>
      <c r="D1089" s="45">
        <v>1091</v>
      </c>
      <c r="E1089" s="45">
        <v>295</v>
      </c>
      <c r="F1089" s="45" t="s">
        <v>1272</v>
      </c>
      <c r="G1089" s="45" t="s">
        <v>44</v>
      </c>
      <c r="H1089" s="50" t="s">
        <v>32</v>
      </c>
      <c r="I1089" s="51">
        <v>1699</v>
      </c>
      <c r="J1089" s="80"/>
      <c r="K10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89" s="48">
        <v>44753</v>
      </c>
      <c r="M1089" s="48"/>
      <c r="N1089" s="49" t="s">
        <v>904</v>
      </c>
      <c r="O1089" s="45"/>
      <c r="P1089" s="80"/>
      <c r="Q1089" s="48"/>
      <c r="R1089" s="45"/>
      <c r="S1089" s="115">
        <v>131</v>
      </c>
      <c r="T1089" s="20"/>
      <c r="U1089" s="20"/>
      <c r="V1089" s="20"/>
      <c r="W1089" s="27"/>
    </row>
    <row r="1090" spans="1:23" ht="60" hidden="1" customHeight="1" x14ac:dyDescent="0.25">
      <c r="A1090" s="45" t="str">
        <f>CONCATENATE(Tabla2[[#This Row],[id_solicitud]],Tabla2[[#This Row],[tipo]])</f>
        <v>469Decreto</v>
      </c>
      <c r="B1090" s="45">
        <f>COUNTIF($A$2:A1090,A1090)</f>
        <v>1</v>
      </c>
      <c r="C1090" s="45" t="str">
        <f>Tabla2[[#This Row],[(id_solicitud-tipo_documento)]]&amp;B1090</f>
        <v>469Decreto1</v>
      </c>
      <c r="D1090" s="45">
        <v>1092</v>
      </c>
      <c r="E1090" s="45">
        <v>469</v>
      </c>
      <c r="F1090" s="45" t="s">
        <v>47</v>
      </c>
      <c r="G1090" s="45" t="s">
        <v>60</v>
      </c>
      <c r="H1090" s="50" t="s">
        <v>32</v>
      </c>
      <c r="I1090" s="51">
        <v>1699</v>
      </c>
      <c r="J1090" s="80"/>
      <c r="K10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1699 MOP</v>
      </c>
      <c r="L1090" s="48">
        <v>44846</v>
      </c>
      <c r="M1090" s="48"/>
      <c r="N1090" s="49" t="s">
        <v>995</v>
      </c>
      <c r="O1090" s="45"/>
      <c r="P1090" s="80"/>
      <c r="Q1090" s="48"/>
      <c r="R1090" s="45"/>
      <c r="S1090" s="115">
        <v>888</v>
      </c>
      <c r="T1090" s="20">
        <v>44824</v>
      </c>
      <c r="U1090" s="20">
        <v>44861</v>
      </c>
      <c r="V1090" s="20">
        <v>44861</v>
      </c>
      <c r="W1090" s="27"/>
    </row>
    <row r="1091" spans="1:23" ht="60" hidden="1" customHeight="1" x14ac:dyDescent="0.25">
      <c r="A1091" s="45" t="str">
        <f>CONCATENATE(Tabla2[[#This Row],[id_solicitud]],Tabla2[[#This Row],[tipo]])</f>
        <v>308Oficio_Solicitud</v>
      </c>
      <c r="B1091" s="45">
        <f>COUNTIF($A$2:A1091,A1091)</f>
        <v>1</v>
      </c>
      <c r="C1091" s="45" t="str">
        <f>Tabla2[[#This Row],[(id_solicitud-tipo_documento)]]&amp;B1091</f>
        <v>308Oficio_Solicitud1</v>
      </c>
      <c r="D1091" s="45">
        <v>1093</v>
      </c>
      <c r="E1091" s="45">
        <v>308</v>
      </c>
      <c r="F1091" s="45" t="s">
        <v>53</v>
      </c>
      <c r="G1091" s="45" t="s">
        <v>1258</v>
      </c>
      <c r="H1091" s="50" t="s">
        <v>559</v>
      </c>
      <c r="I1091" s="51">
        <v>1748</v>
      </c>
      <c r="J1091" s="80"/>
      <c r="K10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1748 APR_FETCovid19</v>
      </c>
      <c r="L1091" s="48">
        <v>44763</v>
      </c>
      <c r="M1091" s="48">
        <v>44764</v>
      </c>
      <c r="N1091" s="49" t="s">
        <v>320</v>
      </c>
      <c r="O1091" s="45">
        <v>1</v>
      </c>
      <c r="P1091" s="80" t="s">
        <v>494</v>
      </c>
      <c r="Q1091" s="48"/>
      <c r="R1091" s="45"/>
      <c r="S1091" s="114"/>
      <c r="T1091" s="52"/>
      <c r="U1091" s="48"/>
      <c r="V1091" s="48"/>
      <c r="W1091" s="27"/>
    </row>
    <row r="1092" spans="1:23" ht="60" hidden="1" customHeight="1" x14ac:dyDescent="0.25">
      <c r="A1092" s="45" t="str">
        <f>CONCATENATE(Tabla2[[#This Row],[id_solicitud]],Tabla2[[#This Row],[tipo]])</f>
        <v>374Resolucion</v>
      </c>
      <c r="B1092" s="45">
        <f>COUNTIF($A$2:A1092,A1092)</f>
        <v>1</v>
      </c>
      <c r="C1092" s="45" t="str">
        <f>Tabla2[[#This Row],[(id_solicitud-tipo_documento)]]&amp;B1092</f>
        <v>374Resolucion1</v>
      </c>
      <c r="D1092" s="45">
        <v>1094</v>
      </c>
      <c r="E1092" s="45">
        <v>374</v>
      </c>
      <c r="F1092" s="45" t="s">
        <v>48</v>
      </c>
      <c r="G1092" s="45"/>
      <c r="H1092" s="50" t="s">
        <v>544</v>
      </c>
      <c r="I1092" s="51">
        <v>1714</v>
      </c>
      <c r="J1092" s="80"/>
      <c r="K10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92" s="48">
        <v>44831</v>
      </c>
      <c r="M1092" s="48"/>
      <c r="N1092" s="49"/>
      <c r="O1092" s="45"/>
      <c r="P1092" s="80"/>
      <c r="Q1092" s="48"/>
      <c r="R1092" s="45"/>
      <c r="S1092" s="114"/>
      <c r="T1092" s="45"/>
      <c r="U1092" s="48"/>
      <c r="V1092" s="48"/>
      <c r="W1092" s="27"/>
    </row>
    <row r="1093" spans="1:23" ht="60" hidden="1" customHeight="1" x14ac:dyDescent="0.25">
      <c r="A1093" s="45" t="str">
        <f>CONCATENATE(Tabla2[[#This Row],[id_solicitud]],Tabla2[[#This Row],[tipo]])</f>
        <v>415Decreto</v>
      </c>
      <c r="B1093" s="45">
        <f>COUNTIF($A$2:A1093,A1093)</f>
        <v>1</v>
      </c>
      <c r="C1093" s="45" t="str">
        <f>Tabla2[[#This Row],[(id_solicitud-tipo_documento)]]&amp;B1093</f>
        <v>415Decreto1</v>
      </c>
      <c r="D1093" s="45">
        <v>1095</v>
      </c>
      <c r="E1093" s="45">
        <v>415</v>
      </c>
      <c r="F1093" s="45" t="s">
        <v>47</v>
      </c>
      <c r="G1093" s="45" t="s">
        <v>60</v>
      </c>
      <c r="H1093" s="50" t="s">
        <v>8</v>
      </c>
      <c r="I1093" s="51">
        <v>1715</v>
      </c>
      <c r="J1093" s="80"/>
      <c r="K10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1715 DA</v>
      </c>
      <c r="L1093" s="48">
        <v>44846</v>
      </c>
      <c r="M1093" s="48"/>
      <c r="N1093" s="49">
        <f>E1093</f>
        <v>415</v>
      </c>
      <c r="O1093" s="45"/>
      <c r="P1093" s="80"/>
      <c r="Q1093" s="48"/>
      <c r="R1093" s="45"/>
      <c r="S1093" s="115">
        <v>1030</v>
      </c>
      <c r="T1093" s="20">
        <v>44839</v>
      </c>
      <c r="U1093" s="20">
        <v>44852</v>
      </c>
      <c r="V1093" s="20">
        <v>44852</v>
      </c>
      <c r="W1093" s="27"/>
    </row>
    <row r="1094" spans="1:23" ht="60" hidden="1" customHeight="1" x14ac:dyDescent="0.25">
      <c r="A1094" s="45" t="str">
        <f>CONCATENATE(Tabla2[[#This Row],[id_solicitud]],Tabla2[[#This Row],[tipo]])</f>
        <v>461Oficio_Solicitud</v>
      </c>
      <c r="B1094" s="45">
        <f>COUNTIF($A$2:A1094,A1094)</f>
        <v>1</v>
      </c>
      <c r="C1094" s="45" t="str">
        <f>Tabla2[[#This Row],[(id_solicitud-tipo_documento)]]&amp;B1094</f>
        <v>461Oficio_Solicitud1</v>
      </c>
      <c r="D1094" s="45">
        <v>1096</v>
      </c>
      <c r="E1094" s="45">
        <v>461</v>
      </c>
      <c r="F1094" s="45" t="s">
        <v>53</v>
      </c>
      <c r="G1094" s="45" t="s">
        <v>60</v>
      </c>
      <c r="H1094" s="50" t="s">
        <v>26</v>
      </c>
      <c r="I1094" s="51">
        <v>7638</v>
      </c>
      <c r="J1094" s="80"/>
      <c r="K10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7638 DV</v>
      </c>
      <c r="L1094" s="48">
        <v>44778</v>
      </c>
      <c r="M1094" s="48">
        <v>44781</v>
      </c>
      <c r="N1094" s="49" t="s">
        <v>1020</v>
      </c>
      <c r="O1094" s="45">
        <f>269+12</f>
        <v>281</v>
      </c>
      <c r="P1094" s="80" t="s">
        <v>494</v>
      </c>
      <c r="Q1094" s="48">
        <v>44795</v>
      </c>
      <c r="R1094" s="45"/>
      <c r="S1094" s="114"/>
      <c r="T1094" s="52"/>
      <c r="U1094" s="48"/>
      <c r="V1094" s="48"/>
      <c r="W1094" s="27"/>
    </row>
    <row r="1095" spans="1:23" ht="60" hidden="1" customHeight="1" x14ac:dyDescent="0.25">
      <c r="A1095" s="45" t="str">
        <f>CONCATENATE(Tabla2[[#This Row],[id_solicitud]],Tabla2[[#This Row],[tipo]])</f>
        <v>334Decreto</v>
      </c>
      <c r="B1095" s="45">
        <f>COUNTIF($A$2:A1095,A1095)</f>
        <v>1</v>
      </c>
      <c r="C1095" s="45" t="str">
        <f>Tabla2[[#This Row],[(id_solicitud-tipo_documento)]]&amp;B1095</f>
        <v>334Decreto1</v>
      </c>
      <c r="D1095" s="45">
        <v>1097</v>
      </c>
      <c r="E1095" s="45">
        <v>334</v>
      </c>
      <c r="F1095" s="45" t="s">
        <v>47</v>
      </c>
      <c r="G1095" s="45" t="s">
        <v>60</v>
      </c>
      <c r="H1095" s="50" t="s">
        <v>538</v>
      </c>
      <c r="I1095" s="51">
        <v>1718</v>
      </c>
      <c r="J1095" s="80"/>
      <c r="K10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1718 DV_FETCovid19</v>
      </c>
      <c r="L1095" s="48">
        <v>44846</v>
      </c>
      <c r="M1095" s="48"/>
      <c r="N1095" s="49" t="s">
        <v>923</v>
      </c>
      <c r="O1095" s="45"/>
      <c r="P1095" s="80"/>
      <c r="Q1095" s="48"/>
      <c r="R1095" s="45"/>
      <c r="S1095" s="115">
        <v>854</v>
      </c>
      <c r="T1095" s="20">
        <v>44837</v>
      </c>
      <c r="U1095" s="20">
        <v>44855</v>
      </c>
      <c r="V1095" s="20">
        <v>44855</v>
      </c>
      <c r="W1095" s="27"/>
    </row>
    <row r="1096" spans="1:23" ht="60" hidden="1" customHeight="1" x14ac:dyDescent="0.25">
      <c r="A1096" s="45" t="str">
        <f>CONCATENATE(Tabla2[[#This Row],[id_solicitud]],Tabla2[[#This Row],[tipo]])</f>
        <v>430Resolucion</v>
      </c>
      <c r="B1096" s="45">
        <f>COUNTIF($A$2:A1096,A1096)</f>
        <v>1</v>
      </c>
      <c r="C1096" s="45" t="str">
        <f>Tabla2[[#This Row],[(id_solicitud-tipo_documento)]]&amp;B1096</f>
        <v>430Resolucion1</v>
      </c>
      <c r="D1096" s="45">
        <v>1098</v>
      </c>
      <c r="E1096" s="45">
        <v>430</v>
      </c>
      <c r="F1096" s="45" t="s">
        <v>48</v>
      </c>
      <c r="G1096" s="45"/>
      <c r="H1096" s="50" t="s">
        <v>544</v>
      </c>
      <c r="I1096" s="51">
        <v>1720</v>
      </c>
      <c r="J1096" s="80"/>
      <c r="K10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96" s="48">
        <v>44831</v>
      </c>
      <c r="M1096" s="48"/>
      <c r="N1096" s="49"/>
      <c r="O1096" s="45"/>
      <c r="P1096" s="80"/>
      <c r="Q1096" s="48"/>
      <c r="R1096" s="45"/>
      <c r="S1096" s="114"/>
      <c r="T1096" s="45"/>
      <c r="U1096" s="48"/>
      <c r="V1096" s="48"/>
      <c r="W1096" s="27"/>
    </row>
    <row r="1097" spans="1:23" ht="60" hidden="1" customHeight="1" x14ac:dyDescent="0.25">
      <c r="A1097" s="45" t="str">
        <f>CONCATENATE(Tabla2[[#This Row],[id_solicitud]],Tabla2[[#This Row],[tipo]])</f>
        <v>419Resolucion</v>
      </c>
      <c r="B1097" s="45">
        <f>COUNTIF($A$2:A1097,A1097)</f>
        <v>1</v>
      </c>
      <c r="C1097" s="45" t="str">
        <f>Tabla2[[#This Row],[(id_solicitud-tipo_documento)]]&amp;B1097</f>
        <v>419Resolucion1</v>
      </c>
      <c r="D1097" s="45">
        <v>1099</v>
      </c>
      <c r="E1097" s="45">
        <v>419</v>
      </c>
      <c r="F1097" s="45" t="s">
        <v>48</v>
      </c>
      <c r="G1097" s="45"/>
      <c r="H1097" s="50" t="s">
        <v>10</v>
      </c>
      <c r="I1097" s="51">
        <v>1721</v>
      </c>
      <c r="J1097" s="80"/>
      <c r="K10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097" s="48">
        <v>44831</v>
      </c>
      <c r="M1097" s="48"/>
      <c r="N1097" s="49"/>
      <c r="O1097" s="45"/>
      <c r="P1097" s="80"/>
      <c r="Q1097" s="48"/>
      <c r="R1097" s="45"/>
      <c r="S1097" s="114"/>
      <c r="T1097" s="45"/>
      <c r="U1097" s="48"/>
      <c r="V1097" s="48"/>
      <c r="W1097" s="27"/>
    </row>
    <row r="1098" spans="1:23" ht="60" hidden="1" customHeight="1" x14ac:dyDescent="0.25">
      <c r="A1098" s="45" t="str">
        <f>CONCATENATE(Tabla2[[#This Row],[id_solicitud]],Tabla2[[#This Row],[tipo]])</f>
        <v>392Decreto</v>
      </c>
      <c r="B1098" s="45">
        <f>COUNTIF($A$2:A1098,A1098)</f>
        <v>1</v>
      </c>
      <c r="C1098" s="45" t="str">
        <f>Tabla2[[#This Row],[(id_solicitud-tipo_documento)]]&amp;B1098</f>
        <v>392Decreto1</v>
      </c>
      <c r="D1098" s="45">
        <v>1100</v>
      </c>
      <c r="E1098" s="45">
        <v>392</v>
      </c>
      <c r="F1098" s="45" t="s">
        <v>47</v>
      </c>
      <c r="G1098" s="45" t="s">
        <v>60</v>
      </c>
      <c r="H1098" s="50" t="s">
        <v>10</v>
      </c>
      <c r="I1098" s="51">
        <v>1725</v>
      </c>
      <c r="J1098" s="80"/>
      <c r="K10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1725 DAP</v>
      </c>
      <c r="L1098" s="48">
        <v>44846</v>
      </c>
      <c r="M1098" s="48"/>
      <c r="N1098" s="49">
        <f>+E1098</f>
        <v>392</v>
      </c>
      <c r="O1098" s="45"/>
      <c r="P1098" s="80"/>
      <c r="Q1098" s="48"/>
      <c r="R1098" s="45"/>
      <c r="S1098" s="115">
        <v>931</v>
      </c>
      <c r="T1098" s="20">
        <v>44825</v>
      </c>
      <c r="U1098" s="20">
        <v>44854</v>
      </c>
      <c r="V1098" s="20">
        <v>44854</v>
      </c>
      <c r="W1098" s="27"/>
    </row>
    <row r="1099" spans="1:23" ht="60" hidden="1" customHeight="1" x14ac:dyDescent="0.25">
      <c r="A1099" s="45" t="str">
        <f>CONCATENATE(Tabla2[[#This Row],[id_solicitud]],Tabla2[[#This Row],[tipo]])</f>
        <v>428Decreto</v>
      </c>
      <c r="B1099" s="45">
        <f>COUNTIF($A$2:A1099,A1099)</f>
        <v>1</v>
      </c>
      <c r="C1099" s="45" t="str">
        <f>Tabla2[[#This Row],[(id_solicitud-tipo_documento)]]&amp;B1099</f>
        <v>428Decreto1</v>
      </c>
      <c r="D1099" s="45">
        <v>1101</v>
      </c>
      <c r="E1099" s="45">
        <v>428</v>
      </c>
      <c r="F1099" s="45" t="s">
        <v>47</v>
      </c>
      <c r="G1099" s="45" t="s">
        <v>60</v>
      </c>
      <c r="H1099" s="50" t="s">
        <v>10</v>
      </c>
      <c r="I1099" s="51">
        <v>1726</v>
      </c>
      <c r="J1099" s="80"/>
      <c r="K10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1726 DAP</v>
      </c>
      <c r="L1099" s="48">
        <v>44846</v>
      </c>
      <c r="M1099" s="48"/>
      <c r="N1099" s="49">
        <f>+E1099</f>
        <v>428</v>
      </c>
      <c r="O1099" s="45"/>
      <c r="P1099" s="80"/>
      <c r="Q1099" s="48"/>
      <c r="R1099" s="45"/>
      <c r="S1099" s="115">
        <v>1025</v>
      </c>
      <c r="T1099" s="20">
        <v>44837</v>
      </c>
      <c r="U1099" s="20">
        <v>44854</v>
      </c>
      <c r="V1099" s="20">
        <v>44854</v>
      </c>
      <c r="W1099" s="27"/>
    </row>
    <row r="1100" spans="1:23" ht="60" hidden="1" customHeight="1" x14ac:dyDescent="0.25">
      <c r="A1100" s="45" t="str">
        <f>CONCATENATE(Tabla2[[#This Row],[id_solicitud]],Tabla2[[#This Row],[tipo]])</f>
        <v>392Decreto</v>
      </c>
      <c r="B1100" s="45">
        <f>COUNTIF($A$2:A1100,A1100)</f>
        <v>2</v>
      </c>
      <c r="C1100" s="45" t="str">
        <f>Tabla2[[#This Row],[(id_solicitud-tipo_documento)]]&amp;B1100</f>
        <v>392Decreto2</v>
      </c>
      <c r="D1100" s="45">
        <v>1102</v>
      </c>
      <c r="E1100" s="45">
        <v>392</v>
      </c>
      <c r="F1100" s="45" t="s">
        <v>47</v>
      </c>
      <c r="G1100" s="45" t="s">
        <v>40</v>
      </c>
      <c r="H1100" s="50" t="s">
        <v>10</v>
      </c>
      <c r="I1100" s="51">
        <v>1728</v>
      </c>
      <c r="J1100" s="80"/>
      <c r="K11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1728 DAP</v>
      </c>
      <c r="L1100" s="48">
        <v>44846</v>
      </c>
      <c r="M1100" s="48"/>
      <c r="N1100" s="49" t="s">
        <v>994</v>
      </c>
      <c r="O1100" s="45"/>
      <c r="P1100" s="80"/>
      <c r="Q1100" s="48"/>
      <c r="R1100" s="45"/>
      <c r="S1100" s="115">
        <v>930</v>
      </c>
      <c r="T1100" s="20">
        <v>44825</v>
      </c>
      <c r="U1100" s="20">
        <v>44852</v>
      </c>
      <c r="V1100" s="20">
        <v>44852</v>
      </c>
      <c r="W1100" s="27"/>
    </row>
    <row r="1101" spans="1:23" ht="60" hidden="1" customHeight="1" x14ac:dyDescent="0.25">
      <c r="A1101" s="45" t="str">
        <f>CONCATENATE(Tabla2[[#This Row],[id_solicitud]],Tabla2[[#This Row],[tipo]])</f>
        <v>333Decreto</v>
      </c>
      <c r="B1101" s="45">
        <f>COUNTIF($A$2:A1101,A1101)</f>
        <v>1</v>
      </c>
      <c r="C1101" s="45" t="str">
        <f>Tabla2[[#This Row],[(id_solicitud-tipo_documento)]]&amp;B1101</f>
        <v>333Decreto1</v>
      </c>
      <c r="D1101" s="45">
        <v>1103</v>
      </c>
      <c r="E1101" s="45">
        <v>333</v>
      </c>
      <c r="F1101" s="45" t="s">
        <v>47</v>
      </c>
      <c r="G1101" s="45" t="s">
        <v>60</v>
      </c>
      <c r="H1101" s="50" t="s">
        <v>26</v>
      </c>
      <c r="I1101" s="51">
        <v>1733</v>
      </c>
      <c r="J1101" s="80"/>
      <c r="K11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1733 DV</v>
      </c>
      <c r="L1101" s="48">
        <v>44846</v>
      </c>
      <c r="M1101" s="48"/>
      <c r="N1101" s="49" t="s">
        <v>922</v>
      </c>
      <c r="O1101" s="45"/>
      <c r="P1101" s="80"/>
      <c r="Q1101" s="48"/>
      <c r="R1101" s="45"/>
      <c r="S1101" s="115">
        <v>856</v>
      </c>
      <c r="T1101" s="20">
        <v>44837</v>
      </c>
      <c r="U1101" s="20">
        <v>44853</v>
      </c>
      <c r="V1101" s="20">
        <v>44853</v>
      </c>
      <c r="W1101" s="27"/>
    </row>
    <row r="1102" spans="1:23" ht="60" hidden="1" customHeight="1" x14ac:dyDescent="0.25">
      <c r="A1102" s="45" t="str">
        <f>CONCATENATE(Tabla2[[#This Row],[id_solicitud]],Tabla2[[#This Row],[tipo]])</f>
        <v>350Resolucion</v>
      </c>
      <c r="B1102" s="45">
        <f>COUNTIF($A$2:A1102,A1102)</f>
        <v>1</v>
      </c>
      <c r="C1102" s="45" t="str">
        <f>Tabla2[[#This Row],[(id_solicitud-tipo_documento)]]&amp;B1102</f>
        <v>350Resolucion1</v>
      </c>
      <c r="D1102" s="45">
        <v>1104</v>
      </c>
      <c r="E1102" s="45">
        <v>350</v>
      </c>
      <c r="F1102" s="45" t="s">
        <v>48</v>
      </c>
      <c r="G1102" s="45"/>
      <c r="H1102" s="50" t="s">
        <v>10</v>
      </c>
      <c r="I1102" s="51">
        <v>1736</v>
      </c>
      <c r="J1102" s="80"/>
      <c r="K11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02" s="48">
        <v>44834</v>
      </c>
      <c r="M1102" s="48"/>
      <c r="N1102" s="49"/>
      <c r="O1102" s="45"/>
      <c r="P1102" s="80"/>
      <c r="Q1102" s="48"/>
      <c r="R1102" s="45"/>
      <c r="S1102" s="114"/>
      <c r="T1102" s="45"/>
      <c r="U1102" s="48"/>
      <c r="V1102" s="48"/>
      <c r="W1102" s="27"/>
    </row>
    <row r="1103" spans="1:23" ht="60" hidden="1" customHeight="1" x14ac:dyDescent="0.25">
      <c r="A1103" s="45" t="str">
        <f>CONCATENATE(Tabla2[[#This Row],[id_solicitud]],Tabla2[[#This Row],[tipo]])</f>
        <v>348Decreto</v>
      </c>
      <c r="B1103" s="45">
        <f>COUNTIF($A$2:A1103,A1103)</f>
        <v>1</v>
      </c>
      <c r="C1103" s="45" t="str">
        <f>Tabla2[[#This Row],[(id_solicitud-tipo_documento)]]&amp;B1103</f>
        <v>348Decreto1</v>
      </c>
      <c r="D1103" s="45">
        <v>1105</v>
      </c>
      <c r="E1103" s="45">
        <v>348</v>
      </c>
      <c r="F1103" s="45" t="s">
        <v>47</v>
      </c>
      <c r="G1103" s="45" t="s">
        <v>61</v>
      </c>
      <c r="H1103" s="50" t="s">
        <v>6</v>
      </c>
      <c r="I1103" s="51">
        <v>1742</v>
      </c>
      <c r="J1103" s="80"/>
      <c r="K11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1742 APR</v>
      </c>
      <c r="L1103" s="48">
        <v>44846</v>
      </c>
      <c r="M1103" s="48"/>
      <c r="N1103" s="49" t="s">
        <v>931</v>
      </c>
      <c r="O1103" s="45"/>
      <c r="P1103" s="80"/>
      <c r="Q1103" s="48"/>
      <c r="R1103" s="45"/>
      <c r="S1103" s="115">
        <v>870</v>
      </c>
      <c r="T1103" s="20">
        <v>44824</v>
      </c>
      <c r="U1103" s="20">
        <v>44861</v>
      </c>
      <c r="V1103" s="20">
        <v>44861</v>
      </c>
      <c r="W1103" s="27"/>
    </row>
    <row r="1104" spans="1:23" ht="60" hidden="1" customHeight="1" x14ac:dyDescent="0.25">
      <c r="A1104" s="45" t="str">
        <f>CONCATENATE(Tabla2[[#This Row],[id_solicitud]],Tabla2[[#This Row],[tipo]])</f>
        <v>310Oficio_Solicitud</v>
      </c>
      <c r="B1104" s="45">
        <f>COUNTIF($A$2:A1104,A1104)</f>
        <v>1</v>
      </c>
      <c r="C1104" s="45" t="str">
        <f>Tabla2[[#This Row],[(id_solicitud-tipo_documento)]]&amp;B1104</f>
        <v>310Oficio_Solicitud1</v>
      </c>
      <c r="D1104" s="45">
        <v>1106</v>
      </c>
      <c r="E1104" s="45">
        <v>310</v>
      </c>
      <c r="F1104" s="45" t="s">
        <v>53</v>
      </c>
      <c r="G1104" s="45"/>
      <c r="H1104" s="50" t="s">
        <v>6</v>
      </c>
      <c r="I1104" s="51">
        <v>1751</v>
      </c>
      <c r="J1104" s="80"/>
      <c r="K11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1751 APR</v>
      </c>
      <c r="L1104" s="48">
        <v>44763</v>
      </c>
      <c r="M1104" s="48">
        <v>44764</v>
      </c>
      <c r="N1104" s="49" t="s">
        <v>322</v>
      </c>
      <c r="O1104" s="45">
        <v>19</v>
      </c>
      <c r="P1104" s="80" t="s">
        <v>494</v>
      </c>
      <c r="Q1104" s="48">
        <v>44774</v>
      </c>
      <c r="R1104" s="45"/>
      <c r="S1104" s="114"/>
      <c r="T1104" s="52"/>
      <c r="U1104" s="48"/>
      <c r="V1104" s="48"/>
      <c r="W1104" s="27"/>
    </row>
    <row r="1105" spans="1:23" ht="60" hidden="1" customHeight="1" x14ac:dyDescent="0.25">
      <c r="A1105" s="45" t="str">
        <f>CONCATENATE(Tabla2[[#This Row],[id_solicitud]],Tabla2[[#This Row],[tipo]])</f>
        <v>309Oficio_Solicitud</v>
      </c>
      <c r="B1105" s="45">
        <f>COUNTIF($A$2:A1105,A1105)</f>
        <v>1</v>
      </c>
      <c r="C1105" s="45" t="str">
        <f>Tabla2[[#This Row],[(id_solicitud-tipo_documento)]]&amp;B1105</f>
        <v>309Oficio_Solicitud1</v>
      </c>
      <c r="D1105" s="45">
        <v>1107</v>
      </c>
      <c r="E1105" s="45">
        <v>309</v>
      </c>
      <c r="F1105" s="45" t="s">
        <v>53</v>
      </c>
      <c r="G1105" s="45" t="s">
        <v>1258</v>
      </c>
      <c r="H1105" s="50" t="s">
        <v>20</v>
      </c>
      <c r="I1105" s="51">
        <v>1752</v>
      </c>
      <c r="J1105" s="80"/>
      <c r="K11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1752 DOH</v>
      </c>
      <c r="L1105" s="48">
        <v>44763</v>
      </c>
      <c r="M1105" s="48">
        <v>44764</v>
      </c>
      <c r="N1105" s="49" t="s">
        <v>321</v>
      </c>
      <c r="O1105" s="45">
        <v>1</v>
      </c>
      <c r="P1105" s="80" t="s">
        <v>494</v>
      </c>
      <c r="Q1105" s="48"/>
      <c r="R1105" s="45"/>
      <c r="S1105" s="114"/>
      <c r="T1105" s="52"/>
      <c r="U1105" s="48"/>
      <c r="V1105" s="48"/>
      <c r="W1105" s="27"/>
    </row>
    <row r="1106" spans="1:23" ht="60" hidden="1" customHeight="1" x14ac:dyDescent="0.25">
      <c r="A1106" s="45" t="str">
        <f>CONCATENATE(Tabla2[[#This Row],[id_solicitud]],Tabla2[[#This Row],[tipo]])</f>
        <v>311Oficio_Solicitud</v>
      </c>
      <c r="B1106" s="45">
        <f>COUNTIF($A$2:A1106,A1106)</f>
        <v>1</v>
      </c>
      <c r="C1106" s="45" t="str">
        <f>Tabla2[[#This Row],[(id_solicitud-tipo_documento)]]&amp;B1106</f>
        <v>311Oficio_Solicitud1</v>
      </c>
      <c r="D1106" s="45">
        <v>1108</v>
      </c>
      <c r="E1106" s="45">
        <v>311</v>
      </c>
      <c r="F1106" s="45" t="s">
        <v>53</v>
      </c>
      <c r="G1106" s="45" t="s">
        <v>1258</v>
      </c>
      <c r="H1106" s="50" t="s">
        <v>20</v>
      </c>
      <c r="I1106" s="51">
        <v>1780</v>
      </c>
      <c r="J1106" s="80"/>
      <c r="K11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1780 DOH</v>
      </c>
      <c r="L1106" s="48">
        <v>44767</v>
      </c>
      <c r="M1106" s="48">
        <v>44768</v>
      </c>
      <c r="N1106" s="49" t="s">
        <v>323</v>
      </c>
      <c r="O1106" s="45">
        <v>1</v>
      </c>
      <c r="P1106" s="80" t="s">
        <v>494</v>
      </c>
      <c r="Q1106" s="48"/>
      <c r="R1106" s="45"/>
      <c r="S1106" s="114"/>
      <c r="T1106" s="52"/>
      <c r="U1106" s="48"/>
      <c r="V1106" s="48"/>
      <c r="W1106" s="27"/>
    </row>
    <row r="1107" spans="1:23" ht="60" hidden="1" customHeight="1" x14ac:dyDescent="0.25">
      <c r="A1107" s="45" t="str">
        <f>CONCATENATE(Tabla2[[#This Row],[id_solicitud]],Tabla2[[#This Row],[tipo]])</f>
        <v>346Decreto</v>
      </c>
      <c r="B1107" s="45">
        <f>COUNTIF($A$2:A1107,A1107)</f>
        <v>1</v>
      </c>
      <c r="C1107" s="45" t="str">
        <f>Tabla2[[#This Row],[(id_solicitud-tipo_documento)]]&amp;B1107</f>
        <v>346Decreto1</v>
      </c>
      <c r="D1107" s="45">
        <v>1109</v>
      </c>
      <c r="E1107" s="45">
        <v>346</v>
      </c>
      <c r="F1107" s="45" t="s">
        <v>47</v>
      </c>
      <c r="G1107" s="45" t="s">
        <v>42</v>
      </c>
      <c r="H1107" s="50" t="s">
        <v>592</v>
      </c>
      <c r="I1107" s="51">
        <v>1751</v>
      </c>
      <c r="J1107" s="80"/>
      <c r="K11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1751 SOP-DGC</v>
      </c>
      <c r="L1107" s="48">
        <v>44855</v>
      </c>
      <c r="M1107" s="48"/>
      <c r="N1107" s="49" t="s">
        <v>929</v>
      </c>
      <c r="O1107" s="45"/>
      <c r="P1107" s="80"/>
      <c r="Q1107" s="48"/>
      <c r="R1107" s="45"/>
      <c r="S1107" s="115">
        <v>733</v>
      </c>
      <c r="T1107" s="20">
        <v>44812</v>
      </c>
      <c r="U1107" s="20">
        <v>44868</v>
      </c>
      <c r="V1107" s="20">
        <v>44868</v>
      </c>
      <c r="W1107" s="27"/>
    </row>
    <row r="1108" spans="1:23" ht="60" hidden="1" customHeight="1" x14ac:dyDescent="0.25">
      <c r="A1108" s="45" t="str">
        <f>CONCATENATE(Tabla2[[#This Row],[id_solicitud]],Tabla2[[#This Row],[tipo]])</f>
        <v>330Oficio_Solicitud</v>
      </c>
      <c r="B1108" s="45">
        <f>COUNTIF($A$2:A1108,A1108)</f>
        <v>1</v>
      </c>
      <c r="C1108" s="45" t="str">
        <f>Tabla2[[#This Row],[(id_solicitud-tipo_documento)]]&amp;B1108</f>
        <v>330Oficio_Solicitud1</v>
      </c>
      <c r="D1108" s="45">
        <v>1110</v>
      </c>
      <c r="E1108" s="45">
        <v>330</v>
      </c>
      <c r="F1108" s="45" t="s">
        <v>53</v>
      </c>
      <c r="G1108" s="45" t="s">
        <v>40</v>
      </c>
      <c r="H1108" s="50" t="s">
        <v>20</v>
      </c>
      <c r="I1108" s="51">
        <v>1899</v>
      </c>
      <c r="J1108" s="80"/>
      <c r="K11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1899 DOH</v>
      </c>
      <c r="L1108" s="48">
        <v>44776</v>
      </c>
      <c r="M1108" s="48">
        <v>44777</v>
      </c>
      <c r="N1108" s="49" t="s">
        <v>340</v>
      </c>
      <c r="O1108" s="45">
        <f>2+5+57</f>
        <v>64</v>
      </c>
      <c r="P1108" s="80" t="s">
        <v>521</v>
      </c>
      <c r="Q1108" s="48">
        <v>44784</v>
      </c>
      <c r="R1108" s="45"/>
      <c r="S1108" s="114"/>
      <c r="T1108" s="52"/>
      <c r="U1108" s="48"/>
      <c r="V1108" s="48"/>
      <c r="W1108" s="27"/>
    </row>
    <row r="1109" spans="1:23" ht="60" hidden="1" customHeight="1" x14ac:dyDescent="0.25">
      <c r="A1109" s="45" t="str">
        <f>CONCATENATE(Tabla2[[#This Row],[id_solicitud]],Tabla2[[#This Row],[tipo]])</f>
        <v>420Decreto</v>
      </c>
      <c r="B1109" s="45">
        <f>COUNTIF($A$2:A1109,A1109)</f>
        <v>1</v>
      </c>
      <c r="C1109" s="45" t="str">
        <f>Tabla2[[#This Row],[(id_solicitud-tipo_documento)]]&amp;B1109</f>
        <v>420Decreto1</v>
      </c>
      <c r="D1109" s="45">
        <v>1111</v>
      </c>
      <c r="E1109" s="45">
        <v>420</v>
      </c>
      <c r="F1109" s="45" t="s">
        <v>47</v>
      </c>
      <c r="G1109" s="45" t="s">
        <v>60</v>
      </c>
      <c r="H1109" s="50" t="s">
        <v>16</v>
      </c>
      <c r="I1109" s="51">
        <v>1754</v>
      </c>
      <c r="J1109" s="80"/>
      <c r="K11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1754 DGC</v>
      </c>
      <c r="L1109" s="48">
        <v>44855</v>
      </c>
      <c r="M1109" s="48"/>
      <c r="N1109" s="49" t="s">
        <v>976</v>
      </c>
      <c r="O1109" s="45"/>
      <c r="P1109" s="80"/>
      <c r="Q1109" s="48"/>
      <c r="R1109" s="45"/>
      <c r="S1109" s="115">
        <v>1070</v>
      </c>
      <c r="T1109" s="20">
        <v>44841</v>
      </c>
      <c r="U1109" s="20">
        <v>44859</v>
      </c>
      <c r="V1109" s="20">
        <v>44859</v>
      </c>
      <c r="W1109" s="27"/>
    </row>
    <row r="1110" spans="1:23" ht="60" hidden="1" customHeight="1" x14ac:dyDescent="0.25">
      <c r="A1110" s="45" t="str">
        <f>CONCATENATE(Tabla2[[#This Row],[id_solicitud]],Tabla2[[#This Row],[tipo]])</f>
        <v>294Resolucion</v>
      </c>
      <c r="B1110" s="45">
        <f>COUNTIF($A$2:A1110,A1110)</f>
        <v>1</v>
      </c>
      <c r="C1110" s="45" t="str">
        <f>Tabla2[[#This Row],[(id_solicitud-tipo_documento)]]&amp;B1110</f>
        <v>294Resolucion1</v>
      </c>
      <c r="D1110" s="45">
        <v>1112</v>
      </c>
      <c r="E1110" s="45">
        <v>294</v>
      </c>
      <c r="F1110" s="45" t="s">
        <v>48</v>
      </c>
      <c r="G1110" s="45"/>
      <c r="H1110" s="50" t="s">
        <v>565</v>
      </c>
      <c r="I1110" s="51">
        <v>1757</v>
      </c>
      <c r="J1110" s="80"/>
      <c r="K11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10" s="48">
        <v>44771</v>
      </c>
      <c r="M1110" s="48"/>
      <c r="N1110" s="49"/>
      <c r="O1110" s="45"/>
      <c r="P1110" s="80"/>
      <c r="Q1110" s="48"/>
      <c r="R1110" s="45"/>
      <c r="S1110" s="114"/>
      <c r="T1110" s="45"/>
      <c r="U1110" s="48"/>
      <c r="V1110" s="48"/>
      <c r="W1110" s="27"/>
    </row>
    <row r="1111" spans="1:23" ht="60" hidden="1" customHeight="1" x14ac:dyDescent="0.25">
      <c r="A1111" s="45" t="str">
        <f>CONCATENATE(Tabla2[[#This Row],[id_solicitud]],Tabla2[[#This Row],[tipo]])</f>
        <v>497Decreto</v>
      </c>
      <c r="B1111" s="45">
        <f>COUNTIF($A$2:A1111,A1111)</f>
        <v>1</v>
      </c>
      <c r="C1111" s="45" t="str">
        <f>Tabla2[[#This Row],[(id_solicitud-tipo_documento)]]&amp;B1111</f>
        <v>497Decreto1</v>
      </c>
      <c r="D1111" s="45">
        <v>1113</v>
      </c>
      <c r="E1111" s="45">
        <v>497</v>
      </c>
      <c r="F1111" s="45" t="s">
        <v>47</v>
      </c>
      <c r="G1111" s="45" t="s">
        <v>40</v>
      </c>
      <c r="H1111" s="50" t="s">
        <v>606</v>
      </c>
      <c r="I1111" s="51">
        <v>1757</v>
      </c>
      <c r="J1111" s="80"/>
      <c r="K11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1757 DGC-DOH-APR</v>
      </c>
      <c r="L1111" s="48">
        <v>44855</v>
      </c>
      <c r="M1111" s="48"/>
      <c r="N1111" s="49">
        <f>E1111</f>
        <v>497</v>
      </c>
      <c r="O1111" s="45"/>
      <c r="P1111" s="80"/>
      <c r="Q1111" s="48"/>
      <c r="R1111" s="45"/>
      <c r="S1111" s="115">
        <v>1069</v>
      </c>
      <c r="T1111" s="20">
        <v>44841</v>
      </c>
      <c r="U1111" s="20">
        <v>44860</v>
      </c>
      <c r="V1111" s="20">
        <v>44860</v>
      </c>
      <c r="W1111" s="27"/>
    </row>
    <row r="1112" spans="1:23" ht="60" hidden="1" customHeight="1" x14ac:dyDescent="0.25">
      <c r="A1112" s="45" t="str">
        <f>CONCATENATE(Tabla2[[#This Row],[id_solicitud]],Tabla2[[#This Row],[tipo]])</f>
        <v>230Resolucion</v>
      </c>
      <c r="B1112" s="45">
        <f>COUNTIF($A$2:A1112,A1112)</f>
        <v>1</v>
      </c>
      <c r="C1112" s="45" t="str">
        <f>Tabla2[[#This Row],[(id_solicitud-tipo_documento)]]&amp;B1112</f>
        <v>230Resolucion1</v>
      </c>
      <c r="D1112" s="45">
        <v>1114</v>
      </c>
      <c r="E1112" s="45">
        <v>230</v>
      </c>
      <c r="F1112" s="45" t="s">
        <v>48</v>
      </c>
      <c r="G1112" s="45"/>
      <c r="H1112" s="50" t="s">
        <v>538</v>
      </c>
      <c r="I1112" s="51">
        <v>1758</v>
      </c>
      <c r="J1112" s="80"/>
      <c r="K11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12" s="48">
        <v>44753</v>
      </c>
      <c r="M1112" s="48"/>
      <c r="N1112" s="49"/>
      <c r="O1112" s="45"/>
      <c r="P1112" s="80"/>
      <c r="Q1112" s="48"/>
      <c r="R1112" s="45"/>
      <c r="S1112" s="114"/>
      <c r="T1112" s="45"/>
      <c r="U1112" s="48"/>
      <c r="V1112" s="48"/>
      <c r="W1112" s="27"/>
    </row>
    <row r="1113" spans="1:23" ht="60" hidden="1" customHeight="1" x14ac:dyDescent="0.25">
      <c r="A1113" s="45" t="str">
        <f>CONCATENATE(Tabla2[[#This Row],[id_solicitud]],Tabla2[[#This Row],[tipo]])</f>
        <v>80Resolucion</v>
      </c>
      <c r="B1113" s="45">
        <f>COUNTIF($A$2:A1113,A1113)</f>
        <v>1</v>
      </c>
      <c r="C1113" s="45" t="str">
        <f>Tabla2[[#This Row],[(id_solicitud-tipo_documento)]]&amp;B1113</f>
        <v>80Resolucion1</v>
      </c>
      <c r="D1113" s="45">
        <v>1115</v>
      </c>
      <c r="E1113" s="45">
        <v>80</v>
      </c>
      <c r="F1113" s="45" t="s">
        <v>48</v>
      </c>
      <c r="G1113" s="45"/>
      <c r="H1113" s="50" t="s">
        <v>20</v>
      </c>
      <c r="I1113" s="51">
        <v>1760</v>
      </c>
      <c r="J1113" s="80"/>
      <c r="K11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13" s="48">
        <v>44690</v>
      </c>
      <c r="M1113" s="48"/>
      <c r="N1113" s="49"/>
      <c r="O1113" s="45"/>
      <c r="P1113" s="80"/>
      <c r="Q1113" s="48"/>
      <c r="R1113" s="45"/>
      <c r="S1113" s="114"/>
      <c r="T1113" s="45"/>
      <c r="U1113" s="48"/>
      <c r="V1113" s="48"/>
      <c r="W1113" s="27"/>
    </row>
    <row r="1114" spans="1:23" ht="60" hidden="1" customHeight="1" x14ac:dyDescent="0.25">
      <c r="A1114" s="45" t="str">
        <f>CONCATENATE(Tabla2[[#This Row],[id_solicitud]],Tabla2[[#This Row],[tipo]])</f>
        <v>383Decreto</v>
      </c>
      <c r="B1114" s="45">
        <f>COUNTIF($A$2:A1114,A1114)</f>
        <v>1</v>
      </c>
      <c r="C1114" s="45" t="str">
        <f>Tabla2[[#This Row],[(id_solicitud-tipo_documento)]]&amp;B1114</f>
        <v>383Decreto1</v>
      </c>
      <c r="D1114" s="45">
        <v>1116</v>
      </c>
      <c r="E1114" s="45">
        <v>383</v>
      </c>
      <c r="F1114" s="45" t="s">
        <v>47</v>
      </c>
      <c r="G1114" s="45" t="s">
        <v>60</v>
      </c>
      <c r="H1114" s="50" t="s">
        <v>26</v>
      </c>
      <c r="I1114" s="51">
        <v>1761</v>
      </c>
      <c r="J1114" s="80"/>
      <c r="K11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1761 DV</v>
      </c>
      <c r="L1114" s="48">
        <v>44855</v>
      </c>
      <c r="M1114" s="48"/>
      <c r="N1114" s="49" t="s">
        <v>955</v>
      </c>
      <c r="O1114" s="45"/>
      <c r="P1114" s="80"/>
      <c r="Q1114" s="48"/>
      <c r="R1114" s="45"/>
      <c r="S1114" s="115">
        <v>1078</v>
      </c>
      <c r="T1114" s="20">
        <v>44841</v>
      </c>
      <c r="U1114" s="20">
        <v>44867</v>
      </c>
      <c r="V1114" s="20">
        <v>44867</v>
      </c>
      <c r="W1114" s="27"/>
    </row>
    <row r="1115" spans="1:23" ht="60" hidden="1" customHeight="1" x14ac:dyDescent="0.25">
      <c r="A1115" s="45" t="str">
        <f>CONCATENATE(Tabla2[[#This Row],[id_solicitud]],Tabla2[[#This Row],[tipo]])</f>
        <v>336Oficio_Solicitud</v>
      </c>
      <c r="B1115" s="45">
        <f>COUNTIF($A$2:A1115,A1115)</f>
        <v>1</v>
      </c>
      <c r="C1115" s="45" t="str">
        <f>Tabla2[[#This Row],[(id_solicitud-tipo_documento)]]&amp;B1115</f>
        <v>336Oficio_Solicitud1</v>
      </c>
      <c r="D1115" s="45">
        <v>1117</v>
      </c>
      <c r="E1115" s="45">
        <v>336</v>
      </c>
      <c r="F1115" s="45" t="s">
        <v>53</v>
      </c>
      <c r="G1115" s="45" t="s">
        <v>1258</v>
      </c>
      <c r="H1115" s="50" t="s">
        <v>20</v>
      </c>
      <c r="I1115" s="51">
        <v>1919</v>
      </c>
      <c r="J1115" s="80"/>
      <c r="K11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1919 DOH</v>
      </c>
      <c r="L1115" s="48">
        <v>44778</v>
      </c>
      <c r="M1115" s="48">
        <v>44781</v>
      </c>
      <c r="N1115" s="49" t="s">
        <v>346</v>
      </c>
      <c r="O1115" s="45">
        <v>4</v>
      </c>
      <c r="P1115" s="80" t="s">
        <v>494</v>
      </c>
      <c r="Q1115" s="48">
        <v>44783</v>
      </c>
      <c r="R1115" s="45"/>
      <c r="S1115" s="114"/>
      <c r="T1115" s="52"/>
      <c r="U1115" s="48"/>
      <c r="V1115" s="48"/>
      <c r="W1115" s="27"/>
    </row>
    <row r="1116" spans="1:23" ht="60" hidden="1" customHeight="1" x14ac:dyDescent="0.25">
      <c r="A1116" s="45" t="str">
        <f>CONCATENATE(Tabla2[[#This Row],[id_solicitud]],Tabla2[[#This Row],[tipo]])</f>
        <v>275Decreto</v>
      </c>
      <c r="B1116" s="45">
        <f>COUNTIF($A$2:A1116,A1116)</f>
        <v>1</v>
      </c>
      <c r="C1116" s="45" t="str">
        <f>Tabla2[[#This Row],[(id_solicitud-tipo_documento)]]&amp;B1116</f>
        <v>275Decreto1</v>
      </c>
      <c r="D1116" s="45">
        <v>1118</v>
      </c>
      <c r="E1116" s="45">
        <v>275</v>
      </c>
      <c r="F1116" s="45" t="s">
        <v>47</v>
      </c>
      <c r="G1116" s="45" t="s">
        <v>60</v>
      </c>
      <c r="H1116" s="50" t="s">
        <v>26</v>
      </c>
      <c r="I1116" s="51">
        <v>1786</v>
      </c>
      <c r="J1116" s="80"/>
      <c r="K11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1786 DV</v>
      </c>
      <c r="L1116" s="48">
        <v>44760</v>
      </c>
      <c r="M1116" s="48"/>
      <c r="N1116" s="49" t="s">
        <v>895</v>
      </c>
      <c r="O1116" s="45"/>
      <c r="P1116" s="80"/>
      <c r="Q1116" s="48"/>
      <c r="R1116" s="45"/>
      <c r="S1116" s="115">
        <v>559</v>
      </c>
      <c r="T1116" s="20">
        <v>44755</v>
      </c>
      <c r="U1116" s="20"/>
      <c r="V1116" s="20"/>
      <c r="W1116" s="27"/>
    </row>
    <row r="1117" spans="1:23" ht="60" customHeight="1" x14ac:dyDescent="0.25">
      <c r="A1117" s="45" t="str">
        <f>CONCATENATE(Tabla2[[#This Row],[id_solicitud]],Tabla2[[#This Row],[tipo]])</f>
        <v>403Resolucion</v>
      </c>
      <c r="B1117" s="45">
        <f>COUNTIF($A$2:A1117,A1117)</f>
        <v>1</v>
      </c>
      <c r="C1117" s="45" t="str">
        <f>Tabla2[[#This Row],[(id_solicitud-tipo_documento)]]&amp;B1117</f>
        <v>403Resolucion1</v>
      </c>
      <c r="D1117" s="45">
        <v>1078</v>
      </c>
      <c r="E1117" s="45">
        <v>403</v>
      </c>
      <c r="F1117" s="45" t="s">
        <v>48</v>
      </c>
      <c r="G1117" s="45"/>
      <c r="H1117" s="50" t="s">
        <v>10</v>
      </c>
      <c r="I1117" s="51">
        <v>1619</v>
      </c>
      <c r="J1117" s="80"/>
      <c r="K11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17" s="48">
        <v>44816</v>
      </c>
      <c r="M1117" s="48"/>
      <c r="N1117" s="49"/>
      <c r="O1117" s="45"/>
      <c r="P1117" s="80"/>
      <c r="Q1117" s="48"/>
      <c r="R1117" s="45"/>
      <c r="S1117" s="114"/>
      <c r="T1117" s="45"/>
      <c r="U1117" s="48"/>
      <c r="V1117" s="48"/>
      <c r="W1117" s="27"/>
    </row>
    <row r="1118" spans="1:23" ht="60" hidden="1" customHeight="1" x14ac:dyDescent="0.25">
      <c r="A1118" s="45" t="str">
        <f>CONCATENATE(Tabla2[[#This Row],[id_solicitud]],Tabla2[[#This Row],[tipo]])</f>
        <v>439Decreto</v>
      </c>
      <c r="B1118" s="45">
        <f>COUNTIF($A$2:A1118,A1118)</f>
        <v>1</v>
      </c>
      <c r="C1118" s="45" t="str">
        <f>Tabla2[[#This Row],[(id_solicitud-tipo_documento)]]&amp;B1118</f>
        <v>439Decreto1</v>
      </c>
      <c r="D1118" s="45">
        <v>1120</v>
      </c>
      <c r="E1118" s="45">
        <v>439</v>
      </c>
      <c r="F1118" s="45" t="s">
        <v>47</v>
      </c>
      <c r="G1118" s="45" t="s">
        <v>60</v>
      </c>
      <c r="H1118" s="50" t="s">
        <v>8</v>
      </c>
      <c r="I1118" s="51">
        <v>1799</v>
      </c>
      <c r="J1118" s="80"/>
      <c r="K11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1799 DA</v>
      </c>
      <c r="L1118" s="48">
        <v>44867</v>
      </c>
      <c r="M1118" s="48"/>
      <c r="N1118" s="49">
        <f>E1118</f>
        <v>439</v>
      </c>
      <c r="O1118" s="45"/>
      <c r="P1118" s="80"/>
      <c r="Q1118" s="48"/>
      <c r="R1118" s="45"/>
      <c r="S1118" s="115">
        <v>1089</v>
      </c>
      <c r="T1118" s="20">
        <v>44846</v>
      </c>
      <c r="U1118" s="20">
        <v>44873</v>
      </c>
      <c r="V1118" s="20">
        <v>44873</v>
      </c>
      <c r="W1118" s="27"/>
    </row>
    <row r="1119" spans="1:23" ht="60" hidden="1" customHeight="1" x14ac:dyDescent="0.25">
      <c r="A1119" s="45" t="str">
        <f>CONCATENATE(Tabla2[[#This Row],[id_solicitud]],Tabla2[[#This Row],[tipo]])</f>
        <v>524Decreto</v>
      </c>
      <c r="B1119" s="45">
        <f>COUNTIF($A$2:A1119,A1119)</f>
        <v>1</v>
      </c>
      <c r="C1119" s="45" t="str">
        <f>Tabla2[[#This Row],[(id_solicitud-tipo_documento)]]&amp;B1119</f>
        <v>524Decreto1</v>
      </c>
      <c r="D1119" s="45">
        <v>1121</v>
      </c>
      <c r="E1119" s="45">
        <v>524</v>
      </c>
      <c r="F1119" s="45" t="s">
        <v>47</v>
      </c>
      <c r="G1119" s="45" t="s">
        <v>40</v>
      </c>
      <c r="H1119" s="50" t="s">
        <v>8</v>
      </c>
      <c r="I1119" s="51">
        <v>1801</v>
      </c>
      <c r="J1119" s="80"/>
      <c r="K11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1801 DA</v>
      </c>
      <c r="L1119" s="48">
        <v>44867</v>
      </c>
      <c r="M1119" s="48"/>
      <c r="N1119" s="49" t="s">
        <v>1002</v>
      </c>
      <c r="O1119" s="45"/>
      <c r="P1119" s="80"/>
      <c r="Q1119" s="48"/>
      <c r="R1119" s="45"/>
      <c r="S1119" s="115">
        <v>1093</v>
      </c>
      <c r="T1119" s="20">
        <v>44846</v>
      </c>
      <c r="U1119" s="20">
        <v>44873</v>
      </c>
      <c r="V1119" s="20">
        <v>44873</v>
      </c>
      <c r="W1119" s="27"/>
    </row>
    <row r="1120" spans="1:23" ht="60" hidden="1" customHeight="1" x14ac:dyDescent="0.25">
      <c r="A1120" s="45" t="str">
        <f>CONCATENATE(Tabla2[[#This Row],[id_solicitud]],Tabla2[[#This Row],[tipo]])</f>
        <v>417Decreto</v>
      </c>
      <c r="B1120" s="45">
        <f>COUNTIF($A$2:A1120,A1120)</f>
        <v>1</v>
      </c>
      <c r="C1120" s="45" t="str">
        <f>Tabla2[[#This Row],[(id_solicitud-tipo_documento)]]&amp;B1120</f>
        <v>417Decreto1</v>
      </c>
      <c r="D1120" s="45">
        <v>1122</v>
      </c>
      <c r="E1120" s="45">
        <v>417</v>
      </c>
      <c r="F1120" s="45" t="s">
        <v>47</v>
      </c>
      <c r="G1120" s="45" t="s">
        <v>60</v>
      </c>
      <c r="H1120" s="50" t="s">
        <v>6</v>
      </c>
      <c r="I1120" s="51">
        <v>1803</v>
      </c>
      <c r="J1120" s="80"/>
      <c r="K11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1803 APR</v>
      </c>
      <c r="L1120" s="48">
        <v>44867</v>
      </c>
      <c r="M1120" s="48"/>
      <c r="N1120" s="49" t="s">
        <v>974</v>
      </c>
      <c r="O1120" s="45"/>
      <c r="P1120" s="80"/>
      <c r="Q1120" s="48"/>
      <c r="R1120" s="45"/>
      <c r="S1120" s="115">
        <v>1091</v>
      </c>
      <c r="T1120" s="20">
        <v>44846</v>
      </c>
      <c r="U1120" s="20">
        <v>44873</v>
      </c>
      <c r="V1120" s="20">
        <v>44873</v>
      </c>
      <c r="W1120" s="27"/>
    </row>
    <row r="1121" spans="1:23" ht="60" hidden="1" customHeight="1" x14ac:dyDescent="0.25">
      <c r="A1121" s="45" t="str">
        <f>CONCATENATE(Tabla2[[#This Row],[id_solicitud]],Tabla2[[#This Row],[tipo]])</f>
        <v>475Decreto</v>
      </c>
      <c r="B1121" s="45">
        <f>COUNTIF($A$2:A1121,A1121)</f>
        <v>1</v>
      </c>
      <c r="C1121" s="45" t="str">
        <f>Tabla2[[#This Row],[(id_solicitud-tipo_documento)]]&amp;B1121</f>
        <v>475Decreto1</v>
      </c>
      <c r="D1121" s="45">
        <v>1123</v>
      </c>
      <c r="E1121" s="45">
        <v>475</v>
      </c>
      <c r="F1121" s="45" t="s">
        <v>47</v>
      </c>
      <c r="G1121" s="45" t="s">
        <v>42</v>
      </c>
      <c r="H1121" s="50" t="s">
        <v>30</v>
      </c>
      <c r="I1121" s="51">
        <v>1807</v>
      </c>
      <c r="J1121" s="80"/>
      <c r="K11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1807 INH</v>
      </c>
      <c r="L1121" s="48">
        <v>44867</v>
      </c>
      <c r="M1121" s="48"/>
      <c r="N1121" s="49">
        <f>+E1121</f>
        <v>475</v>
      </c>
      <c r="O1121" s="45"/>
      <c r="P1121" s="80"/>
      <c r="Q1121" s="48"/>
      <c r="R1121" s="45"/>
      <c r="S1121" s="115">
        <v>1097</v>
      </c>
      <c r="T1121" s="20">
        <v>44846</v>
      </c>
      <c r="U1121" s="20">
        <v>44873</v>
      </c>
      <c r="V1121" s="20">
        <v>44873</v>
      </c>
      <c r="W1121" s="27"/>
    </row>
    <row r="1122" spans="1:23" ht="60" hidden="1" customHeight="1" x14ac:dyDescent="0.25">
      <c r="A1122" s="45" t="str">
        <f>CONCATENATE(Tabla2[[#This Row],[id_solicitud]],Tabla2[[#This Row],[tipo]])</f>
        <v>64Resolucion</v>
      </c>
      <c r="B1122" s="45">
        <f>COUNTIF($A$2:A1122,A1122)</f>
        <v>1</v>
      </c>
      <c r="C1122" s="45" t="str">
        <f>Tabla2[[#This Row],[(id_solicitud-tipo_documento)]]&amp;B1122</f>
        <v>64Resolucion1</v>
      </c>
      <c r="D1122" s="45">
        <v>1124</v>
      </c>
      <c r="E1122" s="45">
        <v>64</v>
      </c>
      <c r="F1122" s="45" t="s">
        <v>48</v>
      </c>
      <c r="G1122" s="45"/>
      <c r="H1122" s="50" t="s">
        <v>6</v>
      </c>
      <c r="I1122" s="51">
        <v>1842</v>
      </c>
      <c r="J1122" s="80"/>
      <c r="K11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22" s="48">
        <v>44693</v>
      </c>
      <c r="M1122" s="48"/>
      <c r="N1122" s="49"/>
      <c r="O1122" s="45"/>
      <c r="P1122" s="80"/>
      <c r="Q1122" s="48"/>
      <c r="R1122" s="45"/>
      <c r="S1122" s="114"/>
      <c r="T1122" s="45"/>
      <c r="U1122" s="48"/>
      <c r="V1122" s="48"/>
      <c r="W1122" s="27"/>
    </row>
    <row r="1123" spans="1:23" ht="60" customHeight="1" x14ac:dyDescent="0.25">
      <c r="A1123" s="45" t="str">
        <f>CONCATENATE(Tabla2[[#This Row],[id_solicitud]],Tabla2[[#This Row],[tipo]])</f>
        <v>403Respuesta_Reasignacion_Interna</v>
      </c>
      <c r="B1123" s="45">
        <f>COUNTIF($A$2:A1123,A1123)</f>
        <v>1</v>
      </c>
      <c r="C1123" s="45" t="str">
        <f>Tabla2[[#This Row],[(id_solicitud-tipo_documento)]]&amp;B1123</f>
        <v>403Respuesta_Reasignacion_Interna1</v>
      </c>
      <c r="D1123" s="45">
        <v>1418</v>
      </c>
      <c r="E1123" s="45">
        <v>403</v>
      </c>
      <c r="F1123" s="45" t="s">
        <v>1279</v>
      </c>
      <c r="G1123" s="45" t="s">
        <v>1258</v>
      </c>
      <c r="H1123" s="50" t="s">
        <v>10</v>
      </c>
      <c r="I1123" s="51">
        <v>207001619</v>
      </c>
      <c r="J1123" s="80"/>
      <c r="K11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23" s="48">
        <v>44816</v>
      </c>
      <c r="M1123" s="48"/>
      <c r="N1123" s="49">
        <f>+E1123</f>
        <v>403</v>
      </c>
      <c r="O1123" s="45"/>
      <c r="P1123" s="80"/>
      <c r="Q1123" s="48"/>
      <c r="R1123" s="45"/>
      <c r="S1123" s="115"/>
      <c r="T1123" s="20"/>
      <c r="U1123" s="20"/>
      <c r="V1123" s="20"/>
      <c r="W1123" s="27"/>
    </row>
    <row r="1124" spans="1:23" ht="60" hidden="1" customHeight="1" x14ac:dyDescent="0.25">
      <c r="A1124" s="45" t="str">
        <f>CONCATENATE(Tabla2[[#This Row],[id_solicitud]],Tabla2[[#This Row],[tipo]])</f>
        <v>425Decreto</v>
      </c>
      <c r="B1124" s="45">
        <f>COUNTIF($A$2:A1124,A1124)</f>
        <v>1</v>
      </c>
      <c r="C1124" s="45" t="str">
        <f>Tabla2[[#This Row],[(id_solicitud-tipo_documento)]]&amp;B1124</f>
        <v>425Decreto1</v>
      </c>
      <c r="D1124" s="45">
        <v>1126</v>
      </c>
      <c r="E1124" s="45">
        <v>425</v>
      </c>
      <c r="F1124" s="45" t="s">
        <v>47</v>
      </c>
      <c r="G1124" s="45" t="s">
        <v>60</v>
      </c>
      <c r="H1124" s="50" t="s">
        <v>30</v>
      </c>
      <c r="I1124" s="51">
        <v>1851</v>
      </c>
      <c r="J1124" s="80"/>
      <c r="K11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1851 INH</v>
      </c>
      <c r="L1124" s="48">
        <v>44868</v>
      </c>
      <c r="M1124" s="48"/>
      <c r="N1124" s="49" t="s">
        <v>980</v>
      </c>
      <c r="O1124" s="45"/>
      <c r="P1124" s="80"/>
      <c r="Q1124" s="48"/>
      <c r="R1124" s="45"/>
      <c r="S1124" s="115">
        <v>1111</v>
      </c>
      <c r="T1124" s="20">
        <v>44847</v>
      </c>
      <c r="U1124" s="20">
        <v>44875</v>
      </c>
      <c r="V1124" s="20">
        <v>44875</v>
      </c>
      <c r="W1124" s="27"/>
    </row>
    <row r="1125" spans="1:23" ht="60" hidden="1" customHeight="1" x14ac:dyDescent="0.25">
      <c r="A1125" s="45" t="str">
        <f>CONCATENATE(Tabla2[[#This Row],[id_solicitud]],Tabla2[[#This Row],[tipo]])</f>
        <v>445Decreto</v>
      </c>
      <c r="B1125" s="45">
        <f>COUNTIF($A$2:A1125,A1125)</f>
        <v>1</v>
      </c>
      <c r="C1125" s="45" t="str">
        <f>Tabla2[[#This Row],[(id_solicitud-tipo_documento)]]&amp;B1125</f>
        <v>445Decreto1</v>
      </c>
      <c r="D1125" s="45">
        <v>1127</v>
      </c>
      <c r="E1125" s="45">
        <v>445</v>
      </c>
      <c r="F1125" s="45" t="s">
        <v>47</v>
      </c>
      <c r="G1125" s="45" t="s">
        <v>60</v>
      </c>
      <c r="H1125" s="50" t="s">
        <v>16</v>
      </c>
      <c r="I1125" s="51">
        <v>1872</v>
      </c>
      <c r="J1125" s="80"/>
      <c r="K11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1872 DGC</v>
      </c>
      <c r="L1125" s="48">
        <v>44868</v>
      </c>
      <c r="M1125" s="48"/>
      <c r="N1125" s="49" t="s">
        <v>424</v>
      </c>
      <c r="O1125" s="45"/>
      <c r="P1125" s="80"/>
      <c r="Q1125" s="48"/>
      <c r="R1125" s="45"/>
      <c r="S1125" s="115">
        <v>1067</v>
      </c>
      <c r="T1125" s="20">
        <v>44841</v>
      </c>
      <c r="U1125" s="20">
        <v>44873</v>
      </c>
      <c r="V1125" s="20">
        <v>44873</v>
      </c>
      <c r="W1125" s="27"/>
    </row>
    <row r="1126" spans="1:23" ht="60" hidden="1" customHeight="1" x14ac:dyDescent="0.25">
      <c r="A1126" s="45" t="str">
        <f>CONCATENATE(Tabla2[[#This Row],[id_solicitud]],Tabla2[[#This Row],[tipo]])</f>
        <v>526Decreto</v>
      </c>
      <c r="B1126" s="45">
        <f>COUNTIF($A$2:A1126,A1126)</f>
        <v>1</v>
      </c>
      <c r="C1126" s="45" t="str">
        <f>Tabla2[[#This Row],[(id_solicitud-tipo_documento)]]&amp;B1126</f>
        <v>526Decreto1</v>
      </c>
      <c r="D1126" s="45">
        <v>1128</v>
      </c>
      <c r="E1126" s="45">
        <v>526</v>
      </c>
      <c r="F1126" s="45" t="s">
        <v>47</v>
      </c>
      <c r="G1126" s="45" t="s">
        <v>60</v>
      </c>
      <c r="H1126" s="50" t="s">
        <v>26</v>
      </c>
      <c r="I1126" s="51">
        <v>1874</v>
      </c>
      <c r="J1126" s="80"/>
      <c r="K11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1874 DV</v>
      </c>
      <c r="L1126" s="48">
        <v>44868</v>
      </c>
      <c r="M1126" s="48"/>
      <c r="N1126" s="49" t="s">
        <v>1003</v>
      </c>
      <c r="O1126" s="45"/>
      <c r="P1126" s="80"/>
      <c r="Q1126" s="48"/>
      <c r="R1126" s="45"/>
      <c r="S1126" s="115">
        <v>1092</v>
      </c>
      <c r="T1126" s="20">
        <v>44846</v>
      </c>
      <c r="U1126" s="20">
        <v>44875</v>
      </c>
      <c r="V1126" s="20">
        <v>44875</v>
      </c>
      <c r="W1126" s="27"/>
    </row>
    <row r="1127" spans="1:23" ht="60" hidden="1" customHeight="1" x14ac:dyDescent="0.25">
      <c r="A1127" s="45" t="str">
        <f>CONCATENATE(Tabla2[[#This Row],[id_solicitud]],Tabla2[[#This Row],[tipo]])</f>
        <v>384Decreto</v>
      </c>
      <c r="B1127" s="45">
        <f>COUNTIF($A$2:A1127,A1127)</f>
        <v>1</v>
      </c>
      <c r="C1127" s="45" t="str">
        <f>Tabla2[[#This Row],[(id_solicitud-tipo_documento)]]&amp;B1127</f>
        <v>384Decreto1</v>
      </c>
      <c r="D1127" s="45">
        <v>1129</v>
      </c>
      <c r="E1127" s="45">
        <v>384</v>
      </c>
      <c r="F1127" s="45" t="s">
        <v>47</v>
      </c>
      <c r="G1127" s="45" t="s">
        <v>60</v>
      </c>
      <c r="H1127" s="50" t="s">
        <v>538</v>
      </c>
      <c r="I1127" s="51">
        <v>1875</v>
      </c>
      <c r="J1127" s="80"/>
      <c r="K11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1875 DV_FETCovid19</v>
      </c>
      <c r="L1127" s="48">
        <v>44868</v>
      </c>
      <c r="M1127" s="48"/>
      <c r="N1127" s="49" t="s">
        <v>956</v>
      </c>
      <c r="O1127" s="45"/>
      <c r="P1127" s="80"/>
      <c r="Q1127" s="48"/>
      <c r="R1127" s="45"/>
      <c r="S1127" s="115">
        <v>1080</v>
      </c>
      <c r="T1127" s="20">
        <v>44846</v>
      </c>
      <c r="U1127" s="20">
        <v>44875</v>
      </c>
      <c r="V1127" s="20">
        <v>44875</v>
      </c>
      <c r="W1127" s="27"/>
    </row>
    <row r="1128" spans="1:23" ht="60" hidden="1" customHeight="1" x14ac:dyDescent="0.25">
      <c r="A1128" s="45" t="str">
        <f>CONCATENATE(Tabla2[[#This Row],[id_solicitud]],Tabla2[[#This Row],[tipo]])</f>
        <v>379Decreto</v>
      </c>
      <c r="B1128" s="45">
        <f>COUNTIF($A$2:A1128,A1128)</f>
        <v>1</v>
      </c>
      <c r="C1128" s="45" t="str">
        <f>Tabla2[[#This Row],[(id_solicitud-tipo_documento)]]&amp;B1128</f>
        <v>379Decreto1</v>
      </c>
      <c r="D1128" s="45">
        <v>1130</v>
      </c>
      <c r="E1128" s="45">
        <v>379</v>
      </c>
      <c r="F1128" s="45" t="s">
        <v>47</v>
      </c>
      <c r="G1128" s="45" t="s">
        <v>60</v>
      </c>
      <c r="H1128" s="50" t="s">
        <v>562</v>
      </c>
      <c r="I1128" s="51">
        <v>1876</v>
      </c>
      <c r="J1128" s="80"/>
      <c r="K11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1876 DGC_FETCovid19</v>
      </c>
      <c r="L1128" s="48">
        <v>44868</v>
      </c>
      <c r="M1128" s="48"/>
      <c r="N1128" s="49" t="s">
        <v>952</v>
      </c>
      <c r="O1128" s="45"/>
      <c r="P1128" s="80"/>
      <c r="Q1128" s="48"/>
      <c r="R1128" s="45"/>
      <c r="S1128" s="115">
        <v>1083</v>
      </c>
      <c r="T1128" s="20">
        <v>44855</v>
      </c>
      <c r="U1128" s="20">
        <v>44875</v>
      </c>
      <c r="V1128" s="20">
        <v>44875</v>
      </c>
      <c r="W1128" s="27"/>
    </row>
    <row r="1129" spans="1:23" ht="60" hidden="1" customHeight="1" x14ac:dyDescent="0.25">
      <c r="A1129" s="45" t="str">
        <f>CONCATENATE(Tabla2[[#This Row],[id_solicitud]],Tabla2[[#This Row],[tipo]])</f>
        <v>530Decreto</v>
      </c>
      <c r="B1129" s="45">
        <f>COUNTIF($A$2:A1129,A1129)</f>
        <v>1</v>
      </c>
      <c r="C1129" s="45" t="str">
        <f>Tabla2[[#This Row],[(id_solicitud-tipo_documento)]]&amp;B1129</f>
        <v>530Decreto1</v>
      </c>
      <c r="D1129" s="45">
        <v>1131</v>
      </c>
      <c r="E1129" s="45">
        <v>530</v>
      </c>
      <c r="F1129" s="45" t="s">
        <v>47</v>
      </c>
      <c r="G1129" s="45" t="s">
        <v>40</v>
      </c>
      <c r="H1129" s="50" t="s">
        <v>603</v>
      </c>
      <c r="I1129" s="51">
        <v>1877</v>
      </c>
      <c r="J1129" s="80"/>
      <c r="K11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1877 DV-DOP</v>
      </c>
      <c r="L1129" s="48">
        <v>44868</v>
      </c>
      <c r="M1129" s="48"/>
      <c r="N1129" s="49" t="s">
        <v>1005</v>
      </c>
      <c r="O1129" s="45"/>
      <c r="P1129" s="80"/>
      <c r="Q1129" s="48"/>
      <c r="R1129" s="45"/>
      <c r="S1129" s="115">
        <v>1127</v>
      </c>
      <c r="T1129" s="20">
        <v>44852</v>
      </c>
      <c r="U1129" s="20">
        <v>44875</v>
      </c>
      <c r="V1129" s="20">
        <v>44875</v>
      </c>
      <c r="W1129" s="27"/>
    </row>
    <row r="1130" spans="1:23" ht="60" customHeight="1" x14ac:dyDescent="0.25">
      <c r="A1130" s="45" t="str">
        <f>CONCATENATE(Tabla2[[#This Row],[id_solicitud]],Tabla2[[#This Row],[tipo]])</f>
        <v>404Proposicion</v>
      </c>
      <c r="B1130" s="45">
        <f>COUNTIF($A$2:A1130,A1130)</f>
        <v>1</v>
      </c>
      <c r="C1130" s="45" t="str">
        <f>Tabla2[[#This Row],[(id_solicitud-tipo_documento)]]&amp;B1130</f>
        <v>404Proposicion1</v>
      </c>
      <c r="D1130" s="45">
        <v>644</v>
      </c>
      <c r="E1130" s="45">
        <v>404</v>
      </c>
      <c r="F1130" s="45" t="s">
        <v>46</v>
      </c>
      <c r="G1130" s="45" t="s">
        <v>44</v>
      </c>
      <c r="H1130" s="50" t="s">
        <v>30</v>
      </c>
      <c r="I1130" s="51">
        <v>613</v>
      </c>
      <c r="J1130" s="80"/>
      <c r="K11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613 INH</v>
      </c>
      <c r="L1130" s="48">
        <v>44810</v>
      </c>
      <c r="M1130" s="48">
        <v>44810</v>
      </c>
      <c r="N1130" s="49" t="s">
        <v>711</v>
      </c>
      <c r="O1130" s="45"/>
      <c r="P1130" s="80" t="s">
        <v>498</v>
      </c>
      <c r="Q1130" s="24"/>
      <c r="R1130" s="24" t="s">
        <v>24</v>
      </c>
      <c r="S1130" s="114"/>
      <c r="T1130" s="45"/>
      <c r="U1130" s="48"/>
      <c r="V1130" s="48"/>
      <c r="W1130" s="27"/>
    </row>
    <row r="1131" spans="1:23" ht="60" hidden="1" customHeight="1" x14ac:dyDescent="0.25">
      <c r="A1131" s="45" t="str">
        <f>CONCATENATE(Tabla2[[#This Row],[id_solicitud]],Tabla2[[#This Row],[tipo]])</f>
        <v>453Decreto</v>
      </c>
      <c r="B1131" s="45">
        <f>COUNTIF($A$2:A1131,A1131)</f>
        <v>1</v>
      </c>
      <c r="C1131" s="45" t="str">
        <f>Tabla2[[#This Row],[(id_solicitud-tipo_documento)]]&amp;B1131</f>
        <v>453Decreto1</v>
      </c>
      <c r="D1131" s="45">
        <v>1133</v>
      </c>
      <c r="E1131" s="45">
        <v>453</v>
      </c>
      <c r="F1131" s="45" t="s">
        <v>47</v>
      </c>
      <c r="G1131" s="45" t="s">
        <v>60</v>
      </c>
      <c r="H1131" s="50" t="s">
        <v>24</v>
      </c>
      <c r="I1131" s="51">
        <v>1879</v>
      </c>
      <c r="J1131" s="80"/>
      <c r="K11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1879 DP</v>
      </c>
      <c r="L1131" s="48">
        <v>44868</v>
      </c>
      <c r="M1131" s="48"/>
      <c r="N1131" s="49" t="s">
        <v>987</v>
      </c>
      <c r="O1131" s="45"/>
      <c r="P1131" s="80"/>
      <c r="Q1131" s="48"/>
      <c r="R1131" s="45"/>
      <c r="S1131" s="115">
        <v>1103</v>
      </c>
      <c r="T1131" s="20">
        <v>44847</v>
      </c>
      <c r="U1131" s="20">
        <v>44875</v>
      </c>
      <c r="V1131" s="20">
        <v>44875</v>
      </c>
      <c r="W1131" s="27"/>
    </row>
    <row r="1132" spans="1:23" ht="60" hidden="1" customHeight="1" x14ac:dyDescent="0.25">
      <c r="A1132" s="45" t="str">
        <f>CONCATENATE(Tabla2[[#This Row],[id_solicitud]],Tabla2[[#This Row],[tipo]])</f>
        <v>200Resolucion</v>
      </c>
      <c r="B1132" s="45">
        <f>COUNTIF($A$2:A1132,A1132)</f>
        <v>1</v>
      </c>
      <c r="C1132" s="45" t="str">
        <f>Tabla2[[#This Row],[(id_solicitud-tipo_documento)]]&amp;B1132</f>
        <v>200Resolucion1</v>
      </c>
      <c r="D1132" s="45">
        <v>1134</v>
      </c>
      <c r="E1132" s="45">
        <v>200</v>
      </c>
      <c r="F1132" s="45" t="s">
        <v>48</v>
      </c>
      <c r="G1132" s="45"/>
      <c r="H1132" s="50" t="s">
        <v>26</v>
      </c>
      <c r="I1132" s="51">
        <v>1880</v>
      </c>
      <c r="J1132" s="80"/>
      <c r="K11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32" s="48">
        <v>44761</v>
      </c>
      <c r="M1132" s="48"/>
      <c r="N1132" s="49"/>
      <c r="O1132" s="45"/>
      <c r="P1132" s="80"/>
      <c r="Q1132" s="48"/>
      <c r="R1132" s="45"/>
      <c r="S1132" s="114"/>
      <c r="T1132" s="45"/>
      <c r="U1132" s="48"/>
      <c r="V1132" s="48"/>
      <c r="W1132" s="27"/>
    </row>
    <row r="1133" spans="1:23" ht="60" hidden="1" customHeight="1" x14ac:dyDescent="0.25">
      <c r="A1133" s="45" t="str">
        <f>CONCATENATE(Tabla2[[#This Row],[id_solicitud]],Tabla2[[#This Row],[tipo]])</f>
        <v>418Decreto</v>
      </c>
      <c r="B1133" s="45">
        <f>COUNTIF($A$2:A1133,A1133)</f>
        <v>1</v>
      </c>
      <c r="C1133" s="45" t="str">
        <f>Tabla2[[#This Row],[(id_solicitud-tipo_documento)]]&amp;B1133</f>
        <v>418Decreto1</v>
      </c>
      <c r="D1133" s="45">
        <v>1135</v>
      </c>
      <c r="E1133" s="45">
        <v>418</v>
      </c>
      <c r="F1133" s="45" t="s">
        <v>47</v>
      </c>
      <c r="G1133" s="45" t="s">
        <v>60</v>
      </c>
      <c r="H1133" s="50" t="s">
        <v>535</v>
      </c>
      <c r="I1133" s="51">
        <v>1880</v>
      </c>
      <c r="J1133" s="80"/>
      <c r="K11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1880 DOH_FETCovid19</v>
      </c>
      <c r="L1133" s="48">
        <v>44868</v>
      </c>
      <c r="M1133" s="48"/>
      <c r="N1133" s="49" t="s">
        <v>975</v>
      </c>
      <c r="O1133" s="45"/>
      <c r="P1133" s="80"/>
      <c r="Q1133" s="48"/>
      <c r="R1133" s="45"/>
      <c r="S1133" s="115">
        <v>1095</v>
      </c>
      <c r="T1133" s="20">
        <v>44847</v>
      </c>
      <c r="U1133" s="20">
        <v>44875</v>
      </c>
      <c r="V1133" s="20">
        <v>44875</v>
      </c>
      <c r="W1133" s="27"/>
    </row>
    <row r="1134" spans="1:23" ht="60" hidden="1" customHeight="1" x14ac:dyDescent="0.25">
      <c r="A1134" s="45" t="str">
        <f>CONCATENATE(Tabla2[[#This Row],[id_solicitud]],Tabla2[[#This Row],[tipo]])</f>
        <v>527Decreto</v>
      </c>
      <c r="B1134" s="45">
        <f>COUNTIF($A$2:A1134,A1134)</f>
        <v>1</v>
      </c>
      <c r="C1134" s="45" t="str">
        <f>Tabla2[[#This Row],[(id_solicitud-tipo_documento)]]&amp;B1134</f>
        <v>527Decreto1</v>
      </c>
      <c r="D1134" s="45">
        <v>1136</v>
      </c>
      <c r="E1134" s="45">
        <v>527</v>
      </c>
      <c r="F1134" s="45" t="s">
        <v>47</v>
      </c>
      <c r="G1134" s="45" t="s">
        <v>40</v>
      </c>
      <c r="H1134" s="50" t="s">
        <v>26</v>
      </c>
      <c r="I1134" s="51">
        <v>1881</v>
      </c>
      <c r="J1134" s="80"/>
      <c r="K11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1881 DV</v>
      </c>
      <c r="L1134" s="48">
        <v>44868</v>
      </c>
      <c r="M1134" s="48"/>
      <c r="N1134" s="49" t="s">
        <v>1004</v>
      </c>
      <c r="O1134" s="45"/>
      <c r="P1134" s="80"/>
      <c r="Q1134" s="48"/>
      <c r="R1134" s="45"/>
      <c r="S1134" s="115"/>
      <c r="T1134" s="20">
        <v>44838</v>
      </c>
      <c r="U1134" s="20">
        <v>44875</v>
      </c>
      <c r="V1134" s="20">
        <v>44875</v>
      </c>
      <c r="W1134" s="27"/>
    </row>
    <row r="1135" spans="1:23" ht="60" hidden="1" customHeight="1" x14ac:dyDescent="0.25">
      <c r="A1135" s="45" t="str">
        <f>CONCATENATE(Tabla2[[#This Row],[id_solicitud]],Tabla2[[#This Row],[tipo]])</f>
        <v>434Decreto</v>
      </c>
      <c r="B1135" s="45">
        <f>COUNTIF($A$2:A1135,A1135)</f>
        <v>1</v>
      </c>
      <c r="C1135" s="45" t="str">
        <f>Tabla2[[#This Row],[(id_solicitud-tipo_documento)]]&amp;B1135</f>
        <v>434Decreto1</v>
      </c>
      <c r="D1135" s="45">
        <v>1137</v>
      </c>
      <c r="E1135" s="45">
        <v>434</v>
      </c>
      <c r="F1135" s="45" t="s">
        <v>47</v>
      </c>
      <c r="G1135" s="45" t="s">
        <v>60</v>
      </c>
      <c r="H1135" s="50" t="s">
        <v>20</v>
      </c>
      <c r="I1135" s="51">
        <v>1892</v>
      </c>
      <c r="J1135" s="80"/>
      <c r="K11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1892 DOH</v>
      </c>
      <c r="L1135" s="48">
        <v>44868</v>
      </c>
      <c r="M1135" s="48"/>
      <c r="N1135" s="49" t="s">
        <v>984</v>
      </c>
      <c r="O1135" s="45"/>
      <c r="P1135" s="80"/>
      <c r="Q1135" s="48"/>
      <c r="R1135" s="45"/>
      <c r="S1135" s="115">
        <v>1139</v>
      </c>
      <c r="T1135" s="20">
        <v>44860</v>
      </c>
      <c r="U1135" s="20"/>
      <c r="V1135" s="20"/>
      <c r="W1135" s="27"/>
    </row>
    <row r="1136" spans="1:23" ht="60" hidden="1" customHeight="1" x14ac:dyDescent="0.25">
      <c r="A1136" s="45" t="str">
        <f>CONCATENATE(Tabla2[[#This Row],[id_solicitud]],Tabla2[[#This Row],[tipo]])</f>
        <v>473Decreto</v>
      </c>
      <c r="B1136" s="45">
        <f>COUNTIF($A$2:A1136,A1136)</f>
        <v>1</v>
      </c>
      <c r="C1136" s="45" t="str">
        <f>Tabla2[[#This Row],[(id_solicitud-tipo_documento)]]&amp;B1136</f>
        <v>473Decreto1</v>
      </c>
      <c r="D1136" s="45">
        <v>1138</v>
      </c>
      <c r="E1136" s="45">
        <v>473</v>
      </c>
      <c r="F1136" s="45" t="s">
        <v>47</v>
      </c>
      <c r="G1136" s="45" t="s">
        <v>40</v>
      </c>
      <c r="H1136" s="50" t="s">
        <v>18</v>
      </c>
      <c r="I1136" s="51">
        <v>1895</v>
      </c>
      <c r="J1136" s="80"/>
      <c r="K11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1895 DGOP</v>
      </c>
      <c r="L1136" s="48">
        <v>44868</v>
      </c>
      <c r="M1136" s="48"/>
      <c r="N1136" s="49" t="s">
        <v>996</v>
      </c>
      <c r="O1136" s="45"/>
      <c r="P1136" s="80"/>
      <c r="Q1136" s="48"/>
      <c r="R1136" s="45"/>
      <c r="S1136" s="115">
        <v>1151</v>
      </c>
      <c r="T1136" s="20">
        <v>44858</v>
      </c>
      <c r="U1136" s="20">
        <v>44875</v>
      </c>
      <c r="V1136" s="20">
        <v>44875</v>
      </c>
      <c r="W1136" s="27"/>
    </row>
    <row r="1137" spans="1:23" ht="60" hidden="1" customHeight="1" x14ac:dyDescent="0.25">
      <c r="A1137" s="45" t="str">
        <f>CONCATENATE(Tabla2[[#This Row],[id_solicitud]],Tabla2[[#This Row],[tipo]])</f>
        <v>337Oficio_Solicitud</v>
      </c>
      <c r="B1137" s="45">
        <f>COUNTIF($A$2:A1137,A1137)</f>
        <v>1</v>
      </c>
      <c r="C1137" s="45" t="str">
        <f>Tabla2[[#This Row],[(id_solicitud-tipo_documento)]]&amp;B1137</f>
        <v>337Oficio_Solicitud1</v>
      </c>
      <c r="D1137" s="45">
        <v>1139</v>
      </c>
      <c r="E1137" s="45">
        <v>337</v>
      </c>
      <c r="F1137" s="45" t="s">
        <v>53</v>
      </c>
      <c r="G1137" s="45" t="s">
        <v>1258</v>
      </c>
      <c r="H1137" s="50" t="s">
        <v>6</v>
      </c>
      <c r="I1137" s="51">
        <v>1920</v>
      </c>
      <c r="J1137" s="80"/>
      <c r="K11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1920 APR</v>
      </c>
      <c r="L1137" s="48">
        <v>44778</v>
      </c>
      <c r="M1137" s="48">
        <v>44781</v>
      </c>
      <c r="N1137" s="49" t="s">
        <v>347</v>
      </c>
      <c r="O1137" s="45">
        <v>3</v>
      </c>
      <c r="P1137" s="80" t="s">
        <v>494</v>
      </c>
      <c r="Q1137" s="48">
        <v>44783</v>
      </c>
      <c r="R1137" s="45"/>
      <c r="S1137" s="114"/>
      <c r="T1137" s="52"/>
      <c r="U1137" s="48"/>
      <c r="V1137" s="48"/>
      <c r="W1137" s="27"/>
    </row>
    <row r="1138" spans="1:23" ht="60" hidden="1" customHeight="1" x14ac:dyDescent="0.25">
      <c r="A1138" s="45" t="str">
        <f>CONCATENATE(Tabla2[[#This Row],[id_solicitud]],Tabla2[[#This Row],[tipo]])</f>
        <v>428Resolucion</v>
      </c>
      <c r="B1138" s="45">
        <f>COUNTIF($A$2:A1138,A1138)</f>
        <v>1</v>
      </c>
      <c r="C1138" s="45" t="str">
        <f>Tabla2[[#This Row],[(id_solicitud-tipo_documento)]]&amp;B1138</f>
        <v>428Resolucion1</v>
      </c>
      <c r="D1138" s="45">
        <v>1140</v>
      </c>
      <c r="E1138" s="45">
        <v>428</v>
      </c>
      <c r="F1138" s="45" t="s">
        <v>48</v>
      </c>
      <c r="G1138" s="45"/>
      <c r="H1138" s="50" t="s">
        <v>10</v>
      </c>
      <c r="I1138" s="51">
        <v>1903</v>
      </c>
      <c r="J1138" s="80"/>
      <c r="K11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38" s="48">
        <v>44858</v>
      </c>
      <c r="M1138" s="48"/>
      <c r="N1138" s="49"/>
      <c r="O1138" s="45"/>
      <c r="P1138" s="80"/>
      <c r="Q1138" s="48"/>
      <c r="R1138" s="45"/>
      <c r="S1138" s="114"/>
      <c r="T1138" s="45"/>
      <c r="U1138" s="48"/>
      <c r="V1138" s="48"/>
      <c r="W1138" s="27"/>
    </row>
    <row r="1139" spans="1:23" ht="60" hidden="1" customHeight="1" x14ac:dyDescent="0.25">
      <c r="A1139" s="45" t="str">
        <f>CONCATENATE(Tabla2[[#This Row],[id_solicitud]],Tabla2[[#This Row],[tipo]])</f>
        <v>392Resolucion</v>
      </c>
      <c r="B1139" s="45">
        <f>COUNTIF($A$2:A1139,A1139)</f>
        <v>1</v>
      </c>
      <c r="C1139" s="45" t="str">
        <f>Tabla2[[#This Row],[(id_solicitud-tipo_documento)]]&amp;B1139</f>
        <v>392Resolucion1</v>
      </c>
      <c r="D1139" s="45">
        <v>1141</v>
      </c>
      <c r="E1139" s="45">
        <v>392</v>
      </c>
      <c r="F1139" s="45" t="s">
        <v>48</v>
      </c>
      <c r="G1139" s="45"/>
      <c r="H1139" s="50" t="s">
        <v>10</v>
      </c>
      <c r="I1139" s="51">
        <v>1904</v>
      </c>
      <c r="J1139" s="80"/>
      <c r="K11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39" s="48">
        <v>44858</v>
      </c>
      <c r="M1139" s="48"/>
      <c r="N1139" s="49"/>
      <c r="O1139" s="45"/>
      <c r="P1139" s="80"/>
      <c r="Q1139" s="48"/>
      <c r="R1139" s="45"/>
      <c r="S1139" s="114"/>
      <c r="T1139" s="45"/>
      <c r="U1139" s="48"/>
      <c r="V1139" s="48"/>
      <c r="W1139" s="27"/>
    </row>
    <row r="1140" spans="1:23" ht="60" customHeight="1" x14ac:dyDescent="0.25">
      <c r="A1140" s="45" t="str">
        <f>CONCATENATE(Tabla2[[#This Row],[id_solicitud]],Tabla2[[#This Row],[tipo]])</f>
        <v>404Oficio_Autorizacion</v>
      </c>
      <c r="B1140" s="45">
        <f>COUNTIF($A$2:A1140,A1140)</f>
        <v>1</v>
      </c>
      <c r="C1140" s="45" t="str">
        <f>Tabla2[[#This Row],[(id_solicitud-tipo_documento)]]&amp;B1140</f>
        <v>404Oficio_Autorizacion1</v>
      </c>
      <c r="D1140" s="45">
        <v>1204</v>
      </c>
      <c r="E1140" s="45">
        <v>404</v>
      </c>
      <c r="F1140" s="45" t="s">
        <v>1272</v>
      </c>
      <c r="G1140" s="45" t="s">
        <v>44</v>
      </c>
      <c r="H1140" s="50" t="s">
        <v>30</v>
      </c>
      <c r="I1140" s="51">
        <v>2424</v>
      </c>
      <c r="J1140" s="80"/>
      <c r="K11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40" s="48">
        <v>44824</v>
      </c>
      <c r="M1140" s="48"/>
      <c r="N1140" s="49" t="s">
        <v>967</v>
      </c>
      <c r="O1140" s="45"/>
      <c r="P1140" s="80"/>
      <c r="Q1140" s="48"/>
      <c r="R1140" s="45"/>
      <c r="S1140" s="115">
        <v>884</v>
      </c>
      <c r="T1140" s="20">
        <v>44813</v>
      </c>
      <c r="U1140" s="20"/>
      <c r="V1140" s="20"/>
      <c r="W1140" s="27"/>
    </row>
    <row r="1141" spans="1:23" ht="60" hidden="1" customHeight="1" x14ac:dyDescent="0.25">
      <c r="A1141" s="45" t="str">
        <f>CONCATENATE(Tabla2[[#This Row],[id_solicitud]],Tabla2[[#This Row],[tipo]])</f>
        <v>341Oficio_Solicitud</v>
      </c>
      <c r="B1141" s="45">
        <f>COUNTIF($A$2:A1141,A1141)</f>
        <v>1</v>
      </c>
      <c r="C1141" s="45" t="str">
        <f>Tabla2[[#This Row],[(id_solicitud-tipo_documento)]]&amp;B1141</f>
        <v>341Oficio_Solicitud1</v>
      </c>
      <c r="D1141" s="45">
        <v>1143</v>
      </c>
      <c r="E1141" s="45">
        <v>341</v>
      </c>
      <c r="F1141" s="45" t="s">
        <v>53</v>
      </c>
      <c r="G1141" s="45" t="s">
        <v>60</v>
      </c>
      <c r="H1141" s="50" t="s">
        <v>535</v>
      </c>
      <c r="I1141" s="51">
        <v>1950</v>
      </c>
      <c r="J1141" s="80"/>
      <c r="K11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1950 DOH_FETCovid19</v>
      </c>
      <c r="L1141" s="48">
        <v>44782</v>
      </c>
      <c r="M1141" s="48">
        <v>44783</v>
      </c>
      <c r="N1141" s="49" t="s">
        <v>348</v>
      </c>
      <c r="O1141" s="45">
        <v>17</v>
      </c>
      <c r="P1141" s="80" t="s">
        <v>494</v>
      </c>
      <c r="Q1141" s="48">
        <v>44790</v>
      </c>
      <c r="R1141" s="45"/>
      <c r="S1141" s="114"/>
      <c r="T1141" s="52"/>
      <c r="U1141" s="48"/>
      <c r="V1141" s="48"/>
      <c r="W1141" s="27"/>
    </row>
    <row r="1142" spans="1:23" ht="60" hidden="1" customHeight="1" x14ac:dyDescent="0.25">
      <c r="A1142" s="45" t="str">
        <f>CONCATENATE(Tabla2[[#This Row],[id_solicitud]],Tabla2[[#This Row],[tipo]])</f>
        <v>514Decreto</v>
      </c>
      <c r="B1142" s="45">
        <f>COUNTIF($A$2:A1142,A1142)</f>
        <v>1</v>
      </c>
      <c r="C1142" s="45" t="str">
        <f>Tabla2[[#This Row],[(id_solicitud-tipo_documento)]]&amp;B1142</f>
        <v>514Decreto1</v>
      </c>
      <c r="D1142" s="45">
        <v>1144</v>
      </c>
      <c r="E1142" s="45">
        <v>514</v>
      </c>
      <c r="F1142" s="45" t="s">
        <v>47</v>
      </c>
      <c r="G1142" s="45" t="s">
        <v>60</v>
      </c>
      <c r="H1142" s="50" t="s">
        <v>535</v>
      </c>
      <c r="I1142" s="51">
        <v>1931</v>
      </c>
      <c r="J1142" s="80"/>
      <c r="K11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1931 DOH_FETCovid19</v>
      </c>
      <c r="L1142" s="48">
        <v>44875</v>
      </c>
      <c r="M1142" s="48"/>
      <c r="N1142" s="49" t="s">
        <v>479</v>
      </c>
      <c r="O1142" s="45"/>
      <c r="P1142" s="80"/>
      <c r="Q1142" s="48"/>
      <c r="R1142" s="45"/>
      <c r="S1142" s="115">
        <v>1228</v>
      </c>
      <c r="T1142" s="20">
        <v>44869</v>
      </c>
      <c r="U1142" s="20"/>
      <c r="V1142" s="20"/>
      <c r="W1142" s="27"/>
    </row>
    <row r="1143" spans="1:23" ht="60" hidden="1" customHeight="1" x14ac:dyDescent="0.25">
      <c r="A1143" s="45" t="str">
        <f>CONCATENATE(Tabla2[[#This Row],[id_solicitud]],Tabla2[[#This Row],[tipo]])</f>
        <v>495Decreto</v>
      </c>
      <c r="B1143" s="45">
        <f>COUNTIF($A$2:A1143,A1143)</f>
        <v>1</v>
      </c>
      <c r="C1143" s="45" t="str">
        <f>Tabla2[[#This Row],[(id_solicitud-tipo_documento)]]&amp;B1143</f>
        <v>495Decreto1</v>
      </c>
      <c r="D1143" s="45">
        <v>1145</v>
      </c>
      <c r="E1143" s="45">
        <v>495</v>
      </c>
      <c r="F1143" s="45" t="s">
        <v>47</v>
      </c>
      <c r="G1143" s="45" t="s">
        <v>41</v>
      </c>
      <c r="H1143" s="50" t="s">
        <v>16</v>
      </c>
      <c r="I1143" s="51">
        <v>1933</v>
      </c>
      <c r="J1143" s="80"/>
      <c r="K11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1933 DGC</v>
      </c>
      <c r="L1143" s="48">
        <v>44875</v>
      </c>
      <c r="M1143" s="48"/>
      <c r="N1143" s="49" t="s">
        <v>1000</v>
      </c>
      <c r="O1143" s="45"/>
      <c r="P1143" s="80"/>
      <c r="Q1143" s="48"/>
      <c r="R1143" s="45"/>
      <c r="S1143" s="115">
        <v>1232</v>
      </c>
      <c r="T1143" s="20">
        <v>44872</v>
      </c>
      <c r="U1143" s="20">
        <v>44879</v>
      </c>
      <c r="V1143" s="20">
        <v>44879</v>
      </c>
      <c r="W1143" s="27"/>
    </row>
    <row r="1144" spans="1:23" ht="60" hidden="1" customHeight="1" x14ac:dyDescent="0.25">
      <c r="A1144" s="45" t="str">
        <f>CONCATENATE(Tabla2[[#This Row],[id_solicitud]],Tabla2[[#This Row],[tipo]])</f>
        <v>438Oficio_Solicitud</v>
      </c>
      <c r="B1144" s="45">
        <f>COUNTIF($A$2:A1144,A1144)</f>
        <v>1</v>
      </c>
      <c r="C1144" s="45" t="str">
        <f>Tabla2[[#This Row],[(id_solicitud-tipo_documento)]]&amp;B1144</f>
        <v>438Oficio_Solicitud1</v>
      </c>
      <c r="D1144" s="45">
        <v>1146</v>
      </c>
      <c r="E1144" s="45">
        <v>438</v>
      </c>
      <c r="F1144" s="45" t="s">
        <v>53</v>
      </c>
      <c r="G1144" s="45" t="s">
        <v>60</v>
      </c>
      <c r="H1144" s="50" t="s">
        <v>532</v>
      </c>
      <c r="I1144" s="51">
        <v>1156</v>
      </c>
      <c r="J1144" s="80" t="s">
        <v>1241</v>
      </c>
      <c r="K11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1156 DA_FETCovid19correo</v>
      </c>
      <c r="L1144" s="48">
        <v>44848</v>
      </c>
      <c r="M1144" s="48">
        <v>44851</v>
      </c>
      <c r="N1144" s="49" t="s">
        <v>418</v>
      </c>
      <c r="O1144" s="45">
        <v>2</v>
      </c>
      <c r="P1144" s="80" t="s">
        <v>494</v>
      </c>
      <c r="Q1144" s="48">
        <v>44851</v>
      </c>
      <c r="R1144" s="45"/>
      <c r="S1144" s="114"/>
      <c r="T1144" s="52"/>
      <c r="U1144" s="48"/>
      <c r="V1144" s="48"/>
      <c r="W1144" s="27"/>
    </row>
    <row r="1145" spans="1:23" ht="60" hidden="1" customHeight="1" x14ac:dyDescent="0.25">
      <c r="A1145" s="45" t="str">
        <f>CONCATENATE(Tabla2[[#This Row],[id_solicitud]],Tabla2[[#This Row],[tipo]])</f>
        <v>487Decreto</v>
      </c>
      <c r="B1145" s="45">
        <f>COUNTIF($A$2:A1145,A1145)</f>
        <v>1</v>
      </c>
      <c r="C1145" s="45" t="str">
        <f>Tabla2[[#This Row],[(id_solicitud-tipo_documento)]]&amp;B1145</f>
        <v>487Decreto1</v>
      </c>
      <c r="D1145" s="45">
        <v>1147</v>
      </c>
      <c r="E1145" s="45">
        <v>487</v>
      </c>
      <c r="F1145" s="45" t="s">
        <v>47</v>
      </c>
      <c r="G1145" s="45" t="s">
        <v>41</v>
      </c>
      <c r="H1145" s="50" t="s">
        <v>541</v>
      </c>
      <c r="I1145" s="51">
        <v>1936</v>
      </c>
      <c r="J1145" s="80"/>
      <c r="K11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1936 DOP_FETCovid19</v>
      </c>
      <c r="L1145" s="48">
        <v>44875</v>
      </c>
      <c r="M1145" s="48"/>
      <c r="N1145" s="49" t="s">
        <v>997</v>
      </c>
      <c r="O1145" s="45"/>
      <c r="P1145" s="80"/>
      <c r="Q1145" s="48"/>
      <c r="R1145" s="45"/>
      <c r="S1145" s="115">
        <v>1236</v>
      </c>
      <c r="T1145" s="20">
        <v>44868</v>
      </c>
      <c r="U1145" s="20"/>
      <c r="V1145" s="20"/>
      <c r="W1145" s="27"/>
    </row>
    <row r="1146" spans="1:23" ht="60" hidden="1" customHeight="1" x14ac:dyDescent="0.25">
      <c r="A1146" s="45" t="str">
        <f>CONCATENATE(Tabla2[[#This Row],[id_solicitud]],Tabla2[[#This Row],[tipo]])</f>
        <v>448Decreto</v>
      </c>
      <c r="B1146" s="45">
        <f>COUNTIF($A$2:A1146,A1146)</f>
        <v>1</v>
      </c>
      <c r="C1146" s="45" t="str">
        <f>Tabla2[[#This Row],[(id_solicitud-tipo_documento)]]&amp;B1146</f>
        <v>448Decreto1</v>
      </c>
      <c r="D1146" s="45">
        <v>1148</v>
      </c>
      <c r="E1146" s="45">
        <v>448</v>
      </c>
      <c r="F1146" s="45" t="s">
        <v>47</v>
      </c>
      <c r="G1146" s="45" t="s">
        <v>60</v>
      </c>
      <c r="H1146" s="50" t="s">
        <v>6</v>
      </c>
      <c r="I1146" s="51">
        <v>1937</v>
      </c>
      <c r="J1146" s="80"/>
      <c r="K11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1937 APR</v>
      </c>
      <c r="L1146" s="48">
        <v>44875</v>
      </c>
      <c r="M1146" s="48"/>
      <c r="N1146" s="49">
        <f>+E1146</f>
        <v>448</v>
      </c>
      <c r="O1146" s="45"/>
      <c r="P1146" s="80"/>
      <c r="Q1146" s="48"/>
      <c r="R1146" s="45"/>
      <c r="S1146" s="115">
        <v>1216</v>
      </c>
      <c r="T1146" s="20">
        <v>44869</v>
      </c>
      <c r="U1146" s="20"/>
      <c r="V1146" s="20"/>
      <c r="W1146" s="27"/>
    </row>
    <row r="1147" spans="1:23" ht="60" hidden="1" customHeight="1" x14ac:dyDescent="0.25">
      <c r="A1147" s="45" t="str">
        <f>CONCATENATE(Tabla2[[#This Row],[id_solicitud]],Tabla2[[#This Row],[tipo]])</f>
        <v>491Decreto</v>
      </c>
      <c r="B1147" s="45">
        <f>COUNTIF($A$2:A1147,A1147)</f>
        <v>1</v>
      </c>
      <c r="C1147" s="45" t="str">
        <f>Tabla2[[#This Row],[(id_solicitud-tipo_documento)]]&amp;B1147</f>
        <v>491Decreto1</v>
      </c>
      <c r="D1147" s="45">
        <v>1149</v>
      </c>
      <c r="E1147" s="45">
        <v>491</v>
      </c>
      <c r="F1147" s="45" t="s">
        <v>47</v>
      </c>
      <c r="G1147" s="45" t="s">
        <v>41</v>
      </c>
      <c r="H1147" s="50" t="s">
        <v>565</v>
      </c>
      <c r="I1147" s="51">
        <v>1938</v>
      </c>
      <c r="J1147" s="80"/>
      <c r="K11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1938 DGA_FETCovid19</v>
      </c>
      <c r="L1147" s="48">
        <v>44875</v>
      </c>
      <c r="M1147" s="48"/>
      <c r="N1147" s="49" t="s">
        <v>999</v>
      </c>
      <c r="O1147" s="45"/>
      <c r="P1147" s="80"/>
      <c r="Q1147" s="48"/>
      <c r="R1147" s="45"/>
      <c r="S1147" s="115">
        <v>1203</v>
      </c>
      <c r="T1147" s="20">
        <v>44868</v>
      </c>
      <c r="U1147" s="20"/>
      <c r="V1147" s="20"/>
      <c r="W1147" s="27"/>
    </row>
    <row r="1148" spans="1:23" ht="60" hidden="1" customHeight="1" x14ac:dyDescent="0.25">
      <c r="A1148" s="45" t="str">
        <f>CONCATENATE(Tabla2[[#This Row],[id_solicitud]],Tabla2[[#This Row],[tipo]])</f>
        <v>490Decreto</v>
      </c>
      <c r="B1148" s="45">
        <f>COUNTIF($A$2:A1148,A1148)</f>
        <v>1</v>
      </c>
      <c r="C1148" s="45" t="str">
        <f>Tabla2[[#This Row],[(id_solicitud-tipo_documento)]]&amp;B1148</f>
        <v>490Decreto1</v>
      </c>
      <c r="D1148" s="45">
        <v>1150</v>
      </c>
      <c r="E1148" s="45">
        <v>490</v>
      </c>
      <c r="F1148" s="45" t="s">
        <v>47</v>
      </c>
      <c r="G1148" s="45" t="s">
        <v>41</v>
      </c>
      <c r="H1148" s="50" t="s">
        <v>14</v>
      </c>
      <c r="I1148" s="51">
        <v>1939</v>
      </c>
      <c r="J1148" s="80"/>
      <c r="K11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1939 DGA</v>
      </c>
      <c r="L1148" s="48">
        <v>44875</v>
      </c>
      <c r="M1148" s="48"/>
      <c r="N1148" s="49" t="s">
        <v>1006</v>
      </c>
      <c r="O1148" s="45"/>
      <c r="P1148" s="80"/>
      <c r="Q1148" s="48"/>
      <c r="R1148" s="45"/>
      <c r="S1148" s="115">
        <v>1173</v>
      </c>
      <c r="T1148" s="20">
        <v>44862</v>
      </c>
      <c r="U1148" s="20">
        <v>44879</v>
      </c>
      <c r="V1148" s="20">
        <v>44879</v>
      </c>
      <c r="W1148" s="27"/>
    </row>
    <row r="1149" spans="1:23" ht="60" hidden="1" customHeight="1" x14ac:dyDescent="0.25">
      <c r="A1149" s="45" t="str">
        <f>CONCATENATE(Tabla2[[#This Row],[id_solicitud]],Tabla2[[#This Row],[tipo]])</f>
        <v>490Decreto</v>
      </c>
      <c r="B1149" s="45">
        <f>COUNTIF($A$2:A1149,A1149)</f>
        <v>2</v>
      </c>
      <c r="C1149" s="45" t="str">
        <f>Tabla2[[#This Row],[(id_solicitud-tipo_documento)]]&amp;B1149</f>
        <v>490Decreto2</v>
      </c>
      <c r="D1149" s="45">
        <v>1151</v>
      </c>
      <c r="E1149" s="45">
        <v>490</v>
      </c>
      <c r="F1149" s="45" t="s">
        <v>47</v>
      </c>
      <c r="G1149" s="45" t="s">
        <v>41</v>
      </c>
      <c r="H1149" s="50" t="s">
        <v>14</v>
      </c>
      <c r="I1149" s="51">
        <v>1942</v>
      </c>
      <c r="J1149" s="80"/>
      <c r="K11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1942 DGA</v>
      </c>
      <c r="L1149" s="48">
        <v>44875</v>
      </c>
      <c r="M1149" s="48"/>
      <c r="N1149" s="49" t="s">
        <v>998</v>
      </c>
      <c r="O1149" s="45"/>
      <c r="P1149" s="80"/>
      <c r="Q1149" s="48"/>
      <c r="R1149" s="45"/>
      <c r="S1149" s="115">
        <v>1174</v>
      </c>
      <c r="T1149" s="20">
        <v>44862</v>
      </c>
      <c r="U1149" s="20">
        <v>44879</v>
      </c>
      <c r="V1149" s="20">
        <v>44879</v>
      </c>
      <c r="W1149" s="27"/>
    </row>
    <row r="1150" spans="1:23" ht="60" hidden="1" customHeight="1" x14ac:dyDescent="0.25">
      <c r="A1150" s="45" t="str">
        <f>CONCATENATE(Tabla2[[#This Row],[id_solicitud]],Tabla2[[#This Row],[tipo]])</f>
        <v>435Oficio_Solicitud</v>
      </c>
      <c r="B1150" s="45">
        <f>COUNTIF($A$2:A1150,A1150)</f>
        <v>1</v>
      </c>
      <c r="C1150" s="45" t="str">
        <f>Tabla2[[#This Row],[(id_solicitud-tipo_documento)]]&amp;B1150</f>
        <v>435Oficio_Solicitud1</v>
      </c>
      <c r="D1150" s="45">
        <v>1152</v>
      </c>
      <c r="E1150" s="45">
        <v>435</v>
      </c>
      <c r="F1150" s="45" t="s">
        <v>53</v>
      </c>
      <c r="G1150" s="45" t="s">
        <v>60</v>
      </c>
      <c r="H1150" s="50" t="s">
        <v>535</v>
      </c>
      <c r="I1150" s="51">
        <v>1950</v>
      </c>
      <c r="J1150" s="80"/>
      <c r="K11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1950 DOH_FETCovid19</v>
      </c>
      <c r="L1150" s="48">
        <v>44782</v>
      </c>
      <c r="M1150" s="48">
        <v>44783</v>
      </c>
      <c r="N1150" s="49" t="s">
        <v>348</v>
      </c>
      <c r="O1150" s="45">
        <v>17</v>
      </c>
      <c r="P1150" s="80" t="s">
        <v>494</v>
      </c>
      <c r="Q1150" s="48">
        <v>44790</v>
      </c>
      <c r="R1150" s="45"/>
      <c r="S1150" s="114"/>
      <c r="T1150" s="52"/>
      <c r="U1150" s="48"/>
      <c r="V1150" s="48"/>
      <c r="W1150" s="27"/>
    </row>
    <row r="1151" spans="1:23" ht="60" hidden="1" customHeight="1" x14ac:dyDescent="0.25">
      <c r="A1151" s="45" t="str">
        <f>CONCATENATE(Tabla2[[#This Row],[id_solicitud]],Tabla2[[#This Row],[tipo]])</f>
        <v>347Oficio_Solicitud</v>
      </c>
      <c r="B1151" s="45">
        <f>COUNTIF($A$2:A1151,A1151)</f>
        <v>1</v>
      </c>
      <c r="C1151" s="45" t="str">
        <f>Tabla2[[#This Row],[(id_solicitud-tipo_documento)]]&amp;B1151</f>
        <v>347Oficio_Solicitud1</v>
      </c>
      <c r="D1151" s="45">
        <v>1153</v>
      </c>
      <c r="E1151" s="45">
        <v>347</v>
      </c>
      <c r="F1151" s="45" t="s">
        <v>53</v>
      </c>
      <c r="G1151" s="45" t="s">
        <v>64</v>
      </c>
      <c r="H1151" s="50" t="s">
        <v>6</v>
      </c>
      <c r="I1151" s="51">
        <v>1956</v>
      </c>
      <c r="J1151" s="80"/>
      <c r="K11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1956 APR</v>
      </c>
      <c r="L1151" s="48">
        <v>44782</v>
      </c>
      <c r="M1151" s="48">
        <v>44783</v>
      </c>
      <c r="N1151" s="49" t="s">
        <v>351</v>
      </c>
      <c r="O1151" s="45">
        <v>5</v>
      </c>
      <c r="P1151" s="80" t="s">
        <v>494</v>
      </c>
      <c r="Q1151" s="48"/>
      <c r="R1151" s="45"/>
      <c r="S1151" s="114"/>
      <c r="T1151" s="52"/>
      <c r="U1151" s="48"/>
      <c r="V1151" s="48"/>
      <c r="W1151" s="27"/>
    </row>
    <row r="1152" spans="1:23" ht="60" hidden="1" customHeight="1" x14ac:dyDescent="0.25">
      <c r="A1152" s="45" t="str">
        <f>CONCATENATE(Tabla2[[#This Row],[id_solicitud]],Tabla2[[#This Row],[tipo]])</f>
        <v>348Oficio_Solicitud</v>
      </c>
      <c r="B1152" s="45">
        <f>COUNTIF($A$2:A1152,A1152)</f>
        <v>1</v>
      </c>
      <c r="C1152" s="45" t="str">
        <f>Tabla2[[#This Row],[(id_solicitud-tipo_documento)]]&amp;B1152</f>
        <v>348Oficio_Solicitud1</v>
      </c>
      <c r="D1152" s="45">
        <v>1154</v>
      </c>
      <c r="E1152" s="45">
        <v>348</v>
      </c>
      <c r="F1152" s="45" t="s">
        <v>53</v>
      </c>
      <c r="G1152" s="45" t="s">
        <v>61</v>
      </c>
      <c r="H1152" s="50" t="s">
        <v>6</v>
      </c>
      <c r="I1152" s="51">
        <v>1959</v>
      </c>
      <c r="J1152" s="80"/>
      <c r="K11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1959 APR</v>
      </c>
      <c r="L1152" s="48">
        <v>44782</v>
      </c>
      <c r="M1152" s="48">
        <v>44783</v>
      </c>
      <c r="N1152" s="49" t="s">
        <v>352</v>
      </c>
      <c r="O1152" s="45">
        <f>3+38</f>
        <v>41</v>
      </c>
      <c r="P1152" s="80" t="s">
        <v>494</v>
      </c>
      <c r="Q1152" s="48">
        <v>44790</v>
      </c>
      <c r="R1152" s="45"/>
      <c r="S1152" s="114"/>
      <c r="T1152" s="52"/>
      <c r="U1152" s="48"/>
      <c r="V1152" s="48"/>
      <c r="W1152" s="27"/>
    </row>
    <row r="1153" spans="1:23" ht="60" hidden="1" customHeight="1" x14ac:dyDescent="0.25">
      <c r="A1153" s="45" t="str">
        <f>CONCATENATE(Tabla2[[#This Row],[id_solicitud]],Tabla2[[#This Row],[tipo]])</f>
        <v>457Oficio_Solicitud</v>
      </c>
      <c r="B1153" s="45">
        <f>COUNTIF($A$2:A1153,A1153)</f>
        <v>1</v>
      </c>
      <c r="C1153" s="45" t="str">
        <f>Tabla2[[#This Row],[(id_solicitud-tipo_documento)]]&amp;B1153</f>
        <v>457Oficio_Solicitud1</v>
      </c>
      <c r="D1153" s="45">
        <v>1155</v>
      </c>
      <c r="E1153" s="45">
        <v>457</v>
      </c>
      <c r="F1153" s="45" t="s">
        <v>53</v>
      </c>
      <c r="G1153" s="45" t="s">
        <v>40</v>
      </c>
      <c r="H1153" s="50" t="s">
        <v>6</v>
      </c>
      <c r="I1153" s="51">
        <v>1959</v>
      </c>
      <c r="J1153" s="80"/>
      <c r="K11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1959 APR</v>
      </c>
      <c r="L1153" s="48">
        <v>44782</v>
      </c>
      <c r="M1153" s="48">
        <v>44783</v>
      </c>
      <c r="N1153" s="49"/>
      <c r="O1153" s="45"/>
      <c r="P1153" s="80" t="s">
        <v>498</v>
      </c>
      <c r="Q1153" s="48"/>
      <c r="R1153" s="45"/>
      <c r="S1153" s="114"/>
      <c r="T1153" s="52"/>
      <c r="U1153" s="48"/>
      <c r="V1153" s="48"/>
      <c r="W1153" s="27"/>
    </row>
    <row r="1154" spans="1:23" ht="60" hidden="1" customHeight="1" x14ac:dyDescent="0.25">
      <c r="A1154" s="45" t="str">
        <f>CONCATENATE(Tabla2[[#This Row],[id_solicitud]],Tabla2[[#This Row],[tipo]])</f>
        <v>349Oficio_Solicitud</v>
      </c>
      <c r="B1154" s="45">
        <f>COUNTIF($A$2:A1154,A1154)</f>
        <v>1</v>
      </c>
      <c r="C1154" s="45" t="str">
        <f>Tabla2[[#This Row],[(id_solicitud-tipo_documento)]]&amp;B1154</f>
        <v>349Oficio_Solicitud1</v>
      </c>
      <c r="D1154" s="45">
        <v>1156</v>
      </c>
      <c r="E1154" s="45">
        <v>349</v>
      </c>
      <c r="F1154" s="45" t="s">
        <v>53</v>
      </c>
      <c r="G1154" s="45" t="s">
        <v>61</v>
      </c>
      <c r="H1154" s="50" t="s">
        <v>559</v>
      </c>
      <c r="I1154" s="51">
        <v>1961</v>
      </c>
      <c r="J1154" s="80"/>
      <c r="K11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1961 APR_FETCovid19</v>
      </c>
      <c r="L1154" s="48">
        <v>44782</v>
      </c>
      <c r="M1154" s="48">
        <v>44783</v>
      </c>
      <c r="N1154" s="49" t="s">
        <v>353</v>
      </c>
      <c r="O1154" s="45">
        <f>6+31</f>
        <v>37</v>
      </c>
      <c r="P1154" s="80" t="s">
        <v>494</v>
      </c>
      <c r="Q1154" s="48">
        <v>44795</v>
      </c>
      <c r="R1154" s="45"/>
      <c r="S1154" s="114"/>
      <c r="T1154" s="52"/>
      <c r="U1154" s="48"/>
      <c r="V1154" s="48"/>
      <c r="W1154" s="27"/>
    </row>
    <row r="1155" spans="1:23" ht="60" hidden="1" customHeight="1" x14ac:dyDescent="0.25">
      <c r="A1155" s="45" t="str">
        <f>CONCATENATE(Tabla2[[#This Row],[id_solicitud]],Tabla2[[#This Row],[tipo]])</f>
        <v>352Oficio_Solicitud</v>
      </c>
      <c r="B1155" s="45">
        <f>COUNTIF($A$2:A1155,A1155)</f>
        <v>1</v>
      </c>
      <c r="C1155" s="45" t="str">
        <f>Tabla2[[#This Row],[(id_solicitud-tipo_documento)]]&amp;B1155</f>
        <v>352Oficio_Solicitud1</v>
      </c>
      <c r="D1155" s="45">
        <v>1157</v>
      </c>
      <c r="E1155" s="45">
        <v>352</v>
      </c>
      <c r="F1155" s="45" t="s">
        <v>53</v>
      </c>
      <c r="G1155" s="45" t="s">
        <v>1258</v>
      </c>
      <c r="H1155" s="50" t="s">
        <v>559</v>
      </c>
      <c r="I1155" s="51">
        <v>1987</v>
      </c>
      <c r="J1155" s="80"/>
      <c r="K11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1987 APR_FETCovid19</v>
      </c>
      <c r="L1155" s="48">
        <v>44783</v>
      </c>
      <c r="M1155" s="48">
        <v>44784</v>
      </c>
      <c r="N1155" s="49" t="s">
        <v>356</v>
      </c>
      <c r="O1155" s="45">
        <v>1</v>
      </c>
      <c r="P1155" s="80" t="s">
        <v>494</v>
      </c>
      <c r="Q1155" s="48">
        <v>44784</v>
      </c>
      <c r="R1155" s="45"/>
      <c r="S1155" s="114"/>
      <c r="T1155" s="52"/>
      <c r="U1155" s="48"/>
      <c r="V1155" s="48"/>
      <c r="W1155" s="27"/>
    </row>
    <row r="1156" spans="1:23" ht="60" hidden="1" customHeight="1" x14ac:dyDescent="0.25">
      <c r="A1156" s="45" t="str">
        <f>CONCATENATE(Tabla2[[#This Row],[id_solicitud]],Tabla2[[#This Row],[tipo]])</f>
        <v>498Resolucion</v>
      </c>
      <c r="B1156" s="45">
        <f>COUNTIF($A$2:A1156,A1156)</f>
        <v>1</v>
      </c>
      <c r="C1156" s="45" t="str">
        <f>Tabla2[[#This Row],[(id_solicitud-tipo_documento)]]&amp;B1156</f>
        <v>498Resolucion1</v>
      </c>
      <c r="D1156" s="45">
        <v>1158</v>
      </c>
      <c r="E1156" s="45">
        <v>498</v>
      </c>
      <c r="F1156" s="45" t="s">
        <v>48</v>
      </c>
      <c r="G1156" s="45"/>
      <c r="H1156" s="50" t="s">
        <v>10</v>
      </c>
      <c r="I1156" s="51">
        <v>1980</v>
      </c>
      <c r="J1156" s="80"/>
      <c r="K11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56" s="48">
        <v>44869</v>
      </c>
      <c r="M1156" s="48"/>
      <c r="N1156" s="49"/>
      <c r="O1156" s="45"/>
      <c r="P1156" s="80"/>
      <c r="Q1156" s="48"/>
      <c r="R1156" s="45"/>
      <c r="S1156" s="114"/>
      <c r="T1156" s="45"/>
      <c r="U1156" s="48"/>
      <c r="V1156" s="48"/>
      <c r="W1156" s="27"/>
    </row>
    <row r="1157" spans="1:23" ht="60" hidden="1" customHeight="1" x14ac:dyDescent="0.25">
      <c r="A1157" s="45" t="str">
        <f>CONCATENATE(Tabla2[[#This Row],[id_solicitud]],Tabla2[[#This Row],[tipo]])</f>
        <v>357Oficio_Solicitud</v>
      </c>
      <c r="B1157" s="45">
        <f>COUNTIF($A$2:A1157,A1157)</f>
        <v>1</v>
      </c>
      <c r="C1157" s="45" t="str">
        <f>Tabla2[[#This Row],[(id_solicitud-tipo_documento)]]&amp;B1157</f>
        <v>357Oficio_Solicitud1</v>
      </c>
      <c r="D1157" s="45">
        <v>1159</v>
      </c>
      <c r="E1157" s="45">
        <v>357</v>
      </c>
      <c r="F1157" s="45" t="s">
        <v>53</v>
      </c>
      <c r="G1157" s="45" t="s">
        <v>1258</v>
      </c>
      <c r="H1157" s="50" t="s">
        <v>6</v>
      </c>
      <c r="I1157" s="51">
        <v>1992</v>
      </c>
      <c r="J1157" s="80"/>
      <c r="K11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1992 APR</v>
      </c>
      <c r="L1157" s="48">
        <v>44784</v>
      </c>
      <c r="M1157" s="48">
        <v>44785</v>
      </c>
      <c r="N1157" s="49" t="s">
        <v>361</v>
      </c>
      <c r="O1157" s="45">
        <v>1</v>
      </c>
      <c r="P1157" s="80" t="s">
        <v>494</v>
      </c>
      <c r="Q1157" s="48">
        <v>44785</v>
      </c>
      <c r="R1157" s="45"/>
      <c r="S1157" s="114"/>
      <c r="T1157" s="52"/>
      <c r="U1157" s="48"/>
      <c r="V1157" s="48"/>
      <c r="W1157" s="27"/>
    </row>
    <row r="1158" spans="1:23" ht="60" hidden="1" customHeight="1" x14ac:dyDescent="0.25">
      <c r="A1158" s="45" t="str">
        <f>CONCATENATE(Tabla2[[#This Row],[id_solicitud]],Tabla2[[#This Row],[tipo]])</f>
        <v>102Oficio_Solicitud</v>
      </c>
      <c r="B1158" s="45">
        <f>COUNTIF($A$2:A1158,A1158)</f>
        <v>1</v>
      </c>
      <c r="C1158" s="45" t="str">
        <f>Tabla2[[#This Row],[(id_solicitud-tipo_documento)]]&amp;B1158</f>
        <v>102Oficio_Solicitud1</v>
      </c>
      <c r="D1158" s="45">
        <v>1160</v>
      </c>
      <c r="E1158" s="45">
        <v>102</v>
      </c>
      <c r="F1158" s="45" t="s">
        <v>53</v>
      </c>
      <c r="G1158" s="45" t="s">
        <v>40</v>
      </c>
      <c r="H1158" s="50" t="s">
        <v>26</v>
      </c>
      <c r="I1158" s="51">
        <v>2100</v>
      </c>
      <c r="J1158" s="80"/>
      <c r="K11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2100 DV</v>
      </c>
      <c r="L1158" s="48">
        <v>44623</v>
      </c>
      <c r="M1158" s="48">
        <v>44624</v>
      </c>
      <c r="N1158" s="49" t="s">
        <v>151</v>
      </c>
      <c r="O1158" s="45">
        <v>1</v>
      </c>
      <c r="P1158" s="80" t="s">
        <v>494</v>
      </c>
      <c r="Q1158" s="48">
        <v>44624</v>
      </c>
      <c r="R1158" s="45"/>
      <c r="S1158" s="114"/>
      <c r="T1158" s="52"/>
      <c r="U1158" s="48"/>
      <c r="V1158" s="48"/>
      <c r="W1158" s="27"/>
    </row>
    <row r="1159" spans="1:23" ht="60" hidden="1" customHeight="1" x14ac:dyDescent="0.25">
      <c r="A1159" s="45" t="str">
        <f>CONCATENATE(Tabla2[[#This Row],[id_solicitud]],Tabla2[[#This Row],[tipo]])</f>
        <v>145Resolucion</v>
      </c>
      <c r="B1159" s="45">
        <f>COUNTIF($A$2:A1159,A1159)</f>
        <v>1</v>
      </c>
      <c r="C1159" s="45" t="str">
        <f>Tabla2[[#This Row],[(id_solicitud-tipo_documento)]]&amp;B1159</f>
        <v>145Resolucion1</v>
      </c>
      <c r="D1159" s="45">
        <v>1161</v>
      </c>
      <c r="E1159" s="45">
        <v>145</v>
      </c>
      <c r="F1159" s="45" t="s">
        <v>48</v>
      </c>
      <c r="G1159" s="45"/>
      <c r="H1159" s="50" t="s">
        <v>6</v>
      </c>
      <c r="I1159" s="51">
        <v>2009</v>
      </c>
      <c r="J1159" s="80"/>
      <c r="K11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59" s="48">
        <v>44705</v>
      </c>
      <c r="M1159" s="48"/>
      <c r="N1159" s="49"/>
      <c r="O1159" s="45"/>
      <c r="P1159" s="80"/>
      <c r="Q1159" s="48"/>
      <c r="R1159" s="45"/>
      <c r="S1159" s="114"/>
      <c r="T1159" s="45"/>
      <c r="U1159" s="48"/>
      <c r="V1159" s="48"/>
      <c r="W1159" s="27"/>
    </row>
    <row r="1160" spans="1:23" ht="60" hidden="1" customHeight="1" x14ac:dyDescent="0.25">
      <c r="A1160" s="45" t="str">
        <f>CONCATENATE(Tabla2[[#This Row],[id_solicitud]],Tabla2[[#This Row],[tipo]])</f>
        <v>106Resolucion</v>
      </c>
      <c r="B1160" s="45">
        <f>COUNTIF($A$2:A1160,A1160)</f>
        <v>1</v>
      </c>
      <c r="C1160" s="45" t="str">
        <f>Tabla2[[#This Row],[(id_solicitud-tipo_documento)]]&amp;B1160</f>
        <v>106Resolucion1</v>
      </c>
      <c r="D1160" s="45">
        <v>1162</v>
      </c>
      <c r="E1160" s="45">
        <v>106</v>
      </c>
      <c r="F1160" s="45" t="s">
        <v>48</v>
      </c>
      <c r="G1160" s="45"/>
      <c r="H1160" s="50" t="s">
        <v>20</v>
      </c>
      <c r="I1160" s="51">
        <v>2010</v>
      </c>
      <c r="J1160" s="80"/>
      <c r="K11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60" s="48">
        <v>44705</v>
      </c>
      <c r="M1160" s="48"/>
      <c r="N1160" s="49"/>
      <c r="O1160" s="45"/>
      <c r="P1160" s="80"/>
      <c r="Q1160" s="48"/>
      <c r="R1160" s="45"/>
      <c r="S1160" s="114"/>
      <c r="T1160" s="45"/>
      <c r="U1160" s="48"/>
      <c r="V1160" s="48"/>
      <c r="W1160" s="27"/>
    </row>
    <row r="1161" spans="1:23" ht="60" hidden="1" customHeight="1" x14ac:dyDescent="0.25">
      <c r="A1161" s="45" t="str">
        <f>CONCATENATE(Tabla2[[#This Row],[id_solicitud]],Tabla2[[#This Row],[tipo]])</f>
        <v>172Resolucion</v>
      </c>
      <c r="B1161" s="45">
        <f>COUNTIF($A$2:A1161,A1161)</f>
        <v>1</v>
      </c>
      <c r="C1161" s="45" t="str">
        <f>Tabla2[[#This Row],[(id_solicitud-tipo_documento)]]&amp;B1161</f>
        <v>172Resolucion1</v>
      </c>
      <c r="D1161" s="45">
        <v>1163</v>
      </c>
      <c r="E1161" s="45">
        <v>172</v>
      </c>
      <c r="F1161" s="45" t="s">
        <v>48</v>
      </c>
      <c r="G1161" s="45"/>
      <c r="H1161" s="50" t="s">
        <v>535</v>
      </c>
      <c r="I1161" s="51">
        <v>2011</v>
      </c>
      <c r="J1161" s="80"/>
      <c r="K11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61" s="48">
        <v>44706</v>
      </c>
      <c r="M1161" s="48"/>
      <c r="N1161" s="49"/>
      <c r="O1161" s="45"/>
      <c r="P1161" s="80"/>
      <c r="Q1161" s="48"/>
      <c r="R1161" s="45"/>
      <c r="S1161" s="114"/>
      <c r="T1161" s="45"/>
      <c r="U1161" s="48"/>
      <c r="V1161" s="48"/>
      <c r="W1161" s="27"/>
    </row>
    <row r="1162" spans="1:23" ht="60" hidden="1" customHeight="1" x14ac:dyDescent="0.25">
      <c r="A1162" s="45" t="str">
        <f>CONCATENATE(Tabla2[[#This Row],[id_solicitud]],Tabla2[[#This Row],[tipo]])</f>
        <v>496Resolucion</v>
      </c>
      <c r="B1162" s="45">
        <f>COUNTIF($A$2:A1162,A1162)</f>
        <v>1</v>
      </c>
      <c r="C1162" s="45" t="str">
        <f>Tabla2[[#This Row],[(id_solicitud-tipo_documento)]]&amp;B1162</f>
        <v>496Resolucion1</v>
      </c>
      <c r="D1162" s="45">
        <v>1164</v>
      </c>
      <c r="E1162" s="45">
        <v>496</v>
      </c>
      <c r="F1162" s="45" t="s">
        <v>48</v>
      </c>
      <c r="G1162" s="45"/>
      <c r="H1162" s="50" t="s">
        <v>544</v>
      </c>
      <c r="I1162" s="51">
        <v>2011</v>
      </c>
      <c r="J1162" s="80"/>
      <c r="K11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62" s="48">
        <v>44873</v>
      </c>
      <c r="M1162" s="48"/>
      <c r="N1162" s="49"/>
      <c r="O1162" s="45"/>
      <c r="P1162" s="80"/>
      <c r="Q1162" s="48"/>
      <c r="R1162" s="45"/>
      <c r="S1162" s="114"/>
      <c r="T1162" s="45"/>
      <c r="U1162" s="48"/>
      <c r="V1162" s="48"/>
      <c r="W1162" s="27"/>
    </row>
    <row r="1163" spans="1:23" ht="60" hidden="1" customHeight="1" x14ac:dyDescent="0.25">
      <c r="A1163" s="45" t="str">
        <f>CONCATENATE(Tabla2[[#This Row],[id_solicitud]],Tabla2[[#This Row],[tipo]])</f>
        <v>244Resolucion</v>
      </c>
      <c r="B1163" s="45">
        <f>COUNTIF($A$2:A1163,A1163)</f>
        <v>1</v>
      </c>
      <c r="C1163" s="45" t="str">
        <f>Tabla2[[#This Row],[(id_solicitud-tipo_documento)]]&amp;B1163</f>
        <v>244Resolucion1</v>
      </c>
      <c r="D1163" s="45">
        <v>1165</v>
      </c>
      <c r="E1163" s="45">
        <v>244</v>
      </c>
      <c r="F1163" s="45" t="s">
        <v>48</v>
      </c>
      <c r="G1163" s="45"/>
      <c r="H1163" s="50" t="s">
        <v>26</v>
      </c>
      <c r="I1163" s="51">
        <v>2032</v>
      </c>
      <c r="J1163" s="80"/>
      <c r="K11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63" s="48">
        <v>44776</v>
      </c>
      <c r="M1163" s="48"/>
      <c r="N1163" s="49"/>
      <c r="O1163" s="45"/>
      <c r="P1163" s="80"/>
      <c r="Q1163" s="48"/>
      <c r="R1163" s="45"/>
      <c r="S1163" s="114"/>
      <c r="T1163" s="45"/>
      <c r="U1163" s="48"/>
      <c r="V1163" s="48"/>
      <c r="W1163" s="27"/>
    </row>
    <row r="1164" spans="1:23" ht="60" hidden="1" customHeight="1" x14ac:dyDescent="0.25">
      <c r="A1164" s="45" t="str">
        <f>CONCATENATE(Tabla2[[#This Row],[id_solicitud]],Tabla2[[#This Row],[tipo]])</f>
        <v>291Oficio_Autorizacion</v>
      </c>
      <c r="B1164" s="45">
        <f>COUNTIF($A$2:A1164,A1164)</f>
        <v>1</v>
      </c>
      <c r="C1164" s="45" t="str">
        <f>Tabla2[[#This Row],[(id_solicitud-tipo_documento)]]&amp;B1164</f>
        <v>291Oficio_Autorizacion1</v>
      </c>
      <c r="D1164" s="45">
        <v>1166</v>
      </c>
      <c r="E1164" s="45">
        <v>291</v>
      </c>
      <c r="F1164" s="45" t="s">
        <v>1272</v>
      </c>
      <c r="G1164" s="45" t="s">
        <v>44</v>
      </c>
      <c r="H1164" s="50" t="s">
        <v>14</v>
      </c>
      <c r="I1164" s="51">
        <v>2037</v>
      </c>
      <c r="J1164" s="80"/>
      <c r="K11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64" s="48">
        <v>44792</v>
      </c>
      <c r="M1164" s="48"/>
      <c r="N1164" s="49" t="s">
        <v>902</v>
      </c>
      <c r="O1164" s="45"/>
      <c r="P1164" s="80"/>
      <c r="Q1164" s="48"/>
      <c r="R1164" s="45"/>
      <c r="S1164" s="115">
        <v>647</v>
      </c>
      <c r="T1164" s="20">
        <v>44785</v>
      </c>
      <c r="U1164" s="20"/>
      <c r="V1164" s="20"/>
      <c r="W1164" s="27"/>
    </row>
    <row r="1165" spans="1:23" ht="60" hidden="1" customHeight="1" x14ac:dyDescent="0.25">
      <c r="A1165" s="45" t="str">
        <f>CONCATENATE(Tabla2[[#This Row],[id_solicitud]],Tabla2[[#This Row],[tipo]])</f>
        <v>303Oficio_Autorizacion</v>
      </c>
      <c r="B1165" s="45">
        <f>COUNTIF($A$2:A1165,A1165)</f>
        <v>1</v>
      </c>
      <c r="C1165" s="45" t="str">
        <f>Tabla2[[#This Row],[(id_solicitud-tipo_documento)]]&amp;B1165</f>
        <v>303Oficio_Autorizacion1</v>
      </c>
      <c r="D1165" s="45">
        <v>1167</v>
      </c>
      <c r="E1165" s="45">
        <v>303</v>
      </c>
      <c r="F1165" s="45" t="s">
        <v>1272</v>
      </c>
      <c r="G1165" s="45" t="s">
        <v>44</v>
      </c>
      <c r="H1165" s="50" t="s">
        <v>565</v>
      </c>
      <c r="I1165" s="51">
        <v>2037</v>
      </c>
      <c r="J1165" s="80"/>
      <c r="K11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65" s="48">
        <v>44792</v>
      </c>
      <c r="M1165" s="48"/>
      <c r="N1165" s="49" t="s">
        <v>907</v>
      </c>
      <c r="O1165" s="45"/>
      <c r="P1165" s="80"/>
      <c r="Q1165" s="48"/>
      <c r="R1165" s="45"/>
      <c r="S1165" s="115">
        <v>647</v>
      </c>
      <c r="T1165" s="20">
        <v>44785</v>
      </c>
      <c r="U1165" s="20"/>
      <c r="V1165" s="20"/>
      <c r="W1165" s="27"/>
    </row>
    <row r="1166" spans="1:23" ht="60" hidden="1" customHeight="1" x14ac:dyDescent="0.25">
      <c r="A1166" s="45" t="str">
        <f>CONCATENATE(Tabla2[[#This Row],[id_solicitud]],Tabla2[[#This Row],[tipo]])</f>
        <v>370Oficio_Autorizacion</v>
      </c>
      <c r="B1166" s="45">
        <f>COUNTIF($A$2:A1166,A1166)</f>
        <v>1</v>
      </c>
      <c r="C1166" s="45" t="str">
        <f>Tabla2[[#This Row],[(id_solicitud-tipo_documento)]]&amp;B1166</f>
        <v>370Oficio_Autorizacion1</v>
      </c>
      <c r="D1166" s="45">
        <v>1168</v>
      </c>
      <c r="E1166" s="45">
        <v>370</v>
      </c>
      <c r="F1166" s="45" t="s">
        <v>1272</v>
      </c>
      <c r="G1166" s="45" t="s">
        <v>44</v>
      </c>
      <c r="H1166" s="50" t="s">
        <v>598</v>
      </c>
      <c r="I1166" s="51">
        <v>2037</v>
      </c>
      <c r="J1166" s="80"/>
      <c r="K11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66" s="48">
        <v>44792</v>
      </c>
      <c r="M1166" s="48"/>
      <c r="N1166" s="49" t="s">
        <v>945</v>
      </c>
      <c r="O1166" s="45"/>
      <c r="P1166" s="80"/>
      <c r="Q1166" s="48"/>
      <c r="R1166" s="45"/>
      <c r="S1166" s="115">
        <v>647</v>
      </c>
      <c r="T1166" s="20">
        <v>44785</v>
      </c>
      <c r="U1166" s="20"/>
      <c r="V1166" s="20"/>
      <c r="W1166" s="27"/>
    </row>
    <row r="1167" spans="1:23" ht="60" hidden="1" customHeight="1" x14ac:dyDescent="0.25">
      <c r="A1167" s="45" t="str">
        <f>CONCATENATE(Tabla2[[#This Row],[id_solicitud]],Tabla2[[#This Row],[tipo]])</f>
        <v>366Oficio_Autorizacion</v>
      </c>
      <c r="B1167" s="45">
        <f>COUNTIF($A$2:A1167,A1167)</f>
        <v>1</v>
      </c>
      <c r="C1167" s="45" t="str">
        <f>Tabla2[[#This Row],[(id_solicitud-tipo_documento)]]&amp;B1167</f>
        <v>366Oficio_Autorizacion1</v>
      </c>
      <c r="D1167" s="45">
        <v>1169</v>
      </c>
      <c r="E1167" s="45">
        <v>366</v>
      </c>
      <c r="F1167" s="45" t="s">
        <v>1272</v>
      </c>
      <c r="G1167" s="45" t="s">
        <v>44</v>
      </c>
      <c r="H1167" s="50" t="s">
        <v>10</v>
      </c>
      <c r="I1167" s="51">
        <v>2042</v>
      </c>
      <c r="J1167" s="80"/>
      <c r="K11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67" s="48">
        <v>44792</v>
      </c>
      <c r="M1167" s="48"/>
      <c r="N1167" s="49">
        <f>+E1167</f>
        <v>366</v>
      </c>
      <c r="O1167" s="45"/>
      <c r="P1167" s="80"/>
      <c r="Q1167" s="48"/>
      <c r="R1167" s="45"/>
      <c r="S1167" s="115">
        <v>660</v>
      </c>
      <c r="T1167" s="20">
        <v>44785</v>
      </c>
      <c r="U1167" s="20"/>
      <c r="V1167" s="20"/>
      <c r="W1167" s="27"/>
    </row>
    <row r="1168" spans="1:23" ht="60" hidden="1" customHeight="1" x14ac:dyDescent="0.25">
      <c r="A1168" s="45" t="str">
        <f>CONCATENATE(Tabla2[[#This Row],[id_solicitud]],Tabla2[[#This Row],[tipo]])</f>
        <v>288Oficio_Autorizacion</v>
      </c>
      <c r="B1168" s="45">
        <f>COUNTIF($A$2:A1168,A1168)</f>
        <v>1</v>
      </c>
      <c r="C1168" s="45" t="str">
        <f>Tabla2[[#This Row],[(id_solicitud-tipo_documento)]]&amp;B1168</f>
        <v>288Oficio_Autorizacion1</v>
      </c>
      <c r="D1168" s="45">
        <v>1170</v>
      </c>
      <c r="E1168" s="45">
        <v>288</v>
      </c>
      <c r="F1168" s="45" t="s">
        <v>1272</v>
      </c>
      <c r="G1168" s="45" t="s">
        <v>44</v>
      </c>
      <c r="H1168" s="50" t="s">
        <v>565</v>
      </c>
      <c r="I1168" s="51">
        <v>2043</v>
      </c>
      <c r="J1168" s="80"/>
      <c r="K11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68" s="48">
        <v>44792</v>
      </c>
      <c r="M1168" s="48"/>
      <c r="N1168" s="49" t="s">
        <v>901</v>
      </c>
      <c r="O1168" s="45"/>
      <c r="P1168" s="80"/>
      <c r="Q1168" s="48"/>
      <c r="R1168" s="45"/>
      <c r="S1168" s="115">
        <v>645</v>
      </c>
      <c r="T1168" s="20">
        <v>44785</v>
      </c>
      <c r="U1168" s="20"/>
      <c r="V1168" s="20"/>
      <c r="W1168" s="27"/>
    </row>
    <row r="1169" spans="1:23" ht="60" hidden="1" customHeight="1" x14ac:dyDescent="0.25">
      <c r="A1169" s="45" t="str">
        <f>CONCATENATE(Tabla2[[#This Row],[id_solicitud]],Tabla2[[#This Row],[tipo]])</f>
        <v>367Oficio_Autorizacion</v>
      </c>
      <c r="B1169" s="45">
        <f>COUNTIF($A$2:A1169,A1169)</f>
        <v>1</v>
      </c>
      <c r="C1169" s="45" t="str">
        <f>Tabla2[[#This Row],[(id_solicitud-tipo_documento)]]&amp;B1169</f>
        <v>367Oficio_Autorizacion1</v>
      </c>
      <c r="D1169" s="45">
        <v>1171</v>
      </c>
      <c r="E1169" s="45">
        <v>367</v>
      </c>
      <c r="F1169" s="45" t="s">
        <v>1272</v>
      </c>
      <c r="G1169" s="45" t="s">
        <v>44</v>
      </c>
      <c r="H1169" s="50" t="s">
        <v>35</v>
      </c>
      <c r="I1169" s="51">
        <v>2044</v>
      </c>
      <c r="J1169" s="80"/>
      <c r="K11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69" s="48">
        <v>44792</v>
      </c>
      <c r="M1169" s="48"/>
      <c r="N1169" s="49" t="s">
        <v>942</v>
      </c>
      <c r="O1169" s="45"/>
      <c r="P1169" s="80"/>
      <c r="Q1169" s="48"/>
      <c r="R1169" s="45"/>
      <c r="S1169" s="115">
        <v>666</v>
      </c>
      <c r="T1169" s="20">
        <v>44789</v>
      </c>
      <c r="U1169" s="20"/>
      <c r="V1169" s="20"/>
      <c r="W1169" s="27"/>
    </row>
    <row r="1170" spans="1:23" ht="60" hidden="1" customHeight="1" x14ac:dyDescent="0.25">
      <c r="A1170" s="45" t="str">
        <f>CONCATENATE(Tabla2[[#This Row],[id_solicitud]],Tabla2[[#This Row],[tipo]])</f>
        <v>159Resolucion</v>
      </c>
      <c r="B1170" s="45">
        <f>COUNTIF($A$2:A1170,A1170)</f>
        <v>1</v>
      </c>
      <c r="C1170" s="45" t="str">
        <f>Tabla2[[#This Row],[(id_solicitud-tipo_documento)]]&amp;B1170</f>
        <v>159Resolucion1</v>
      </c>
      <c r="D1170" s="45">
        <v>1172</v>
      </c>
      <c r="E1170" s="45">
        <v>159</v>
      </c>
      <c r="F1170" s="45" t="s">
        <v>48</v>
      </c>
      <c r="G1170" s="45"/>
      <c r="H1170" s="50" t="s">
        <v>20</v>
      </c>
      <c r="I1170" s="51">
        <v>2051</v>
      </c>
      <c r="J1170" s="80"/>
      <c r="K11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70" s="48">
        <v>44708</v>
      </c>
      <c r="M1170" s="48"/>
      <c r="N1170" s="49"/>
      <c r="O1170" s="45"/>
      <c r="P1170" s="80"/>
      <c r="Q1170" s="48"/>
      <c r="R1170" s="45"/>
      <c r="S1170" s="114"/>
      <c r="T1170" s="45"/>
      <c r="U1170" s="48"/>
      <c r="V1170" s="48"/>
      <c r="W1170" s="27"/>
    </row>
    <row r="1171" spans="1:23" ht="60" hidden="1" customHeight="1" x14ac:dyDescent="0.25">
      <c r="A1171" s="45" t="str">
        <f>CONCATENATE(Tabla2[[#This Row],[id_solicitud]],Tabla2[[#This Row],[tipo]])</f>
        <v>394Oficio_Solicitud</v>
      </c>
      <c r="B1171" s="45">
        <f>COUNTIF($A$2:A1171,A1171)</f>
        <v>1</v>
      </c>
      <c r="C1171" s="45" t="str">
        <f>Tabla2[[#This Row],[(id_solicitud-tipo_documento)]]&amp;B1171</f>
        <v>394Oficio_Solicitud1</v>
      </c>
      <c r="D1171" s="45">
        <v>1173</v>
      </c>
      <c r="E1171" s="45">
        <v>394</v>
      </c>
      <c r="F1171" s="45" t="s">
        <v>53</v>
      </c>
      <c r="G1171" s="45" t="s">
        <v>40</v>
      </c>
      <c r="H1171" s="50" t="s">
        <v>600</v>
      </c>
      <c r="I1171" s="51">
        <v>2209</v>
      </c>
      <c r="J1171" s="80"/>
      <c r="K11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2209 DOP-DGA-SISS</v>
      </c>
      <c r="L1171" s="48">
        <v>44769</v>
      </c>
      <c r="M1171" s="48">
        <v>44769</v>
      </c>
      <c r="N1171" s="49" t="s">
        <v>390</v>
      </c>
      <c r="O1171" s="45">
        <v>0</v>
      </c>
      <c r="P1171" s="80" t="s">
        <v>523</v>
      </c>
      <c r="Q1171" s="48"/>
      <c r="R1171" s="45"/>
      <c r="S1171" s="114"/>
      <c r="T1171" s="52"/>
      <c r="U1171" s="48"/>
      <c r="V1171" s="48"/>
      <c r="W1171" s="27"/>
    </row>
    <row r="1172" spans="1:23" ht="60" hidden="1" customHeight="1" x14ac:dyDescent="0.25">
      <c r="A1172" s="45" t="str">
        <f>CONCATENATE(Tabla2[[#This Row],[id_solicitud]],Tabla2[[#This Row],[tipo]])</f>
        <v>181Resolucion</v>
      </c>
      <c r="B1172" s="45">
        <f>COUNTIF($A$2:A1172,A1172)</f>
        <v>1</v>
      </c>
      <c r="C1172" s="45" t="str">
        <f>Tabla2[[#This Row],[(id_solicitud-tipo_documento)]]&amp;B1172</f>
        <v>181Resolucion1</v>
      </c>
      <c r="D1172" s="45">
        <v>1174</v>
      </c>
      <c r="E1172" s="45">
        <v>181</v>
      </c>
      <c r="F1172" s="45" t="s">
        <v>48</v>
      </c>
      <c r="G1172" s="45"/>
      <c r="H1172" s="50" t="s">
        <v>20</v>
      </c>
      <c r="I1172" s="51">
        <v>2101</v>
      </c>
      <c r="J1172" s="80"/>
      <c r="K11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72" s="48">
        <v>44712</v>
      </c>
      <c r="M1172" s="48"/>
      <c r="N1172" s="49"/>
      <c r="O1172" s="45"/>
      <c r="P1172" s="80"/>
      <c r="Q1172" s="48"/>
      <c r="R1172" s="45"/>
      <c r="S1172" s="114"/>
      <c r="T1172" s="45"/>
      <c r="U1172" s="48"/>
      <c r="V1172" s="48"/>
      <c r="W1172" s="27"/>
    </row>
    <row r="1173" spans="1:23" ht="60" hidden="1" customHeight="1" x14ac:dyDescent="0.25">
      <c r="A1173" s="45" t="str">
        <f>CONCATENATE(Tabla2[[#This Row],[id_solicitud]],Tabla2[[#This Row],[tipo]])</f>
        <v>328Resolucion</v>
      </c>
      <c r="B1173" s="45">
        <f>COUNTIF($A$2:A1173,A1173)</f>
        <v>1</v>
      </c>
      <c r="C1173" s="45" t="str">
        <f>Tabla2[[#This Row],[(id_solicitud-tipo_documento)]]&amp;B1173</f>
        <v>328Resolucion1</v>
      </c>
      <c r="D1173" s="45">
        <v>1175</v>
      </c>
      <c r="E1173" s="45">
        <v>328</v>
      </c>
      <c r="F1173" s="45" t="s">
        <v>48</v>
      </c>
      <c r="G1173" s="45"/>
      <c r="H1173" s="50" t="s">
        <v>26</v>
      </c>
      <c r="I1173" s="51">
        <v>2163</v>
      </c>
      <c r="J1173" s="80"/>
      <c r="K11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73" s="48">
        <v>44795</v>
      </c>
      <c r="M1173" s="48"/>
      <c r="N1173" s="49"/>
      <c r="O1173" s="45"/>
      <c r="P1173" s="80"/>
      <c r="Q1173" s="48"/>
      <c r="R1173" s="45"/>
      <c r="S1173" s="114"/>
      <c r="T1173" s="45"/>
      <c r="U1173" s="48"/>
      <c r="V1173" s="48"/>
      <c r="W1173" s="27"/>
    </row>
    <row r="1174" spans="1:23" ht="60" hidden="1" customHeight="1" x14ac:dyDescent="0.25">
      <c r="A1174" s="45" t="str">
        <f>CONCATENATE(Tabla2[[#This Row],[id_solicitud]],Tabla2[[#This Row],[tipo]])</f>
        <v>329Resolucion</v>
      </c>
      <c r="B1174" s="45">
        <f>COUNTIF($A$2:A1174,A1174)</f>
        <v>1</v>
      </c>
      <c r="C1174" s="45" t="str">
        <f>Tabla2[[#This Row],[(id_solicitud-tipo_documento)]]&amp;B1174</f>
        <v>329Resolucion1</v>
      </c>
      <c r="D1174" s="45">
        <v>1176</v>
      </c>
      <c r="E1174" s="45">
        <v>329</v>
      </c>
      <c r="F1174" s="45" t="s">
        <v>48</v>
      </c>
      <c r="G1174" s="45"/>
      <c r="H1174" s="50" t="s">
        <v>538</v>
      </c>
      <c r="I1174" s="51">
        <v>2191</v>
      </c>
      <c r="J1174" s="80"/>
      <c r="K11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74" s="48">
        <v>44797</v>
      </c>
      <c r="M1174" s="48"/>
      <c r="N1174" s="49"/>
      <c r="O1174" s="45"/>
      <c r="P1174" s="80"/>
      <c r="Q1174" s="48"/>
      <c r="R1174" s="45"/>
      <c r="S1174" s="114"/>
      <c r="T1174" s="45"/>
      <c r="U1174" s="48"/>
      <c r="V1174" s="48"/>
      <c r="W1174" s="27"/>
    </row>
    <row r="1175" spans="1:23" ht="60" hidden="1" customHeight="1" x14ac:dyDescent="0.25">
      <c r="A1175" s="45" t="str">
        <f>CONCATENATE(Tabla2[[#This Row],[id_solicitud]],Tabla2[[#This Row],[tipo]])</f>
        <v>214Resolucion</v>
      </c>
      <c r="B1175" s="45">
        <f>COUNTIF($A$2:A1175,A1175)</f>
        <v>1</v>
      </c>
      <c r="C1175" s="45" t="str">
        <f>Tabla2[[#This Row],[(id_solicitud-tipo_documento)]]&amp;B1175</f>
        <v>214Resolucion1</v>
      </c>
      <c r="D1175" s="45">
        <v>1177</v>
      </c>
      <c r="E1175" s="45">
        <v>214</v>
      </c>
      <c r="F1175" s="45" t="s">
        <v>48</v>
      </c>
      <c r="G1175" s="45"/>
      <c r="H1175" s="50" t="s">
        <v>559</v>
      </c>
      <c r="I1175" s="51">
        <v>2200</v>
      </c>
      <c r="J1175" s="80"/>
      <c r="K11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75" s="48">
        <v>44718</v>
      </c>
      <c r="M1175" s="48"/>
      <c r="N1175" s="49"/>
      <c r="O1175" s="45"/>
      <c r="P1175" s="80"/>
      <c r="Q1175" s="48"/>
      <c r="R1175" s="45"/>
      <c r="S1175" s="114"/>
      <c r="T1175" s="45"/>
      <c r="U1175" s="48"/>
      <c r="V1175" s="48"/>
      <c r="W1175" s="27"/>
    </row>
    <row r="1176" spans="1:23" ht="60" hidden="1" customHeight="1" x14ac:dyDescent="0.25">
      <c r="A1176" s="45" t="str">
        <f>CONCATENATE(Tabla2[[#This Row],[id_solicitud]],Tabla2[[#This Row],[tipo]])</f>
        <v>168Resolucion</v>
      </c>
      <c r="B1176" s="45">
        <f>COUNTIF($A$2:A1176,A1176)</f>
        <v>1</v>
      </c>
      <c r="C1176" s="45" t="str">
        <f>Tabla2[[#This Row],[(id_solicitud-tipo_documento)]]&amp;B1176</f>
        <v>168Resolucion1</v>
      </c>
      <c r="D1176" s="45">
        <v>1178</v>
      </c>
      <c r="E1176" s="45">
        <v>168</v>
      </c>
      <c r="F1176" s="45" t="s">
        <v>48</v>
      </c>
      <c r="G1176" s="45"/>
      <c r="H1176" s="50" t="s">
        <v>559</v>
      </c>
      <c r="I1176" s="51">
        <v>2206</v>
      </c>
      <c r="J1176" s="80"/>
      <c r="K11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76" s="48">
        <v>44718</v>
      </c>
      <c r="M1176" s="48"/>
      <c r="N1176" s="49"/>
      <c r="O1176" s="45"/>
      <c r="P1176" s="80"/>
      <c r="Q1176" s="48"/>
      <c r="R1176" s="45"/>
      <c r="S1176" s="114"/>
      <c r="T1176" s="45"/>
      <c r="U1176" s="48"/>
      <c r="V1176" s="48"/>
      <c r="W1176" s="27"/>
    </row>
    <row r="1177" spans="1:23" ht="60" hidden="1" customHeight="1" x14ac:dyDescent="0.25">
      <c r="A1177" s="45" t="str">
        <f>CONCATENATE(Tabla2[[#This Row],[id_solicitud]],Tabla2[[#This Row],[tipo]])</f>
        <v>410Oficio_Solicitud</v>
      </c>
      <c r="B1177" s="45">
        <f>COUNTIF($A$2:A1177,A1177)</f>
        <v>1</v>
      </c>
      <c r="C1177" s="45" t="str">
        <f>Tabla2[[#This Row],[(id_solicitud-tipo_documento)]]&amp;B1177</f>
        <v>410Oficio_Solicitud1</v>
      </c>
      <c r="D1177" s="45">
        <v>1179</v>
      </c>
      <c r="E1177" s="45">
        <v>410</v>
      </c>
      <c r="F1177" s="45" t="s">
        <v>53</v>
      </c>
      <c r="G1177" s="45" t="s">
        <v>1258</v>
      </c>
      <c r="H1177" s="50" t="s">
        <v>20</v>
      </c>
      <c r="I1177" s="51">
        <v>2232</v>
      </c>
      <c r="J1177" s="80"/>
      <c r="K11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2232 DOH</v>
      </c>
      <c r="L1177" s="48">
        <v>44809</v>
      </c>
      <c r="M1177" s="48">
        <v>44811</v>
      </c>
      <c r="N1177" s="49" t="s">
        <v>398</v>
      </c>
      <c r="O1177" s="45">
        <v>1</v>
      </c>
      <c r="P1177" s="80" t="s">
        <v>494</v>
      </c>
      <c r="Q1177" s="48"/>
      <c r="R1177" s="45"/>
      <c r="S1177" s="114"/>
      <c r="T1177" s="52"/>
      <c r="U1177" s="48"/>
      <c r="V1177" s="48"/>
      <c r="W1177" s="27"/>
    </row>
    <row r="1178" spans="1:23" ht="60" hidden="1" customHeight="1" x14ac:dyDescent="0.25">
      <c r="A1178" s="45" t="str">
        <f>CONCATENATE(Tabla2[[#This Row],[id_solicitud]],Tabla2[[#This Row],[tipo]])</f>
        <v>302Oficio_Autorizacion</v>
      </c>
      <c r="B1178" s="45">
        <f>COUNTIF($A$2:A1178,A1178)</f>
        <v>1</v>
      </c>
      <c r="C1178" s="45" t="str">
        <f>Tabla2[[#This Row],[(id_solicitud-tipo_documento)]]&amp;B1178</f>
        <v>302Oficio_Autorizacion1</v>
      </c>
      <c r="D1178" s="45">
        <v>1180</v>
      </c>
      <c r="E1178" s="45">
        <v>302</v>
      </c>
      <c r="F1178" s="45" t="s">
        <v>1272</v>
      </c>
      <c r="G1178" s="45" t="s">
        <v>44</v>
      </c>
      <c r="H1178" s="50" t="s">
        <v>8</v>
      </c>
      <c r="I1178" s="51">
        <v>2214</v>
      </c>
      <c r="J1178" s="80"/>
      <c r="K11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78" s="48">
        <v>44810</v>
      </c>
      <c r="M1178" s="48"/>
      <c r="N1178" s="49" t="s">
        <v>315</v>
      </c>
      <c r="O1178" s="45"/>
      <c r="P1178" s="80"/>
      <c r="Q1178" s="48"/>
      <c r="R1178" s="45"/>
      <c r="S1178" s="115">
        <v>631</v>
      </c>
      <c r="T1178" s="20">
        <v>44784</v>
      </c>
      <c r="U1178" s="20">
        <v>44810</v>
      </c>
      <c r="V1178" s="20">
        <v>44810</v>
      </c>
      <c r="W1178" s="27"/>
    </row>
    <row r="1179" spans="1:23" ht="60" hidden="1" customHeight="1" x14ac:dyDescent="0.25">
      <c r="A1179" s="45" t="str">
        <f>CONCATENATE(Tabla2[[#This Row],[id_solicitud]],Tabla2[[#This Row],[tipo]])</f>
        <v>365Oficio_Autorizacion</v>
      </c>
      <c r="B1179" s="45">
        <f>COUNTIF($A$2:A1179,A1179)</f>
        <v>1</v>
      </c>
      <c r="C1179" s="45" t="str">
        <f>Tabla2[[#This Row],[(id_solicitud-tipo_documento)]]&amp;B1179</f>
        <v>365Oficio_Autorizacion1</v>
      </c>
      <c r="D1179" s="45">
        <v>1181</v>
      </c>
      <c r="E1179" s="45">
        <v>365</v>
      </c>
      <c r="F1179" s="45" t="s">
        <v>1272</v>
      </c>
      <c r="G1179" s="45" t="s">
        <v>44</v>
      </c>
      <c r="H1179" s="50" t="s">
        <v>16</v>
      </c>
      <c r="I1179" s="51">
        <v>2220</v>
      </c>
      <c r="J1179" s="80"/>
      <c r="K11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79" s="48">
        <v>44810</v>
      </c>
      <c r="M1179" s="48"/>
      <c r="N1179" s="49" t="s">
        <v>941</v>
      </c>
      <c r="O1179" s="45"/>
      <c r="P1179" s="80"/>
      <c r="Q1179" s="48"/>
      <c r="R1179" s="45"/>
      <c r="S1179" s="115">
        <v>743</v>
      </c>
      <c r="T1179" s="20">
        <v>44799</v>
      </c>
      <c r="U1179" s="20"/>
      <c r="V1179" s="20"/>
      <c r="W1179" s="27"/>
    </row>
    <row r="1180" spans="1:23" ht="60" hidden="1" customHeight="1" x14ac:dyDescent="0.25">
      <c r="A1180" s="45" t="str">
        <f>CONCATENATE(Tabla2[[#This Row],[id_solicitud]],Tabla2[[#This Row],[tipo]])</f>
        <v>325Oficio_Autorizacion</v>
      </c>
      <c r="B1180" s="45">
        <f>COUNTIF($A$2:A1180,A1180)</f>
        <v>1</v>
      </c>
      <c r="C1180" s="45" t="str">
        <f>Tabla2[[#This Row],[(id_solicitud-tipo_documento)]]&amp;B1180</f>
        <v>325Oficio_Autorizacion1</v>
      </c>
      <c r="D1180" s="45">
        <v>1182</v>
      </c>
      <c r="E1180" s="45">
        <v>325</v>
      </c>
      <c r="F1180" s="45" t="s">
        <v>1272</v>
      </c>
      <c r="G1180" s="45" t="s">
        <v>44</v>
      </c>
      <c r="H1180" s="50" t="s">
        <v>26</v>
      </c>
      <c r="I1180" s="51">
        <v>2222</v>
      </c>
      <c r="J1180" s="80"/>
      <c r="K11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80" s="48">
        <v>44810</v>
      </c>
      <c r="M1180" s="48"/>
      <c r="N1180" s="49" t="s">
        <v>916</v>
      </c>
      <c r="O1180" s="45"/>
      <c r="P1180" s="80"/>
      <c r="Q1180" s="48"/>
      <c r="R1180" s="45"/>
      <c r="S1180" s="115">
        <v>783</v>
      </c>
      <c r="T1180" s="20">
        <v>44804</v>
      </c>
      <c r="U1180" s="20"/>
      <c r="V1180" s="20"/>
      <c r="W1180" s="27"/>
    </row>
    <row r="1181" spans="1:23" ht="60" hidden="1" customHeight="1" x14ac:dyDescent="0.25">
      <c r="A1181" s="45" t="str">
        <f>CONCATENATE(Tabla2[[#This Row],[id_solicitud]],Tabla2[[#This Row],[tipo]])</f>
        <v>391Decreto</v>
      </c>
      <c r="B1181" s="45">
        <f>COUNTIF($A$2:A1181,A1181)</f>
        <v>1</v>
      </c>
      <c r="C1181" s="45" t="str">
        <f>Tabla2[[#This Row],[(id_solicitud-tipo_documento)]]&amp;B1181</f>
        <v>391Decreto1</v>
      </c>
      <c r="D1181" s="45">
        <v>1183</v>
      </c>
      <c r="E1181" s="45">
        <v>391</v>
      </c>
      <c r="F1181" s="45" t="s">
        <v>47</v>
      </c>
      <c r="G1181" s="45" t="s">
        <v>42</v>
      </c>
      <c r="H1181" s="50" t="s">
        <v>8</v>
      </c>
      <c r="I1181" s="51">
        <v>2223</v>
      </c>
      <c r="J1181" s="80"/>
      <c r="K11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2223 DA</v>
      </c>
      <c r="L1181" s="48">
        <v>44810</v>
      </c>
      <c r="M1181" s="48"/>
      <c r="N1181" s="49" t="s">
        <v>960</v>
      </c>
      <c r="O1181" s="45"/>
      <c r="P1181" s="80"/>
      <c r="Q1181" s="48"/>
      <c r="R1181" s="45"/>
      <c r="S1181" s="115">
        <v>779</v>
      </c>
      <c r="T1181" s="20">
        <v>44804</v>
      </c>
      <c r="U1181" s="20"/>
      <c r="V1181" s="20"/>
      <c r="W1181" s="27"/>
    </row>
    <row r="1182" spans="1:23" ht="60" hidden="1" customHeight="1" x14ac:dyDescent="0.25">
      <c r="A1182" s="45" t="str">
        <f>CONCATENATE(Tabla2[[#This Row],[id_solicitud]],Tabla2[[#This Row],[tipo]])</f>
        <v>335Oficio_Autorizacion</v>
      </c>
      <c r="B1182" s="45">
        <f>COUNTIF($A$2:A1182,A1182)</f>
        <v>1</v>
      </c>
      <c r="C1182" s="45" t="str">
        <f>Tabla2[[#This Row],[(id_solicitud-tipo_documento)]]&amp;B1182</f>
        <v>335Oficio_Autorizacion1</v>
      </c>
      <c r="D1182" s="45">
        <v>1184</v>
      </c>
      <c r="E1182" s="45">
        <v>335</v>
      </c>
      <c r="F1182" s="45" t="s">
        <v>1272</v>
      </c>
      <c r="G1182" s="45" t="s">
        <v>44</v>
      </c>
      <c r="H1182" s="50" t="s">
        <v>26</v>
      </c>
      <c r="I1182" s="51">
        <v>2224</v>
      </c>
      <c r="J1182" s="80"/>
      <c r="K11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82" s="48">
        <v>44810</v>
      </c>
      <c r="M1182" s="48"/>
      <c r="N1182" s="49" t="s">
        <v>924</v>
      </c>
      <c r="O1182" s="45"/>
      <c r="P1182" s="80"/>
      <c r="Q1182" s="48"/>
      <c r="R1182" s="45"/>
      <c r="S1182" s="115">
        <v>781</v>
      </c>
      <c r="T1182" s="20">
        <v>44804</v>
      </c>
      <c r="U1182" s="20"/>
      <c r="V1182" s="20"/>
      <c r="W1182" s="27"/>
    </row>
    <row r="1183" spans="1:23" ht="60" hidden="1" customHeight="1" x14ac:dyDescent="0.25">
      <c r="A1183" s="45" t="str">
        <f>CONCATENATE(Tabla2[[#This Row],[id_solicitud]],Tabla2[[#This Row],[tipo]])</f>
        <v>411Oficio_Solicitud</v>
      </c>
      <c r="B1183" s="45">
        <f>COUNTIF($A$2:A1183,A1183)</f>
        <v>1</v>
      </c>
      <c r="C1183" s="45" t="str">
        <f>Tabla2[[#This Row],[(id_solicitud-tipo_documento)]]&amp;B1183</f>
        <v>411Oficio_Solicitud1</v>
      </c>
      <c r="D1183" s="45">
        <v>1185</v>
      </c>
      <c r="E1183" s="45">
        <v>411</v>
      </c>
      <c r="F1183" s="45" t="s">
        <v>53</v>
      </c>
      <c r="G1183" s="45" t="s">
        <v>1258</v>
      </c>
      <c r="H1183" s="50" t="s">
        <v>559</v>
      </c>
      <c r="I1183" s="51">
        <v>2233</v>
      </c>
      <c r="J1183" s="80"/>
      <c r="K11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2233 APR_FETCovid19</v>
      </c>
      <c r="L1183" s="48">
        <v>44809</v>
      </c>
      <c r="M1183" s="48">
        <v>44811</v>
      </c>
      <c r="N1183" s="49" t="s">
        <v>398</v>
      </c>
      <c r="O1183" s="45">
        <v>1</v>
      </c>
      <c r="P1183" s="80" t="s">
        <v>494</v>
      </c>
      <c r="Q1183" s="48"/>
      <c r="R1183" s="45"/>
      <c r="S1183" s="114"/>
      <c r="T1183" s="52"/>
      <c r="U1183" s="48"/>
      <c r="V1183" s="48"/>
      <c r="W1183" s="27"/>
    </row>
    <row r="1184" spans="1:23" ht="60" hidden="1" customHeight="1" x14ac:dyDescent="0.25">
      <c r="A1184" s="45" t="str">
        <f>CONCATENATE(Tabla2[[#This Row],[id_solicitud]],Tabla2[[#This Row],[tipo]])</f>
        <v>332Oficio_Solicitud</v>
      </c>
      <c r="B1184" s="45">
        <f>COUNTIF($A$2:A1184,A1184)</f>
        <v>1</v>
      </c>
      <c r="C1184" s="45" t="str">
        <f>Tabla2[[#This Row],[(id_solicitud-tipo_documento)]]&amp;B1184</f>
        <v>332Oficio_Solicitud1</v>
      </c>
      <c r="D1184" s="45">
        <v>1186</v>
      </c>
      <c r="E1184" s="45">
        <v>332</v>
      </c>
      <c r="F1184" s="45" t="s">
        <v>53</v>
      </c>
      <c r="G1184" s="45" t="s">
        <v>40</v>
      </c>
      <c r="H1184" s="50" t="s">
        <v>591</v>
      </c>
      <c r="I1184" s="51">
        <v>2336</v>
      </c>
      <c r="J1184" s="80"/>
      <c r="K11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2336 DOH-SISS</v>
      </c>
      <c r="L1184" s="48">
        <v>44781</v>
      </c>
      <c r="M1184" s="48">
        <v>44781</v>
      </c>
      <c r="N1184" s="49" t="s">
        <v>342</v>
      </c>
      <c r="O1184" s="45">
        <v>0</v>
      </c>
      <c r="P1184" s="80" t="s">
        <v>498</v>
      </c>
      <c r="Q1184" s="48"/>
      <c r="R1184" s="45"/>
      <c r="S1184" s="114"/>
      <c r="T1184" s="52"/>
      <c r="U1184" s="48"/>
      <c r="V1184" s="48"/>
      <c r="W1184" s="27"/>
    </row>
    <row r="1185" spans="1:23" ht="60" hidden="1" customHeight="1" x14ac:dyDescent="0.25">
      <c r="A1185" s="45" t="str">
        <f>CONCATENATE(Tabla2[[#This Row],[id_solicitud]],Tabla2[[#This Row],[tipo]])</f>
        <v>63Resolucion</v>
      </c>
      <c r="B1185" s="45">
        <f>COUNTIF($A$2:A1185,A1185)</f>
        <v>1</v>
      </c>
      <c r="C1185" s="45" t="str">
        <f>Tabla2[[#This Row],[(id_solicitud-tipo_documento)]]&amp;B1185</f>
        <v>63Resolucion1</v>
      </c>
      <c r="D1185" s="45">
        <v>1187</v>
      </c>
      <c r="E1185" s="45">
        <v>63</v>
      </c>
      <c r="F1185" s="45" t="s">
        <v>48</v>
      </c>
      <c r="G1185" s="45"/>
      <c r="H1185" s="50" t="s">
        <v>6</v>
      </c>
      <c r="I1185" s="51">
        <v>2323</v>
      </c>
      <c r="J1185" s="80"/>
      <c r="K11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85" s="48">
        <v>44726</v>
      </c>
      <c r="M1185" s="48"/>
      <c r="N1185" s="49"/>
      <c r="O1185" s="45"/>
      <c r="P1185" s="80"/>
      <c r="Q1185" s="48"/>
      <c r="R1185" s="45"/>
      <c r="S1185" s="114"/>
      <c r="T1185" s="45"/>
      <c r="U1185" s="48"/>
      <c r="V1185" s="48"/>
      <c r="W1185" s="27"/>
    </row>
    <row r="1186" spans="1:23" ht="60" hidden="1" customHeight="1" x14ac:dyDescent="0.25">
      <c r="A1186" s="45" t="str">
        <f>CONCATENATE(Tabla2[[#This Row],[id_solicitud]],Tabla2[[#This Row],[tipo]])</f>
        <v>380Oficio_Autorizacion</v>
      </c>
      <c r="B1186" s="45">
        <f>COUNTIF($A$2:A1186,A1186)</f>
        <v>1</v>
      </c>
      <c r="C1186" s="45" t="str">
        <f>Tabla2[[#This Row],[(id_solicitud-tipo_documento)]]&amp;B1186</f>
        <v>380Oficio_Autorizacion1</v>
      </c>
      <c r="D1186" s="45">
        <v>1188</v>
      </c>
      <c r="E1186" s="45">
        <v>380</v>
      </c>
      <c r="F1186" s="45" t="s">
        <v>1272</v>
      </c>
      <c r="G1186" s="45" t="s">
        <v>44</v>
      </c>
      <c r="H1186" s="50" t="s">
        <v>16</v>
      </c>
      <c r="I1186" s="51">
        <v>2324</v>
      </c>
      <c r="J1186" s="80"/>
      <c r="K11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86" s="48">
        <v>44811</v>
      </c>
      <c r="M1186" s="48"/>
      <c r="N1186" s="49" t="s">
        <v>953</v>
      </c>
      <c r="O1186" s="45"/>
      <c r="P1186" s="80"/>
      <c r="Q1186" s="48"/>
      <c r="R1186" s="45"/>
      <c r="S1186" s="115">
        <v>803</v>
      </c>
      <c r="T1186" s="20">
        <v>44806</v>
      </c>
      <c r="U1186" s="20">
        <v>44811</v>
      </c>
      <c r="V1186" s="20">
        <v>44811</v>
      </c>
      <c r="W1186" s="27"/>
    </row>
    <row r="1187" spans="1:23" ht="60" hidden="1" customHeight="1" x14ac:dyDescent="0.25">
      <c r="A1187" s="45" t="str">
        <f>CONCATENATE(Tabla2[[#This Row],[id_solicitud]],Tabla2[[#This Row],[tipo]])</f>
        <v>338Oficio_Autorizacion</v>
      </c>
      <c r="B1187" s="45">
        <f>COUNTIF($A$2:A1187,A1187)</f>
        <v>1</v>
      </c>
      <c r="C1187" s="45" t="str">
        <f>Tabla2[[#This Row],[(id_solicitud-tipo_documento)]]&amp;B1187</f>
        <v>338Oficio_Autorizacion1</v>
      </c>
      <c r="D1187" s="45">
        <v>1189</v>
      </c>
      <c r="E1187" s="45">
        <v>338</v>
      </c>
      <c r="F1187" s="45" t="s">
        <v>1272</v>
      </c>
      <c r="G1187" s="45" t="s">
        <v>44</v>
      </c>
      <c r="H1187" s="50" t="s">
        <v>22</v>
      </c>
      <c r="I1187" s="51">
        <v>2325</v>
      </c>
      <c r="J1187" s="80"/>
      <c r="K11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87" s="48">
        <v>44811</v>
      </c>
      <c r="M1187" s="48"/>
      <c r="N1187" s="49" t="s">
        <v>925</v>
      </c>
      <c r="O1187" s="45"/>
      <c r="P1187" s="80"/>
      <c r="Q1187" s="48"/>
      <c r="R1187" s="45"/>
      <c r="S1187" s="115">
        <v>790</v>
      </c>
      <c r="T1187" s="20">
        <v>44805</v>
      </c>
      <c r="U1187" s="20"/>
      <c r="V1187" s="20"/>
      <c r="W1187" s="27"/>
    </row>
    <row r="1188" spans="1:23" ht="60" hidden="1" customHeight="1" x14ac:dyDescent="0.25">
      <c r="A1188" s="45" t="str">
        <f>CONCATENATE(Tabla2[[#This Row],[id_solicitud]],Tabla2[[#This Row],[tipo]])</f>
        <v>185Resolucion</v>
      </c>
      <c r="B1188" s="45">
        <f>COUNTIF($A$2:A1188,A1188)</f>
        <v>1</v>
      </c>
      <c r="C1188" s="45" t="str">
        <f>Tabla2[[#This Row],[(id_solicitud-tipo_documento)]]&amp;B1188</f>
        <v>185Resolucion1</v>
      </c>
      <c r="D1188" s="45">
        <v>1190</v>
      </c>
      <c r="E1188" s="45">
        <v>185</v>
      </c>
      <c r="F1188" s="45" t="s">
        <v>48</v>
      </c>
      <c r="G1188" s="45"/>
      <c r="H1188" s="50" t="s">
        <v>26</v>
      </c>
      <c r="I1188" s="51">
        <v>2328</v>
      </c>
      <c r="J1188" s="80"/>
      <c r="K11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88" s="48">
        <v>44809</v>
      </c>
      <c r="M1188" s="48"/>
      <c r="N1188" s="49"/>
      <c r="O1188" s="45"/>
      <c r="P1188" s="80"/>
      <c r="Q1188" s="48"/>
      <c r="R1188" s="45"/>
      <c r="S1188" s="114"/>
      <c r="T1188" s="45"/>
      <c r="U1188" s="48"/>
      <c r="V1188" s="48"/>
      <c r="W1188" s="27"/>
    </row>
    <row r="1189" spans="1:23" ht="60" hidden="1" customHeight="1" x14ac:dyDescent="0.25">
      <c r="A1189" s="45" t="str">
        <f>CONCATENATE(Tabla2[[#This Row],[id_solicitud]],Tabla2[[#This Row],[tipo]])</f>
        <v>300Resolucion</v>
      </c>
      <c r="B1189" s="45">
        <f>COUNTIF($A$2:A1189,A1189)</f>
        <v>1</v>
      </c>
      <c r="C1189" s="45" t="str">
        <f>Tabla2[[#This Row],[(id_solicitud-tipo_documento)]]&amp;B1189</f>
        <v>300Resolucion1</v>
      </c>
      <c r="D1189" s="45">
        <v>1191</v>
      </c>
      <c r="E1189" s="45">
        <v>300</v>
      </c>
      <c r="F1189" s="45" t="s">
        <v>48</v>
      </c>
      <c r="G1189" s="45"/>
      <c r="H1189" s="50" t="s">
        <v>26</v>
      </c>
      <c r="I1189" s="51">
        <v>2331</v>
      </c>
      <c r="J1189" s="80"/>
      <c r="K11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89" s="48">
        <v>44809</v>
      </c>
      <c r="M1189" s="48"/>
      <c r="N1189" s="49"/>
      <c r="O1189" s="45"/>
      <c r="P1189" s="80"/>
      <c r="Q1189" s="48"/>
      <c r="R1189" s="45"/>
      <c r="S1189" s="114"/>
      <c r="T1189" s="45"/>
      <c r="U1189" s="48"/>
      <c r="V1189" s="48"/>
      <c r="W1189" s="27"/>
    </row>
    <row r="1190" spans="1:23" ht="60" hidden="1" customHeight="1" x14ac:dyDescent="0.25">
      <c r="A1190" s="45" t="str">
        <f>CONCATENATE(Tabla2[[#This Row],[id_solicitud]],Tabla2[[#This Row],[tipo]])</f>
        <v>417Oficio_Solicitud</v>
      </c>
      <c r="B1190" s="45">
        <f>COUNTIF($A$2:A1190,A1190)</f>
        <v>1</v>
      </c>
      <c r="C1190" s="45" t="str">
        <f>Tabla2[[#This Row],[(id_solicitud-tipo_documento)]]&amp;B1190</f>
        <v>417Oficio_Solicitud1</v>
      </c>
      <c r="D1190" s="45">
        <v>1192</v>
      </c>
      <c r="E1190" s="45">
        <v>417</v>
      </c>
      <c r="F1190" s="45" t="s">
        <v>53</v>
      </c>
      <c r="G1190" s="45" t="s">
        <v>60</v>
      </c>
      <c r="H1190" s="50" t="s">
        <v>6</v>
      </c>
      <c r="I1190" s="51">
        <v>2342</v>
      </c>
      <c r="J1190" s="80"/>
      <c r="K11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2342 APR</v>
      </c>
      <c r="L1190" s="48">
        <v>44819</v>
      </c>
      <c r="M1190" s="48">
        <v>44819</v>
      </c>
      <c r="N1190" s="49" t="s">
        <v>402</v>
      </c>
      <c r="O1190" s="45">
        <f>11+20</f>
        <v>31</v>
      </c>
      <c r="P1190" s="80" t="s">
        <v>494</v>
      </c>
      <c r="Q1190" s="48">
        <v>44832</v>
      </c>
      <c r="R1190" s="45"/>
      <c r="S1190" s="114"/>
      <c r="T1190" s="52"/>
      <c r="U1190" s="48"/>
      <c r="V1190" s="48"/>
      <c r="W1190" s="27"/>
    </row>
    <row r="1191" spans="1:23" ht="60" hidden="1" customHeight="1" x14ac:dyDescent="0.25">
      <c r="A1191" s="45" t="str">
        <f>CONCATENATE(Tabla2[[#This Row],[id_solicitud]],Tabla2[[#This Row],[tipo]])</f>
        <v>418Oficio_Solicitud</v>
      </c>
      <c r="B1191" s="45">
        <f>COUNTIF($A$2:A1191,A1191)</f>
        <v>1</v>
      </c>
      <c r="C1191" s="45" t="str">
        <f>Tabla2[[#This Row],[(id_solicitud-tipo_documento)]]&amp;B1191</f>
        <v>418Oficio_Solicitud1</v>
      </c>
      <c r="D1191" s="45">
        <v>1193</v>
      </c>
      <c r="E1191" s="45">
        <v>418</v>
      </c>
      <c r="F1191" s="45" t="s">
        <v>53</v>
      </c>
      <c r="G1191" s="45" t="s">
        <v>60</v>
      </c>
      <c r="H1191" s="50" t="s">
        <v>535</v>
      </c>
      <c r="I1191" s="51">
        <v>2343</v>
      </c>
      <c r="J1191" s="80"/>
      <c r="K11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2343 DOH_FETCovid19</v>
      </c>
      <c r="L1191" s="48">
        <v>44819</v>
      </c>
      <c r="M1191" s="48">
        <v>44819</v>
      </c>
      <c r="N1191" s="49" t="s">
        <v>403</v>
      </c>
      <c r="O1191" s="45">
        <v>4</v>
      </c>
      <c r="P1191" s="80" t="s">
        <v>494</v>
      </c>
      <c r="Q1191" s="48">
        <v>44834</v>
      </c>
      <c r="R1191" s="45"/>
      <c r="S1191" s="114"/>
      <c r="T1191" s="52"/>
      <c r="U1191" s="48"/>
      <c r="V1191" s="48"/>
      <c r="W1191" s="27"/>
    </row>
    <row r="1192" spans="1:23" ht="60" hidden="1" customHeight="1" x14ac:dyDescent="0.25">
      <c r="A1192" s="45" t="str">
        <f>CONCATENATE(Tabla2[[#This Row],[id_solicitud]],Tabla2[[#This Row],[tipo]])</f>
        <v>130Oficio_Solicitud</v>
      </c>
      <c r="B1192" s="45">
        <f>COUNTIF($A$2:A1192,A1192)</f>
        <v>1</v>
      </c>
      <c r="C1192" s="45" t="str">
        <f>Tabla2[[#This Row],[(id_solicitud-tipo_documento)]]&amp;B1192</f>
        <v>130Oficio_Solicitud1</v>
      </c>
      <c r="D1192" s="45">
        <v>1194</v>
      </c>
      <c r="E1192" s="45">
        <v>130</v>
      </c>
      <c r="F1192" s="45" t="s">
        <v>53</v>
      </c>
      <c r="G1192" s="45" t="s">
        <v>44</v>
      </c>
      <c r="H1192" s="50" t="s">
        <v>538</v>
      </c>
      <c r="I1192" s="51">
        <v>2370</v>
      </c>
      <c r="J1192" s="80"/>
      <c r="K11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2370 DV_FETCovid19</v>
      </c>
      <c r="L1192" s="48">
        <v>44630</v>
      </c>
      <c r="M1192" s="48"/>
      <c r="N1192" s="49" t="s">
        <v>175</v>
      </c>
      <c r="O1192" s="45"/>
      <c r="P1192" s="80" t="s">
        <v>498</v>
      </c>
      <c r="Q1192" s="48"/>
      <c r="R1192" s="45"/>
      <c r="S1192" s="114"/>
      <c r="T1192" s="52"/>
      <c r="U1192" s="48"/>
      <c r="V1192" s="48"/>
      <c r="W1192" s="27"/>
    </row>
    <row r="1193" spans="1:23" ht="60" hidden="1" customHeight="1" x14ac:dyDescent="0.25">
      <c r="A1193" s="45" t="str">
        <f>CONCATENATE(Tabla2[[#This Row],[id_solicitud]],Tabla2[[#This Row],[tipo]])</f>
        <v>324Oficio_Autorizacion</v>
      </c>
      <c r="B1193" s="45">
        <f>COUNTIF($A$2:A1193,A1193)</f>
        <v>1</v>
      </c>
      <c r="C1193" s="45" t="str">
        <f>Tabla2[[#This Row],[(id_solicitud-tipo_documento)]]&amp;B1193</f>
        <v>324Oficio_Autorizacion1</v>
      </c>
      <c r="D1193" s="45">
        <v>1195</v>
      </c>
      <c r="E1193" s="45">
        <v>324</v>
      </c>
      <c r="F1193" s="45" t="s">
        <v>1272</v>
      </c>
      <c r="G1193" s="45" t="s">
        <v>44</v>
      </c>
      <c r="H1193" s="50" t="s">
        <v>12</v>
      </c>
      <c r="I1193" s="51">
        <v>2355</v>
      </c>
      <c r="J1193" s="80"/>
      <c r="K11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93" s="48">
        <v>44816</v>
      </c>
      <c r="M1193" s="48"/>
      <c r="N1193" s="49" t="s">
        <v>915</v>
      </c>
      <c r="O1193" s="45"/>
      <c r="P1193" s="80"/>
      <c r="Q1193" s="48"/>
      <c r="R1193" s="45"/>
      <c r="S1193" s="115">
        <v>832</v>
      </c>
      <c r="T1193" s="20">
        <v>44810</v>
      </c>
      <c r="U1193" s="20"/>
      <c r="V1193" s="20"/>
      <c r="W1193" s="27"/>
    </row>
    <row r="1194" spans="1:23" ht="60" hidden="1" customHeight="1" x14ac:dyDescent="0.25">
      <c r="A1194" s="45" t="str">
        <f>CONCATENATE(Tabla2[[#This Row],[id_solicitud]],Tabla2[[#This Row],[tipo]])</f>
        <v>378Oficio_Autorizacion</v>
      </c>
      <c r="B1194" s="45">
        <f>COUNTIF($A$2:A1194,A1194)</f>
        <v>1</v>
      </c>
      <c r="C1194" s="45" t="str">
        <f>Tabla2[[#This Row],[(id_solicitud-tipo_documento)]]&amp;B1194</f>
        <v>378Oficio_Autorizacion1</v>
      </c>
      <c r="D1194" s="45">
        <v>1196</v>
      </c>
      <c r="E1194" s="45">
        <v>378</v>
      </c>
      <c r="F1194" s="45" t="s">
        <v>1272</v>
      </c>
      <c r="G1194" s="45" t="s">
        <v>44</v>
      </c>
      <c r="H1194" s="50" t="s">
        <v>6</v>
      </c>
      <c r="I1194" s="51">
        <v>2356</v>
      </c>
      <c r="J1194" s="80"/>
      <c r="K11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94" s="48">
        <v>44816</v>
      </c>
      <c r="M1194" s="48"/>
      <c r="N1194" s="49" t="s">
        <v>951</v>
      </c>
      <c r="O1194" s="45"/>
      <c r="P1194" s="80"/>
      <c r="Q1194" s="48"/>
      <c r="R1194" s="45"/>
      <c r="S1194" s="115">
        <v>800</v>
      </c>
      <c r="T1194" s="20">
        <v>44805</v>
      </c>
      <c r="U1194" s="20"/>
      <c r="V1194" s="20"/>
      <c r="W1194" s="27"/>
    </row>
    <row r="1195" spans="1:23" ht="60" hidden="1" customHeight="1" x14ac:dyDescent="0.25">
      <c r="A1195" s="45" t="str">
        <f>CONCATENATE(Tabla2[[#This Row],[id_solicitud]],Tabla2[[#This Row],[tipo]])</f>
        <v>514Oficio_Solicitud</v>
      </c>
      <c r="B1195" s="45">
        <f>COUNTIF($A$2:A1195,A1195)</f>
        <v>1</v>
      </c>
      <c r="C1195" s="45" t="str">
        <f>Tabla2[[#This Row],[(id_solicitud-tipo_documento)]]&amp;B1195</f>
        <v>514Oficio_Solicitud1</v>
      </c>
      <c r="D1195" s="45">
        <v>1197</v>
      </c>
      <c r="E1195" s="45">
        <v>514</v>
      </c>
      <c r="F1195" s="45" t="s">
        <v>53</v>
      </c>
      <c r="G1195" s="45" t="s">
        <v>60</v>
      </c>
      <c r="H1195" s="50" t="s">
        <v>535</v>
      </c>
      <c r="I1195" s="51">
        <v>2389</v>
      </c>
      <c r="J1195" s="80"/>
      <c r="K11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2389 DOH_FETCovid19</v>
      </c>
      <c r="L1195" s="48">
        <v>44825</v>
      </c>
      <c r="M1195" s="48">
        <v>44826</v>
      </c>
      <c r="N1195" s="49" t="s">
        <v>479</v>
      </c>
      <c r="O1195" s="45">
        <v>7</v>
      </c>
      <c r="P1195" s="80" t="s">
        <v>494</v>
      </c>
      <c r="Q1195" s="48"/>
      <c r="R1195" s="45"/>
      <c r="S1195" s="114"/>
      <c r="T1195" s="52"/>
      <c r="U1195" s="48"/>
      <c r="V1195" s="48"/>
      <c r="W1195" s="27"/>
    </row>
    <row r="1196" spans="1:23" ht="60" hidden="1" customHeight="1" x14ac:dyDescent="0.25">
      <c r="A1196" s="45" t="str">
        <f>CONCATENATE(Tabla2[[#This Row],[id_solicitud]],Tabla2[[#This Row],[tipo]])</f>
        <v>434Oficio_Solicitud</v>
      </c>
      <c r="B1196" s="45">
        <f>COUNTIF($A$2:A1196,A1196)</f>
        <v>1</v>
      </c>
      <c r="C1196" s="45" t="str">
        <f>Tabla2[[#This Row],[(id_solicitud-tipo_documento)]]&amp;B1196</f>
        <v>434Oficio_Solicitud1</v>
      </c>
      <c r="D1196" s="45">
        <v>1198</v>
      </c>
      <c r="E1196" s="45">
        <v>434</v>
      </c>
      <c r="F1196" s="45" t="s">
        <v>53</v>
      </c>
      <c r="G1196" s="45" t="s">
        <v>60</v>
      </c>
      <c r="H1196" s="50" t="s">
        <v>20</v>
      </c>
      <c r="I1196" s="51">
        <v>2407</v>
      </c>
      <c r="J1196" s="80"/>
      <c r="K11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2407 DOH</v>
      </c>
      <c r="L1196" s="48">
        <v>44826</v>
      </c>
      <c r="M1196" s="48">
        <v>44827</v>
      </c>
      <c r="N1196" s="49" t="s">
        <v>415</v>
      </c>
      <c r="O1196" s="45">
        <f>2+19</f>
        <v>21</v>
      </c>
      <c r="P1196" s="80" t="s">
        <v>494</v>
      </c>
      <c r="Q1196" s="48">
        <v>44839</v>
      </c>
      <c r="R1196" s="45"/>
      <c r="S1196" s="114"/>
      <c r="T1196" s="52"/>
      <c r="U1196" s="48"/>
      <c r="V1196" s="48"/>
      <c r="W1196" s="27"/>
    </row>
    <row r="1197" spans="1:23" ht="60" hidden="1" customHeight="1" x14ac:dyDescent="0.25">
      <c r="A1197" s="45" t="str">
        <f>CONCATENATE(Tabla2[[#This Row],[id_solicitud]],Tabla2[[#This Row],[tipo]])</f>
        <v>437Oficio_Solicitud</v>
      </c>
      <c r="B1197" s="45">
        <f>COUNTIF($A$2:A1197,A1197)</f>
        <v>1</v>
      </c>
      <c r="C1197" s="45" t="str">
        <f>Tabla2[[#This Row],[(id_solicitud-tipo_documento)]]&amp;B1197</f>
        <v>437Oficio_Solicitud1</v>
      </c>
      <c r="D1197" s="45">
        <v>1199</v>
      </c>
      <c r="E1197" s="45">
        <v>437</v>
      </c>
      <c r="F1197" s="45" t="s">
        <v>53</v>
      </c>
      <c r="G1197" s="45" t="s">
        <v>1258</v>
      </c>
      <c r="H1197" s="50" t="s">
        <v>559</v>
      </c>
      <c r="I1197" s="51">
        <v>2449</v>
      </c>
      <c r="J1197" s="80"/>
      <c r="K11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2449 APR_FETCovid19</v>
      </c>
      <c r="L1197" s="48">
        <v>44831</v>
      </c>
      <c r="M1197" s="48">
        <v>44832</v>
      </c>
      <c r="N1197" s="49" t="s">
        <v>417</v>
      </c>
      <c r="O1197" s="45">
        <v>2</v>
      </c>
      <c r="P1197" s="80" t="s">
        <v>494</v>
      </c>
      <c r="Q1197" s="48">
        <v>44837</v>
      </c>
      <c r="R1197" s="45"/>
      <c r="S1197" s="114"/>
      <c r="T1197" s="52"/>
      <c r="U1197" s="48"/>
      <c r="V1197" s="48"/>
      <c r="W1197" s="27"/>
    </row>
    <row r="1198" spans="1:23" ht="60" hidden="1" customHeight="1" x14ac:dyDescent="0.25">
      <c r="A1198" s="45" t="str">
        <f>CONCATENATE(Tabla2[[#This Row],[id_solicitud]],Tabla2[[#This Row],[tipo]])</f>
        <v>368Oficio_Autorizacion</v>
      </c>
      <c r="B1198" s="45">
        <f>COUNTIF($A$2:A1198,A1198)</f>
        <v>1</v>
      </c>
      <c r="C1198" s="45" t="str">
        <f>Tabla2[[#This Row],[(id_solicitud-tipo_documento)]]&amp;B1198</f>
        <v>368Oficio_Autorizacion1</v>
      </c>
      <c r="D1198" s="45">
        <v>1200</v>
      </c>
      <c r="E1198" s="45">
        <v>368</v>
      </c>
      <c r="F1198" s="45" t="s">
        <v>1272</v>
      </c>
      <c r="G1198" s="45" t="s">
        <v>44</v>
      </c>
      <c r="H1198" s="50" t="s">
        <v>35</v>
      </c>
      <c r="I1198" s="51">
        <v>2419</v>
      </c>
      <c r="J1198" s="80"/>
      <c r="K11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198" s="48">
        <v>44824</v>
      </c>
      <c r="M1198" s="48"/>
      <c r="N1198" s="49" t="s">
        <v>943</v>
      </c>
      <c r="O1198" s="45"/>
      <c r="P1198" s="80"/>
      <c r="Q1198" s="48"/>
      <c r="R1198" s="45"/>
      <c r="S1198" s="115">
        <v>904</v>
      </c>
      <c r="T1198" s="20">
        <v>44816</v>
      </c>
      <c r="U1198" s="20"/>
      <c r="V1198" s="20"/>
      <c r="W1198" s="27"/>
    </row>
    <row r="1199" spans="1:23" ht="60" customHeight="1" x14ac:dyDescent="0.25">
      <c r="A1199" s="45" t="str">
        <f>CONCATENATE(Tabla2[[#This Row],[id_solicitud]],Tabla2[[#This Row],[tipo]])</f>
        <v>405Proposicion</v>
      </c>
      <c r="B1199" s="45">
        <f>COUNTIF($A$2:A1199,A1199)</f>
        <v>1</v>
      </c>
      <c r="C1199" s="45" t="str">
        <f>Tabla2[[#This Row],[(id_solicitud-tipo_documento)]]&amp;B1199</f>
        <v>405Proposicion1</v>
      </c>
      <c r="D1199" s="45">
        <v>639</v>
      </c>
      <c r="E1199" s="45">
        <v>405</v>
      </c>
      <c r="F1199" s="45" t="s">
        <v>46</v>
      </c>
      <c r="G1199" s="45" t="s">
        <v>44</v>
      </c>
      <c r="H1199" s="50" t="s">
        <v>20</v>
      </c>
      <c r="I1199" s="51">
        <v>611</v>
      </c>
      <c r="J1199" s="80"/>
      <c r="K11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611 DOH</v>
      </c>
      <c r="L1199" s="48">
        <v>44810</v>
      </c>
      <c r="M1199" s="48">
        <v>44810</v>
      </c>
      <c r="N1199" s="49" t="s">
        <v>712</v>
      </c>
      <c r="O1199" s="45"/>
      <c r="P1199" s="80" t="s">
        <v>498</v>
      </c>
      <c r="Q1199" s="24"/>
      <c r="R1199" s="24" t="s">
        <v>24</v>
      </c>
      <c r="S1199" s="114"/>
      <c r="T1199" s="45"/>
      <c r="U1199" s="48"/>
      <c r="V1199" s="48"/>
      <c r="W1199" s="27"/>
    </row>
    <row r="1200" spans="1:23" ht="60" hidden="1" customHeight="1" x14ac:dyDescent="0.25">
      <c r="A1200" s="45" t="str">
        <f>CONCATENATE(Tabla2[[#This Row],[id_solicitud]],Tabla2[[#This Row],[tipo]])</f>
        <v>331Oficio_Autorizacion</v>
      </c>
      <c r="B1200" s="45">
        <f>COUNTIF($A$2:A1200,A1200)</f>
        <v>1</v>
      </c>
      <c r="C1200" s="45" t="str">
        <f>Tabla2[[#This Row],[(id_solicitud-tipo_documento)]]&amp;B1200</f>
        <v>331Oficio_Autorizacion1</v>
      </c>
      <c r="D1200" s="45">
        <v>1202</v>
      </c>
      <c r="E1200" s="45">
        <v>331</v>
      </c>
      <c r="F1200" s="45" t="s">
        <v>1272</v>
      </c>
      <c r="G1200" s="45" t="s">
        <v>44</v>
      </c>
      <c r="H1200" s="50" t="s">
        <v>24</v>
      </c>
      <c r="I1200" s="51">
        <v>2422</v>
      </c>
      <c r="J1200" s="80"/>
      <c r="K12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00" s="48">
        <v>44824</v>
      </c>
      <c r="M1200" s="48"/>
      <c r="N1200" s="49" t="s">
        <v>939</v>
      </c>
      <c r="O1200" s="45"/>
      <c r="P1200" s="80"/>
      <c r="Q1200" s="48"/>
      <c r="R1200" s="45"/>
      <c r="S1200" s="115">
        <v>862</v>
      </c>
      <c r="T1200" s="20">
        <v>44812</v>
      </c>
      <c r="U1200" s="20">
        <v>44824</v>
      </c>
      <c r="V1200" s="20">
        <v>44824</v>
      </c>
      <c r="W1200" s="27"/>
    </row>
    <row r="1201" spans="1:23" ht="60" hidden="1" customHeight="1" x14ac:dyDescent="0.25">
      <c r="A1201" s="45" t="str">
        <f>CONCATENATE(Tabla2[[#This Row],[id_solicitud]],Tabla2[[#This Row],[tipo]])</f>
        <v>399Oficio_Autorizacion</v>
      </c>
      <c r="B1201" s="45">
        <f>COUNTIF($A$2:A1201,A1201)</f>
        <v>1</v>
      </c>
      <c r="C1201" s="45" t="str">
        <f>Tabla2[[#This Row],[(id_solicitud-tipo_documento)]]&amp;B1201</f>
        <v>399Oficio_Autorizacion1</v>
      </c>
      <c r="D1201" s="45">
        <v>1203</v>
      </c>
      <c r="E1201" s="45">
        <v>399</v>
      </c>
      <c r="F1201" s="45" t="s">
        <v>1272</v>
      </c>
      <c r="G1201" s="45" t="s">
        <v>44</v>
      </c>
      <c r="H1201" s="50" t="s">
        <v>26</v>
      </c>
      <c r="I1201" s="51">
        <v>2423</v>
      </c>
      <c r="J1201" s="80"/>
      <c r="K12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01" s="48">
        <v>44824</v>
      </c>
      <c r="M1201" s="48"/>
      <c r="N1201" s="49" t="s">
        <v>963</v>
      </c>
      <c r="O1201" s="45"/>
      <c r="P1201" s="80"/>
      <c r="Q1201" s="48"/>
      <c r="R1201" s="45"/>
      <c r="S1201" s="115">
        <v>849</v>
      </c>
      <c r="T1201" s="20">
        <v>44811</v>
      </c>
      <c r="U1201" s="20"/>
      <c r="V1201" s="20"/>
      <c r="W1201" s="27"/>
    </row>
    <row r="1202" spans="1:23" ht="60" customHeight="1" x14ac:dyDescent="0.25">
      <c r="A1202" s="45" t="str">
        <f>CONCATENATE(Tabla2[[#This Row],[id_solicitud]],Tabla2[[#This Row],[tipo]])</f>
        <v>405Oficio_Autorizacion</v>
      </c>
      <c r="B1202" s="45">
        <f>COUNTIF($A$2:A1202,A1202)</f>
        <v>1</v>
      </c>
      <c r="C1202" s="45" t="str">
        <f>Tabla2[[#This Row],[(id_solicitud-tipo_documento)]]&amp;B1202</f>
        <v>405Oficio_Autorizacion1</v>
      </c>
      <c r="D1202" s="45">
        <v>1226</v>
      </c>
      <c r="E1202" s="45">
        <v>405</v>
      </c>
      <c r="F1202" s="45" t="s">
        <v>1272</v>
      </c>
      <c r="G1202" s="45" t="s">
        <v>44</v>
      </c>
      <c r="H1202" s="50" t="s">
        <v>20</v>
      </c>
      <c r="I1202" s="51">
        <v>2617</v>
      </c>
      <c r="J1202" s="80"/>
      <c r="K12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02" s="48">
        <v>44841</v>
      </c>
      <c r="M1202" s="48"/>
      <c r="N1202" s="49" t="s">
        <v>968</v>
      </c>
      <c r="O1202" s="45"/>
      <c r="P1202" s="80"/>
      <c r="Q1202" s="48"/>
      <c r="R1202" s="45"/>
      <c r="S1202" s="115">
        <v>958</v>
      </c>
      <c r="T1202" s="20">
        <v>44830</v>
      </c>
      <c r="U1202" s="20"/>
      <c r="V1202" s="20"/>
      <c r="W1202" s="27"/>
    </row>
    <row r="1203" spans="1:23" ht="60" hidden="1" customHeight="1" x14ac:dyDescent="0.25">
      <c r="A1203" s="45" t="str">
        <f>CONCATENATE(Tabla2[[#This Row],[id_solicitud]],Tabla2[[#This Row],[tipo]])</f>
        <v>371Oficio_Autorizacion</v>
      </c>
      <c r="B1203" s="45">
        <f>COUNTIF($A$2:A1203,A1203)</f>
        <v>1</v>
      </c>
      <c r="C1203" s="45" t="str">
        <f>Tabla2[[#This Row],[(id_solicitud-tipo_documento)]]&amp;B1203</f>
        <v>371Oficio_Autorizacion1</v>
      </c>
      <c r="D1203" s="45">
        <v>1205</v>
      </c>
      <c r="E1203" s="45">
        <v>371</v>
      </c>
      <c r="F1203" s="45" t="s">
        <v>1272</v>
      </c>
      <c r="G1203" s="45" t="s">
        <v>44</v>
      </c>
      <c r="H1203" s="50" t="s">
        <v>14</v>
      </c>
      <c r="I1203" s="51">
        <v>2425</v>
      </c>
      <c r="J1203" s="80"/>
      <c r="K12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03" s="48">
        <v>44824</v>
      </c>
      <c r="M1203" s="48"/>
      <c r="N1203" s="49" t="s">
        <v>946</v>
      </c>
      <c r="O1203" s="45"/>
      <c r="P1203" s="80"/>
      <c r="Q1203" s="48"/>
      <c r="R1203" s="45"/>
      <c r="S1203" s="115">
        <v>882</v>
      </c>
      <c r="T1203" s="20">
        <v>44813</v>
      </c>
      <c r="U1203" s="20"/>
      <c r="V1203" s="20"/>
      <c r="W1203" s="27"/>
    </row>
    <row r="1204" spans="1:23" ht="60" hidden="1" customHeight="1" x14ac:dyDescent="0.25">
      <c r="A1204" s="45" t="str">
        <f>CONCATENATE(Tabla2[[#This Row],[id_solicitud]],Tabla2[[#This Row],[tipo]])</f>
        <v>356Decreto</v>
      </c>
      <c r="B1204" s="45">
        <f>COUNTIF($A$2:A1204,A1204)</f>
        <v>1</v>
      </c>
      <c r="C1204" s="45" t="str">
        <f>Tabla2[[#This Row],[(id_solicitud-tipo_documento)]]&amp;B1204</f>
        <v>356Decreto1</v>
      </c>
      <c r="D1204" s="45">
        <v>1206</v>
      </c>
      <c r="E1204" s="45">
        <v>356</v>
      </c>
      <c r="F1204" s="45" t="s">
        <v>47</v>
      </c>
      <c r="G1204" s="45" t="s">
        <v>60</v>
      </c>
      <c r="H1204" s="50" t="s">
        <v>26</v>
      </c>
      <c r="I1204" s="51">
        <v>2427</v>
      </c>
      <c r="J1204" s="80"/>
      <c r="K12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2427 DV</v>
      </c>
      <c r="L1204" s="48">
        <v>44824</v>
      </c>
      <c r="M1204" s="48"/>
      <c r="N1204" s="49" t="s">
        <v>936</v>
      </c>
      <c r="O1204" s="45"/>
      <c r="P1204" s="80"/>
      <c r="Q1204" s="48"/>
      <c r="R1204" s="45"/>
      <c r="S1204" s="115">
        <v>916</v>
      </c>
      <c r="T1204" s="20">
        <v>44816</v>
      </c>
      <c r="U1204" s="20"/>
      <c r="V1204" s="20"/>
      <c r="W1204" s="27"/>
    </row>
    <row r="1205" spans="1:23" ht="60" hidden="1" customHeight="1" x14ac:dyDescent="0.25">
      <c r="A1205" s="45" t="str">
        <f>CONCATENATE(Tabla2[[#This Row],[id_solicitud]],Tabla2[[#This Row],[tipo]])</f>
        <v>361Oficio_Autorizacion</v>
      </c>
      <c r="B1205" s="45">
        <f>COUNTIF($A$2:A1205,A1205)</f>
        <v>1</v>
      </c>
      <c r="C1205" s="45" t="str">
        <f>Tabla2[[#This Row],[(id_solicitud-tipo_documento)]]&amp;B1205</f>
        <v>361Oficio_Autorizacion1</v>
      </c>
      <c r="D1205" s="45">
        <v>1207</v>
      </c>
      <c r="E1205" s="45">
        <v>361</v>
      </c>
      <c r="F1205" s="45" t="s">
        <v>1272</v>
      </c>
      <c r="G1205" s="45" t="s">
        <v>44</v>
      </c>
      <c r="H1205" s="50" t="s">
        <v>565</v>
      </c>
      <c r="I1205" s="51">
        <v>2428</v>
      </c>
      <c r="J1205" s="80"/>
      <c r="K12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05" s="48">
        <v>44824</v>
      </c>
      <c r="M1205" s="48"/>
      <c r="N1205" s="49">
        <f>+E1205</f>
        <v>361</v>
      </c>
      <c r="O1205" s="45"/>
      <c r="P1205" s="80"/>
      <c r="Q1205" s="48"/>
      <c r="R1205" s="45"/>
      <c r="S1205" s="115">
        <v>794</v>
      </c>
      <c r="T1205" s="20">
        <v>44816</v>
      </c>
      <c r="U1205" s="20"/>
      <c r="V1205" s="20"/>
      <c r="W1205" s="27"/>
    </row>
    <row r="1206" spans="1:23" ht="60" hidden="1" customHeight="1" x14ac:dyDescent="0.25">
      <c r="A1206" s="45" t="str">
        <f>CONCATENATE(Tabla2[[#This Row],[id_solicitud]],Tabla2[[#This Row],[tipo]])</f>
        <v>395Oficio_Autorizacion</v>
      </c>
      <c r="B1206" s="45">
        <f>COUNTIF($A$2:A1206,A1206)</f>
        <v>1</v>
      </c>
      <c r="C1206" s="45" t="str">
        <f>Tabla2[[#This Row],[(id_solicitud-tipo_documento)]]&amp;B1206</f>
        <v>395Oficio_Autorizacion1</v>
      </c>
      <c r="D1206" s="45">
        <v>1208</v>
      </c>
      <c r="E1206" s="45">
        <v>395</v>
      </c>
      <c r="F1206" s="45" t="s">
        <v>1272</v>
      </c>
      <c r="G1206" s="45" t="s">
        <v>44</v>
      </c>
      <c r="H1206" s="50" t="s">
        <v>22</v>
      </c>
      <c r="I1206" s="51">
        <v>2431</v>
      </c>
      <c r="J1206" s="80"/>
      <c r="K12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06" s="48">
        <v>44824</v>
      </c>
      <c r="M1206" s="48"/>
      <c r="N1206" s="49">
        <f>+E1206</f>
        <v>395</v>
      </c>
      <c r="O1206" s="45"/>
      <c r="P1206" s="80"/>
      <c r="Q1206" s="48"/>
      <c r="R1206" s="45"/>
      <c r="S1206" s="115">
        <v>896</v>
      </c>
      <c r="T1206" s="20">
        <v>44816</v>
      </c>
      <c r="U1206" s="20"/>
      <c r="V1206" s="20"/>
      <c r="W1206" s="27"/>
    </row>
    <row r="1207" spans="1:23" ht="60" hidden="1" customHeight="1" x14ac:dyDescent="0.25">
      <c r="A1207" s="45" t="str">
        <f>CONCATENATE(Tabla2[[#This Row],[id_solicitud]],Tabla2[[#This Row],[tipo]])</f>
        <v>197Resolucion</v>
      </c>
      <c r="B1207" s="45">
        <f>COUNTIF($A$2:A1207,A1207)</f>
        <v>1</v>
      </c>
      <c r="C1207" s="45" t="str">
        <f>Tabla2[[#This Row],[(id_solicitud-tipo_documento)]]&amp;B1207</f>
        <v>197Resolucion1</v>
      </c>
      <c r="D1207" s="45">
        <v>1209</v>
      </c>
      <c r="E1207" s="45">
        <v>197</v>
      </c>
      <c r="F1207" s="45" t="s">
        <v>48</v>
      </c>
      <c r="G1207" s="45"/>
      <c r="H1207" s="50" t="s">
        <v>538</v>
      </c>
      <c r="I1207" s="51">
        <v>2433</v>
      </c>
      <c r="J1207" s="80"/>
      <c r="K12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07" s="48">
        <v>44818</v>
      </c>
      <c r="M1207" s="48"/>
      <c r="N1207" s="49"/>
      <c r="O1207" s="45"/>
      <c r="P1207" s="80"/>
      <c r="Q1207" s="48"/>
      <c r="R1207" s="45"/>
      <c r="S1207" s="114"/>
      <c r="T1207" s="45"/>
      <c r="U1207" s="48"/>
      <c r="V1207" s="48"/>
      <c r="W1207" s="27"/>
    </row>
    <row r="1208" spans="1:23" ht="60" hidden="1" customHeight="1" x14ac:dyDescent="0.25">
      <c r="A1208" s="45" t="str">
        <f>CONCATENATE(Tabla2[[#This Row],[id_solicitud]],Tabla2[[#This Row],[tipo]])</f>
        <v>442Oficio_Solicitud</v>
      </c>
      <c r="B1208" s="45">
        <f>COUNTIF($A$2:A1208,A1208)</f>
        <v>1</v>
      </c>
      <c r="C1208" s="45" t="str">
        <f>Tabla2[[#This Row],[(id_solicitud-tipo_documento)]]&amp;B1208</f>
        <v>442Oficio_Solicitud1</v>
      </c>
      <c r="D1208" s="45">
        <v>1210</v>
      </c>
      <c r="E1208" s="45">
        <v>442</v>
      </c>
      <c r="F1208" s="45" t="s">
        <v>53</v>
      </c>
      <c r="G1208" s="45" t="s">
        <v>60</v>
      </c>
      <c r="H1208" s="50" t="s">
        <v>6</v>
      </c>
      <c r="I1208" s="51">
        <v>2460</v>
      </c>
      <c r="J1208" s="80"/>
      <c r="K12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2460 APR</v>
      </c>
      <c r="L1208" s="48">
        <v>44832</v>
      </c>
      <c r="M1208" s="48">
        <v>44833</v>
      </c>
      <c r="N1208" s="49" t="s">
        <v>421</v>
      </c>
      <c r="O1208" s="45">
        <v>14</v>
      </c>
      <c r="P1208" s="80" t="s">
        <v>494</v>
      </c>
      <c r="Q1208" s="48">
        <v>44853</v>
      </c>
      <c r="R1208" s="45"/>
      <c r="S1208" s="114"/>
      <c r="T1208" s="52"/>
      <c r="U1208" s="48"/>
      <c r="V1208" s="48"/>
      <c r="W1208" s="27"/>
    </row>
    <row r="1209" spans="1:23" ht="60" hidden="1" customHeight="1" x14ac:dyDescent="0.25">
      <c r="A1209" s="45" t="str">
        <f>CONCATENATE(Tabla2[[#This Row],[id_solicitud]],Tabla2[[#This Row],[tipo]])</f>
        <v>443Oficio_Solicitud</v>
      </c>
      <c r="B1209" s="45">
        <f>COUNTIF($A$2:A1209,A1209)</f>
        <v>1</v>
      </c>
      <c r="C1209" s="45" t="str">
        <f>Tabla2[[#This Row],[(id_solicitud-tipo_documento)]]&amp;B1209</f>
        <v>443Oficio_Solicitud1</v>
      </c>
      <c r="D1209" s="45">
        <v>1211</v>
      </c>
      <c r="E1209" s="45">
        <v>443</v>
      </c>
      <c r="F1209" s="45" t="s">
        <v>53</v>
      </c>
      <c r="G1209" s="45" t="s">
        <v>60</v>
      </c>
      <c r="H1209" s="50" t="s">
        <v>6</v>
      </c>
      <c r="I1209" s="51">
        <v>2461</v>
      </c>
      <c r="J1209" s="80"/>
      <c r="K12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2461 APR</v>
      </c>
      <c r="L1209" s="48">
        <v>44832</v>
      </c>
      <c r="M1209" s="48">
        <v>44832</v>
      </c>
      <c r="N1209" s="49" t="s">
        <v>422</v>
      </c>
      <c r="O1209" s="45">
        <v>10</v>
      </c>
      <c r="P1209" s="80" t="s">
        <v>494</v>
      </c>
      <c r="Q1209" s="48">
        <v>44846</v>
      </c>
      <c r="R1209" s="45"/>
      <c r="S1209" s="114"/>
      <c r="T1209" s="52"/>
      <c r="U1209" s="48"/>
      <c r="V1209" s="48"/>
      <c r="W1209" s="27"/>
    </row>
    <row r="1210" spans="1:23" ht="60" hidden="1" customHeight="1" x14ac:dyDescent="0.25">
      <c r="A1210" s="45" t="str">
        <f>CONCATENATE(Tabla2[[#This Row],[id_solicitud]],Tabla2[[#This Row],[tipo]])</f>
        <v>447Oficio_Solicitud</v>
      </c>
      <c r="B1210" s="45">
        <f>COUNTIF($A$2:A1210,A1210)</f>
        <v>1</v>
      </c>
      <c r="C1210" s="45" t="str">
        <f>Tabla2[[#This Row],[(id_solicitud-tipo_documento)]]&amp;B1210</f>
        <v>447Oficio_Solicitud1</v>
      </c>
      <c r="D1210" s="45">
        <v>1212</v>
      </c>
      <c r="E1210" s="45">
        <v>447</v>
      </c>
      <c r="F1210" s="45" t="s">
        <v>53</v>
      </c>
      <c r="G1210" s="45" t="s">
        <v>1258</v>
      </c>
      <c r="H1210" s="50" t="s">
        <v>20</v>
      </c>
      <c r="I1210" s="51">
        <v>2491</v>
      </c>
      <c r="J1210" s="80"/>
      <c r="K12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2491 DOH</v>
      </c>
      <c r="L1210" s="48">
        <v>44834</v>
      </c>
      <c r="M1210" s="48">
        <v>44837</v>
      </c>
      <c r="N1210" s="49" t="s">
        <v>426</v>
      </c>
      <c r="O1210" s="45">
        <v>1</v>
      </c>
      <c r="P1210" s="80" t="s">
        <v>494</v>
      </c>
      <c r="Q1210" s="48"/>
      <c r="R1210" s="45"/>
      <c r="S1210" s="114"/>
      <c r="T1210" s="52"/>
      <c r="U1210" s="48"/>
      <c r="V1210" s="48"/>
      <c r="W1210" s="27"/>
    </row>
    <row r="1211" spans="1:23" ht="60" hidden="1" customHeight="1" x14ac:dyDescent="0.25">
      <c r="A1211" s="45" t="str">
        <f>CONCATENATE(Tabla2[[#This Row],[id_solicitud]],Tabla2[[#This Row],[tipo]])</f>
        <v>369Oficio_Autorizacion</v>
      </c>
      <c r="B1211" s="45">
        <f>COUNTIF($A$2:A1211,A1211)</f>
        <v>1</v>
      </c>
      <c r="C1211" s="45" t="str">
        <f>Tabla2[[#This Row],[(id_solicitud-tipo_documento)]]&amp;B1211</f>
        <v>369Oficio_Autorizacion1</v>
      </c>
      <c r="D1211" s="45">
        <v>1213</v>
      </c>
      <c r="E1211" s="45">
        <v>369</v>
      </c>
      <c r="F1211" s="45" t="s">
        <v>1272</v>
      </c>
      <c r="G1211" s="45" t="s">
        <v>44</v>
      </c>
      <c r="H1211" s="50" t="s">
        <v>12</v>
      </c>
      <c r="I1211" s="51">
        <v>2489</v>
      </c>
      <c r="J1211" s="80"/>
      <c r="K12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11" s="48">
        <v>44830</v>
      </c>
      <c r="M1211" s="48"/>
      <c r="N1211" s="49" t="s">
        <v>944</v>
      </c>
      <c r="O1211" s="45"/>
      <c r="P1211" s="80"/>
      <c r="Q1211" s="48"/>
      <c r="R1211" s="45"/>
      <c r="S1211" s="115">
        <v>890</v>
      </c>
      <c r="T1211" s="20">
        <v>44813</v>
      </c>
      <c r="U1211" s="20"/>
      <c r="V1211" s="20"/>
      <c r="W1211" s="27"/>
    </row>
    <row r="1212" spans="1:23" ht="60" hidden="1" customHeight="1" x14ac:dyDescent="0.25">
      <c r="A1212" s="45" t="str">
        <f>CONCATENATE(Tabla2[[#This Row],[id_solicitud]],Tabla2[[#This Row],[tipo]])</f>
        <v>448Oficio_Solicitud</v>
      </c>
      <c r="B1212" s="45">
        <f>COUNTIF($A$2:A1212,A1212)</f>
        <v>1</v>
      </c>
      <c r="C1212" s="45" t="str">
        <f>Tabla2[[#This Row],[(id_solicitud-tipo_documento)]]&amp;B1212</f>
        <v>448Oficio_Solicitud1</v>
      </c>
      <c r="D1212" s="45">
        <v>1214</v>
      </c>
      <c r="E1212" s="45">
        <v>448</v>
      </c>
      <c r="F1212" s="45" t="s">
        <v>53</v>
      </c>
      <c r="G1212" s="45" t="s">
        <v>60</v>
      </c>
      <c r="H1212" s="50" t="s">
        <v>6</v>
      </c>
      <c r="I1212" s="51">
        <v>2492</v>
      </c>
      <c r="J1212" s="80"/>
      <c r="K12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2492 APR</v>
      </c>
      <c r="L1212" s="48">
        <v>44834</v>
      </c>
      <c r="M1212" s="48">
        <v>44837</v>
      </c>
      <c r="N1212" s="49" t="s">
        <v>427</v>
      </c>
      <c r="O1212" s="45">
        <v>42</v>
      </c>
      <c r="P1212" s="80" t="s">
        <v>494</v>
      </c>
      <c r="Q1212" s="48">
        <v>44848</v>
      </c>
      <c r="R1212" s="45"/>
      <c r="S1212" s="114"/>
      <c r="T1212" s="52"/>
      <c r="U1212" s="48"/>
      <c r="V1212" s="48"/>
      <c r="W1212" s="27"/>
    </row>
    <row r="1213" spans="1:23" ht="60" hidden="1" customHeight="1" x14ac:dyDescent="0.25">
      <c r="A1213" s="45" t="str">
        <f>CONCATENATE(Tabla2[[#This Row],[id_solicitud]],Tabla2[[#This Row],[tipo]])</f>
        <v>122Oficio_Solicitud</v>
      </c>
      <c r="B1213" s="45">
        <f>COUNTIF($A$2:A1213,A1213)</f>
        <v>1</v>
      </c>
      <c r="C1213" s="45" t="str">
        <f>Tabla2[[#This Row],[(id_solicitud-tipo_documento)]]&amp;B1213</f>
        <v>122Oficio_Solicitud1</v>
      </c>
      <c r="D1213" s="45">
        <v>1215</v>
      </c>
      <c r="E1213" s="45">
        <v>122</v>
      </c>
      <c r="F1213" s="45" t="s">
        <v>53</v>
      </c>
      <c r="G1213" s="45" t="s">
        <v>1258</v>
      </c>
      <c r="H1213" s="50" t="s">
        <v>538</v>
      </c>
      <c r="I1213" s="51">
        <v>2545</v>
      </c>
      <c r="J1213" s="80"/>
      <c r="K12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2545 DV_FETCovid19</v>
      </c>
      <c r="L1213" s="48">
        <v>44636</v>
      </c>
      <c r="M1213" s="48">
        <v>44637</v>
      </c>
      <c r="N1213" s="49" t="s">
        <v>169</v>
      </c>
      <c r="O1213" s="45">
        <v>11</v>
      </c>
      <c r="P1213" s="80" t="s">
        <v>494</v>
      </c>
      <c r="Q1213" s="48">
        <v>44637</v>
      </c>
      <c r="R1213" s="45"/>
      <c r="S1213" s="114"/>
      <c r="T1213" s="52"/>
      <c r="U1213" s="48"/>
      <c r="V1213" s="48"/>
      <c r="W1213" s="27"/>
    </row>
    <row r="1214" spans="1:23" ht="60" hidden="1" customHeight="1" x14ac:dyDescent="0.25">
      <c r="A1214" s="45" t="str">
        <f>CONCATENATE(Tabla2[[#This Row],[id_solicitud]],Tabla2[[#This Row],[tipo]])</f>
        <v>355Oficio_Autorizacion</v>
      </c>
      <c r="B1214" s="45">
        <f>COUNTIF($A$2:A1214,A1214)</f>
        <v>1</v>
      </c>
      <c r="C1214" s="45" t="str">
        <f>Tabla2[[#This Row],[(id_solicitud-tipo_documento)]]&amp;B1214</f>
        <v>355Oficio_Autorizacion1</v>
      </c>
      <c r="D1214" s="45">
        <v>1216</v>
      </c>
      <c r="E1214" s="45">
        <v>355</v>
      </c>
      <c r="F1214" s="45" t="s">
        <v>1272</v>
      </c>
      <c r="G1214" s="45" t="s">
        <v>44</v>
      </c>
      <c r="H1214" s="50" t="s">
        <v>35</v>
      </c>
      <c r="I1214" s="51">
        <v>2511</v>
      </c>
      <c r="J1214" s="80"/>
      <c r="K12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14" s="48">
        <v>44830</v>
      </c>
      <c r="M1214" s="48"/>
      <c r="N1214" s="49" t="s">
        <v>935</v>
      </c>
      <c r="O1214" s="45"/>
      <c r="P1214" s="80"/>
      <c r="Q1214" s="48"/>
      <c r="R1214" s="45"/>
      <c r="S1214" s="115">
        <v>845</v>
      </c>
      <c r="T1214" s="20">
        <v>44811</v>
      </c>
      <c r="U1214" s="20"/>
      <c r="V1214" s="20"/>
      <c r="W1214" s="27"/>
    </row>
    <row r="1215" spans="1:23" ht="60" hidden="1" customHeight="1" x14ac:dyDescent="0.25">
      <c r="A1215" s="45" t="str">
        <f>CONCATENATE(Tabla2[[#This Row],[id_solicitud]],Tabla2[[#This Row],[tipo]])</f>
        <v>362Oficio_Autorizacion</v>
      </c>
      <c r="B1215" s="45">
        <f>COUNTIF($A$2:A1215,A1215)</f>
        <v>1</v>
      </c>
      <c r="C1215" s="45" t="str">
        <f>Tabla2[[#This Row],[(id_solicitud-tipo_documento)]]&amp;B1215</f>
        <v>362Oficio_Autorizacion1</v>
      </c>
      <c r="D1215" s="45">
        <v>1217</v>
      </c>
      <c r="E1215" s="45">
        <v>362</v>
      </c>
      <c r="F1215" s="45" t="s">
        <v>1272</v>
      </c>
      <c r="G1215" s="45" t="s">
        <v>44</v>
      </c>
      <c r="H1215" s="50" t="s">
        <v>28</v>
      </c>
      <c r="I1215" s="51">
        <v>2512</v>
      </c>
      <c r="J1215" s="80"/>
      <c r="K12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15" s="48">
        <v>44830</v>
      </c>
      <c r="M1215" s="48"/>
      <c r="N1215" s="49" t="s">
        <v>938</v>
      </c>
      <c r="O1215" s="45"/>
      <c r="P1215" s="80"/>
      <c r="Q1215" s="48"/>
      <c r="R1215" s="45"/>
      <c r="S1215" s="115">
        <v>922</v>
      </c>
      <c r="T1215" s="20">
        <v>44817</v>
      </c>
      <c r="U1215" s="20"/>
      <c r="V1215" s="20"/>
      <c r="W1215" s="27"/>
    </row>
    <row r="1216" spans="1:23" ht="60" hidden="1" customHeight="1" x14ac:dyDescent="0.25">
      <c r="A1216" s="45" t="str">
        <f>CONCATENATE(Tabla2[[#This Row],[id_solicitud]],Tabla2[[#This Row],[tipo]])</f>
        <v>133Oficio_Solicitud</v>
      </c>
      <c r="B1216" s="45">
        <f>COUNTIF($A$2:A1216,A1216)</f>
        <v>1</v>
      </c>
      <c r="C1216" s="45" t="str">
        <f>Tabla2[[#This Row],[(id_solicitud-tipo_documento)]]&amp;B1216</f>
        <v>133Oficio_Solicitud1</v>
      </c>
      <c r="D1216" s="45">
        <v>1218</v>
      </c>
      <c r="E1216" s="45">
        <v>133</v>
      </c>
      <c r="F1216" s="45" t="s">
        <v>53</v>
      </c>
      <c r="G1216" s="45" t="s">
        <v>1258</v>
      </c>
      <c r="H1216" s="50" t="s">
        <v>26</v>
      </c>
      <c r="I1216" s="51">
        <v>2545</v>
      </c>
      <c r="J1216" s="80"/>
      <c r="K12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2545 DV</v>
      </c>
      <c r="L1216" s="48">
        <v>44636</v>
      </c>
      <c r="M1216" s="48">
        <v>44637</v>
      </c>
      <c r="N1216" s="49" t="s">
        <v>178</v>
      </c>
      <c r="O1216" s="45">
        <v>44</v>
      </c>
      <c r="P1216" s="80" t="s">
        <v>494</v>
      </c>
      <c r="Q1216" s="48"/>
      <c r="R1216" s="45"/>
      <c r="S1216" s="114"/>
      <c r="T1216" s="52"/>
      <c r="U1216" s="48"/>
      <c r="V1216" s="48"/>
      <c r="W1216" s="27"/>
    </row>
    <row r="1217" spans="1:23" ht="60" hidden="1" customHeight="1" x14ac:dyDescent="0.25">
      <c r="A1217" s="45" t="str">
        <f>CONCATENATE(Tabla2[[#This Row],[id_solicitud]],Tabla2[[#This Row],[tipo]])</f>
        <v>458Oficio_Solicitud</v>
      </c>
      <c r="B1217" s="45">
        <f>COUNTIF($A$2:A1217,A1217)</f>
        <v>1</v>
      </c>
      <c r="C1217" s="45" t="str">
        <f>Tabla2[[#This Row],[(id_solicitud-tipo_documento)]]&amp;B1217</f>
        <v>458Oficio_Solicitud1</v>
      </c>
      <c r="D1217" s="45">
        <v>1219</v>
      </c>
      <c r="E1217" s="45">
        <v>458</v>
      </c>
      <c r="F1217" s="45" t="s">
        <v>53</v>
      </c>
      <c r="G1217" s="45" t="s">
        <v>60</v>
      </c>
      <c r="H1217" s="50" t="s">
        <v>20</v>
      </c>
      <c r="I1217" s="51">
        <v>2558</v>
      </c>
      <c r="J1217" s="80"/>
      <c r="K12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2558 DOH</v>
      </c>
      <c r="L1217" s="48">
        <v>44841</v>
      </c>
      <c r="M1217" s="48">
        <v>44845</v>
      </c>
      <c r="N1217" s="49" t="s">
        <v>433</v>
      </c>
      <c r="O1217" s="45">
        <v>8</v>
      </c>
      <c r="P1217" s="80" t="s">
        <v>494</v>
      </c>
      <c r="Q1217" s="48">
        <v>44848</v>
      </c>
      <c r="R1217" s="45"/>
      <c r="S1217" s="114"/>
      <c r="T1217" s="52"/>
      <c r="U1217" s="48"/>
      <c r="V1217" s="48"/>
      <c r="W1217" s="27"/>
    </row>
    <row r="1218" spans="1:23" ht="60" customHeight="1" x14ac:dyDescent="0.25">
      <c r="A1218" s="45" t="str">
        <f>CONCATENATE(Tabla2[[#This Row],[id_solicitud]],Tabla2[[#This Row],[tipo]])</f>
        <v>406Proposicion</v>
      </c>
      <c r="B1218" s="45">
        <f>COUNTIF($A$2:A1218,A1218)</f>
        <v>1</v>
      </c>
      <c r="C1218" s="45" t="str">
        <f>Tabla2[[#This Row],[(id_solicitud-tipo_documento)]]&amp;B1218</f>
        <v>406Proposicion1</v>
      </c>
      <c r="D1218" s="45">
        <v>645</v>
      </c>
      <c r="E1218" s="45">
        <v>406</v>
      </c>
      <c r="F1218" s="45" t="s">
        <v>46</v>
      </c>
      <c r="G1218" s="45" t="s">
        <v>44</v>
      </c>
      <c r="H1218" s="50" t="s">
        <v>6</v>
      </c>
      <c r="I1218" s="51">
        <v>614</v>
      </c>
      <c r="J1218" s="80"/>
      <c r="K12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614 APR</v>
      </c>
      <c r="L1218" s="48">
        <v>44810</v>
      </c>
      <c r="M1218" s="48">
        <v>44810</v>
      </c>
      <c r="N1218" s="49" t="s">
        <v>713</v>
      </c>
      <c r="O1218" s="45"/>
      <c r="P1218" s="80" t="s">
        <v>498</v>
      </c>
      <c r="Q1218" s="24"/>
      <c r="R1218" s="24" t="s">
        <v>24</v>
      </c>
      <c r="S1218" s="114"/>
      <c r="T1218" s="45"/>
      <c r="U1218" s="48"/>
      <c r="V1218" s="48"/>
      <c r="W1218" s="27"/>
    </row>
    <row r="1219" spans="1:23" ht="60" hidden="1" customHeight="1" x14ac:dyDescent="0.25">
      <c r="A1219" s="45" t="str">
        <f>CONCATENATE(Tabla2[[#This Row],[id_solicitud]],Tabla2[[#This Row],[tipo]])</f>
        <v>459Oficio_Solicitud</v>
      </c>
      <c r="B1219" s="45">
        <f>COUNTIF($A$2:A1219,A1219)</f>
        <v>1</v>
      </c>
      <c r="C1219" s="45" t="str">
        <f>Tabla2[[#This Row],[(id_solicitud-tipo_documento)]]&amp;B1219</f>
        <v>459Oficio_Solicitud1</v>
      </c>
      <c r="D1219" s="45">
        <v>1221</v>
      </c>
      <c r="E1219" s="45">
        <v>459</v>
      </c>
      <c r="F1219" s="45" t="s">
        <v>53</v>
      </c>
      <c r="G1219" s="45" t="s">
        <v>60</v>
      </c>
      <c r="H1219" s="50" t="s">
        <v>20</v>
      </c>
      <c r="I1219" s="51">
        <v>2559</v>
      </c>
      <c r="J1219" s="80"/>
      <c r="K12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2559 DOH</v>
      </c>
      <c r="L1219" s="48">
        <v>44841</v>
      </c>
      <c r="M1219" s="48">
        <v>44845</v>
      </c>
      <c r="N1219" s="49" t="s">
        <v>434</v>
      </c>
      <c r="O1219" s="45">
        <f>2+3+18</f>
        <v>23</v>
      </c>
      <c r="P1219" s="80" t="s">
        <v>494</v>
      </c>
      <c r="Q1219" s="48">
        <v>44851</v>
      </c>
      <c r="R1219" s="45"/>
      <c r="S1219" s="114"/>
      <c r="T1219" s="52"/>
      <c r="U1219" s="48"/>
      <c r="V1219" s="48"/>
      <c r="W1219" s="27"/>
    </row>
    <row r="1220" spans="1:23" ht="60" hidden="1" customHeight="1" x14ac:dyDescent="0.25">
      <c r="A1220" s="45" t="str">
        <f>CONCATENATE(Tabla2[[#This Row],[id_solicitud]],Tabla2[[#This Row],[tipo]])</f>
        <v>520Oficio_Solicitud</v>
      </c>
      <c r="B1220" s="45">
        <f>COUNTIF($A$2:A1220,A1220)</f>
        <v>1</v>
      </c>
      <c r="C1220" s="45" t="str">
        <f>Tabla2[[#This Row],[(id_solicitud-tipo_documento)]]&amp;B1220</f>
        <v>520Oficio_Solicitud1</v>
      </c>
      <c r="D1220" s="45">
        <v>1222</v>
      </c>
      <c r="E1220" s="45">
        <v>520</v>
      </c>
      <c r="F1220" s="45" t="s">
        <v>53</v>
      </c>
      <c r="G1220" s="45" t="s">
        <v>42</v>
      </c>
      <c r="H1220" s="50" t="s">
        <v>20</v>
      </c>
      <c r="I1220" s="51">
        <v>2598</v>
      </c>
      <c r="J1220" s="80"/>
      <c r="K12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2598 DOH</v>
      </c>
      <c r="L1220" s="48">
        <v>44846</v>
      </c>
      <c r="M1220" s="48">
        <v>44846</v>
      </c>
      <c r="N1220" s="49" t="s">
        <v>484</v>
      </c>
      <c r="O1220" s="45"/>
      <c r="P1220" s="80" t="s">
        <v>497</v>
      </c>
      <c r="Q1220" s="48"/>
      <c r="R1220" s="45"/>
      <c r="S1220" s="114"/>
      <c r="T1220" s="52"/>
      <c r="U1220" s="48"/>
      <c r="V1220" s="48"/>
      <c r="W1220" s="27"/>
    </row>
    <row r="1221" spans="1:23" ht="60" hidden="1" customHeight="1" x14ac:dyDescent="0.25">
      <c r="A1221" s="45" t="str">
        <f>CONCATENATE(Tabla2[[#This Row],[id_solicitud]],Tabla2[[#This Row],[tipo]])</f>
        <v>482Oficio_Solicitud</v>
      </c>
      <c r="B1221" s="45">
        <f>COUNTIF($A$2:A1221,A1221)</f>
        <v>1</v>
      </c>
      <c r="C1221" s="45" t="str">
        <f>Tabla2[[#This Row],[(id_solicitud-tipo_documento)]]&amp;B1221</f>
        <v>482Oficio_Solicitud1</v>
      </c>
      <c r="D1221" s="45">
        <v>1223</v>
      </c>
      <c r="E1221" s="45">
        <v>482</v>
      </c>
      <c r="F1221" s="45" t="s">
        <v>53</v>
      </c>
      <c r="G1221" s="45" t="s">
        <v>68</v>
      </c>
      <c r="H1221" s="50" t="s">
        <v>535</v>
      </c>
      <c r="I1221" s="51">
        <v>2638</v>
      </c>
      <c r="J1221" s="80"/>
      <c r="K12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2638 DOH_FETCovid19</v>
      </c>
      <c r="L1221" s="48">
        <v>44851</v>
      </c>
      <c r="M1221" s="48">
        <v>44852</v>
      </c>
      <c r="N1221" s="49" t="s">
        <v>450</v>
      </c>
      <c r="O1221" s="45">
        <v>46</v>
      </c>
      <c r="P1221" s="80" t="s">
        <v>494</v>
      </c>
      <c r="Q1221" s="48"/>
      <c r="R1221" s="45"/>
      <c r="S1221" s="114"/>
      <c r="T1221" s="52"/>
      <c r="U1221" s="48"/>
      <c r="V1221" s="48"/>
      <c r="W1221" s="27"/>
    </row>
    <row r="1222" spans="1:23" ht="60" hidden="1" customHeight="1" x14ac:dyDescent="0.25">
      <c r="A1222" s="45" t="str">
        <f>CONCATENATE(Tabla2[[#This Row],[id_solicitud]],Tabla2[[#This Row],[tipo]])</f>
        <v>252Resolucion</v>
      </c>
      <c r="B1222" s="45">
        <f>COUNTIF($A$2:A1222,A1222)</f>
        <v>1</v>
      </c>
      <c r="C1222" s="45" t="str">
        <f>Tabla2[[#This Row],[(id_solicitud-tipo_documento)]]&amp;B1222</f>
        <v>252Resolucion1</v>
      </c>
      <c r="D1222" s="45">
        <v>1224</v>
      </c>
      <c r="E1222" s="45">
        <v>252</v>
      </c>
      <c r="F1222" s="45" t="s">
        <v>48</v>
      </c>
      <c r="G1222" s="45"/>
      <c r="H1222" s="50" t="s">
        <v>535</v>
      </c>
      <c r="I1222" s="51">
        <v>2602</v>
      </c>
      <c r="J1222" s="80"/>
      <c r="K12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22" s="48">
        <v>44747</v>
      </c>
      <c r="M1222" s="48"/>
      <c r="N1222" s="49"/>
      <c r="O1222" s="45"/>
      <c r="P1222" s="80"/>
      <c r="Q1222" s="48"/>
      <c r="R1222" s="45"/>
      <c r="S1222" s="114"/>
      <c r="T1222" s="45"/>
      <c r="U1222" s="48"/>
      <c r="V1222" s="48"/>
      <c r="W1222" s="27"/>
    </row>
    <row r="1223" spans="1:23" ht="60" hidden="1" customHeight="1" x14ac:dyDescent="0.25">
      <c r="A1223" s="45" t="str">
        <f>CONCATENATE(Tabla2[[#This Row],[id_solicitud]],Tabla2[[#This Row],[tipo]])</f>
        <v>483Oficio_Solicitud</v>
      </c>
      <c r="B1223" s="45">
        <f>COUNTIF($A$2:A1223,A1223)</f>
        <v>1</v>
      </c>
      <c r="C1223" s="45" t="str">
        <f>Tabla2[[#This Row],[(id_solicitud-tipo_documento)]]&amp;B1223</f>
        <v>483Oficio_Solicitud1</v>
      </c>
      <c r="D1223" s="45">
        <v>1225</v>
      </c>
      <c r="E1223" s="45">
        <v>483</v>
      </c>
      <c r="F1223" s="45" t="s">
        <v>53</v>
      </c>
      <c r="G1223" s="45" t="s">
        <v>68</v>
      </c>
      <c r="H1223" s="50" t="s">
        <v>20</v>
      </c>
      <c r="I1223" s="51">
        <v>2639</v>
      </c>
      <c r="J1223" s="80"/>
      <c r="K12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2639 DOH</v>
      </c>
      <c r="L1223" s="48">
        <v>44851</v>
      </c>
      <c r="M1223" s="48">
        <v>44852</v>
      </c>
      <c r="N1223" s="49" t="s">
        <v>451</v>
      </c>
      <c r="O1223" s="45">
        <f>10+13+85</f>
        <v>108</v>
      </c>
      <c r="P1223" s="80" t="s">
        <v>494</v>
      </c>
      <c r="Q1223" s="48"/>
      <c r="R1223" s="45"/>
      <c r="S1223" s="114"/>
      <c r="T1223" s="52"/>
      <c r="U1223" s="48"/>
      <c r="V1223" s="48"/>
      <c r="W1223" s="27"/>
    </row>
    <row r="1224" spans="1:23" ht="60" customHeight="1" x14ac:dyDescent="0.25">
      <c r="A1224" s="45" t="str">
        <f>CONCATENATE(Tabla2[[#This Row],[id_solicitud]],Tabla2[[#This Row],[tipo]])</f>
        <v>406Oficio_Autorizacion</v>
      </c>
      <c r="B1224" s="45">
        <f>COUNTIF($A$2:A1224,A1224)</f>
        <v>1</v>
      </c>
      <c r="C1224" s="45" t="str">
        <f>Tabla2[[#This Row],[(id_solicitud-tipo_documento)]]&amp;B1224</f>
        <v>406Oficio_Autorizacion1</v>
      </c>
      <c r="D1224" s="45">
        <v>1220</v>
      </c>
      <c r="E1224" s="45">
        <v>406</v>
      </c>
      <c r="F1224" s="45" t="s">
        <v>1272</v>
      </c>
      <c r="G1224" s="45" t="s">
        <v>44</v>
      </c>
      <c r="H1224" s="50" t="s">
        <v>6</v>
      </c>
      <c r="I1224" s="51">
        <v>2549</v>
      </c>
      <c r="J1224" s="80"/>
      <c r="K12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24" s="48">
        <v>44837</v>
      </c>
      <c r="M1224" s="48"/>
      <c r="N1224" s="49" t="s">
        <v>969</v>
      </c>
      <c r="O1224" s="45"/>
      <c r="P1224" s="80"/>
      <c r="Q1224" s="48"/>
      <c r="R1224" s="45"/>
      <c r="S1224" s="115">
        <v>987</v>
      </c>
      <c r="T1224" s="20">
        <v>44832</v>
      </c>
      <c r="U1224" s="20"/>
      <c r="V1224" s="20"/>
      <c r="W1224" s="27"/>
    </row>
    <row r="1225" spans="1:23" ht="60" hidden="1" customHeight="1" x14ac:dyDescent="0.25">
      <c r="A1225" s="45" t="str">
        <f>CONCATENATE(Tabla2[[#This Row],[id_solicitud]],Tabla2[[#This Row],[tipo]])</f>
        <v>432Resolucion</v>
      </c>
      <c r="B1225" s="45">
        <f>COUNTIF($A$2:A1225,A1225)</f>
        <v>1</v>
      </c>
      <c r="C1225" s="45" t="str">
        <f>Tabla2[[#This Row],[(id_solicitud-tipo_documento)]]&amp;B1225</f>
        <v>432Resolucion1</v>
      </c>
      <c r="D1225" s="45">
        <v>1227</v>
      </c>
      <c r="E1225" s="45">
        <v>432</v>
      </c>
      <c r="F1225" s="45" t="s">
        <v>48</v>
      </c>
      <c r="G1225" s="45"/>
      <c r="H1225" s="50" t="s">
        <v>26</v>
      </c>
      <c r="I1225" s="51">
        <v>2617</v>
      </c>
      <c r="J1225" s="80"/>
      <c r="K12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25" s="48">
        <v>44837</v>
      </c>
      <c r="M1225" s="48"/>
      <c r="N1225" s="49"/>
      <c r="O1225" s="45"/>
      <c r="P1225" s="80"/>
      <c r="Q1225" s="48"/>
      <c r="R1225" s="45"/>
      <c r="S1225" s="114"/>
      <c r="T1225" s="45"/>
      <c r="U1225" s="48"/>
      <c r="V1225" s="48"/>
      <c r="W1225" s="27"/>
    </row>
    <row r="1226" spans="1:23" ht="60" hidden="1" customHeight="1" x14ac:dyDescent="0.25">
      <c r="A1226" s="45" t="str">
        <f>CONCATENATE(Tabla2[[#This Row],[id_solicitud]],Tabla2[[#This Row],[tipo]])</f>
        <v>468Resolucion</v>
      </c>
      <c r="B1226" s="45">
        <f>COUNTIF($A$2:A1226,A1226)</f>
        <v>1</v>
      </c>
      <c r="C1226" s="45" t="str">
        <f>Tabla2[[#This Row],[(id_solicitud-tipo_documento)]]&amp;B1226</f>
        <v>468Resolucion1</v>
      </c>
      <c r="D1226" s="45">
        <v>1228</v>
      </c>
      <c r="E1226" s="45">
        <v>468</v>
      </c>
      <c r="F1226" s="45" t="s">
        <v>48</v>
      </c>
      <c r="G1226" s="45"/>
      <c r="H1226" s="50" t="s">
        <v>14</v>
      </c>
      <c r="I1226" s="51">
        <v>2631</v>
      </c>
      <c r="J1226" s="80"/>
      <c r="K12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26" s="48">
        <v>44853</v>
      </c>
      <c r="M1226" s="48"/>
      <c r="N1226" s="49"/>
      <c r="O1226" s="45"/>
      <c r="P1226" s="80"/>
      <c r="Q1226" s="48"/>
      <c r="R1226" s="45"/>
      <c r="S1226" s="114"/>
      <c r="T1226" s="45"/>
      <c r="U1226" s="48"/>
      <c r="V1226" s="48"/>
      <c r="W1226" s="27"/>
    </row>
    <row r="1227" spans="1:23" ht="60" hidden="1" customHeight="1" x14ac:dyDescent="0.25">
      <c r="A1227" s="45" t="str">
        <f>CONCATENATE(Tabla2[[#This Row],[id_solicitud]],Tabla2[[#This Row],[tipo]])</f>
        <v>484Oficio_Solicitud</v>
      </c>
      <c r="B1227" s="45">
        <f>COUNTIF($A$2:A1227,A1227)</f>
        <v>1</v>
      </c>
      <c r="C1227" s="45" t="str">
        <f>Tabla2[[#This Row],[(id_solicitud-tipo_documento)]]&amp;B1227</f>
        <v>484Oficio_Solicitud1</v>
      </c>
      <c r="D1227" s="45">
        <v>1229</v>
      </c>
      <c r="E1227" s="45">
        <v>484</v>
      </c>
      <c r="F1227" s="45" t="s">
        <v>53</v>
      </c>
      <c r="G1227" s="45" t="s">
        <v>68</v>
      </c>
      <c r="H1227" s="50" t="s">
        <v>6</v>
      </c>
      <c r="I1227" s="51">
        <v>2662</v>
      </c>
      <c r="J1227" s="80"/>
      <c r="K12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2662 APR</v>
      </c>
      <c r="L1227" s="48">
        <v>44852</v>
      </c>
      <c r="M1227" s="48">
        <v>44853</v>
      </c>
      <c r="N1227" s="49" t="s">
        <v>452</v>
      </c>
      <c r="O1227" s="45">
        <v>182</v>
      </c>
      <c r="P1227" s="80" t="s">
        <v>494</v>
      </c>
      <c r="Q1227" s="48"/>
      <c r="R1227" s="45"/>
      <c r="S1227" s="114"/>
      <c r="T1227" s="52"/>
      <c r="U1227" s="48"/>
      <c r="V1227" s="48"/>
      <c r="W1227" s="27"/>
    </row>
    <row r="1228" spans="1:23" ht="60" hidden="1" customHeight="1" x14ac:dyDescent="0.25">
      <c r="A1228" s="45" t="str">
        <f>CONCATENATE(Tabla2[[#This Row],[id_solicitud]],Tabla2[[#This Row],[tipo]])</f>
        <v>485Oficio_Solicitud</v>
      </c>
      <c r="B1228" s="45">
        <f>COUNTIF($A$2:A1228,A1228)</f>
        <v>1</v>
      </c>
      <c r="C1228" s="45" t="str">
        <f>Tabla2[[#This Row],[(id_solicitud-tipo_documento)]]&amp;B1228</f>
        <v>485Oficio_Solicitud1</v>
      </c>
      <c r="D1228" s="45">
        <v>1230</v>
      </c>
      <c r="E1228" s="45">
        <v>485</v>
      </c>
      <c r="F1228" s="45" t="s">
        <v>53</v>
      </c>
      <c r="G1228" s="45" t="s">
        <v>68</v>
      </c>
      <c r="H1228" s="50" t="s">
        <v>559</v>
      </c>
      <c r="I1228" s="51">
        <v>2663</v>
      </c>
      <c r="J1228" s="80"/>
      <c r="K12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2663 APR_FETCovid19</v>
      </c>
      <c r="L1228" s="48">
        <v>44852</v>
      </c>
      <c r="M1228" s="48">
        <v>44853</v>
      </c>
      <c r="N1228" s="49" t="s">
        <v>453</v>
      </c>
      <c r="O1228" s="45">
        <v>73</v>
      </c>
      <c r="P1228" s="80" t="s">
        <v>494</v>
      </c>
      <c r="Q1228" s="48"/>
      <c r="R1228" s="45"/>
      <c r="S1228" s="114"/>
      <c r="T1228" s="52"/>
      <c r="U1228" s="48"/>
      <c r="V1228" s="48"/>
      <c r="W1228" s="27"/>
    </row>
    <row r="1229" spans="1:23" ht="60" hidden="1" customHeight="1" x14ac:dyDescent="0.25">
      <c r="A1229" s="45" t="str">
        <f>CONCATENATE(Tabla2[[#This Row],[id_solicitud]],Tabla2[[#This Row],[tipo]])</f>
        <v>423Resolucion</v>
      </c>
      <c r="B1229" s="45">
        <f>COUNTIF($A$2:A1229,A1229)</f>
        <v>1</v>
      </c>
      <c r="C1229" s="45" t="str">
        <f>Tabla2[[#This Row],[(id_solicitud-tipo_documento)]]&amp;B1229</f>
        <v>423Resolucion1</v>
      </c>
      <c r="D1229" s="45">
        <v>1231</v>
      </c>
      <c r="E1229" s="45">
        <v>423</v>
      </c>
      <c r="F1229" s="45" t="s">
        <v>48</v>
      </c>
      <c r="G1229" s="45"/>
      <c r="H1229" s="50" t="s">
        <v>538</v>
      </c>
      <c r="I1229" s="51">
        <v>2644</v>
      </c>
      <c r="J1229" s="80"/>
      <c r="K12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29" s="48">
        <v>44838</v>
      </c>
      <c r="M1229" s="48"/>
      <c r="N1229" s="49"/>
      <c r="O1229" s="45"/>
      <c r="P1229" s="80"/>
      <c r="Q1229" s="48"/>
      <c r="R1229" s="45"/>
      <c r="S1229" s="114"/>
      <c r="T1229" s="45"/>
      <c r="U1229" s="48"/>
      <c r="V1229" s="48"/>
      <c r="W1229" s="27"/>
    </row>
    <row r="1230" spans="1:23" ht="60" hidden="1" customHeight="1" x14ac:dyDescent="0.25">
      <c r="A1230" s="45" t="str">
        <f>CONCATENATE(Tabla2[[#This Row],[id_solicitud]],Tabla2[[#This Row],[tipo]])</f>
        <v>10Decreto</v>
      </c>
      <c r="B1230" s="45">
        <f>COUNTIF($A$2:A1230,A1230)</f>
        <v>1</v>
      </c>
      <c r="C1230" s="45" t="str">
        <f>Tabla2[[#This Row],[(id_solicitud-tipo_documento)]]&amp;B1230</f>
        <v>10Decreto1</v>
      </c>
      <c r="D1230" s="45">
        <v>1232</v>
      </c>
      <c r="E1230" s="45">
        <v>10</v>
      </c>
      <c r="F1230" s="45" t="s">
        <v>47</v>
      </c>
      <c r="G1230" s="45" t="s">
        <v>43</v>
      </c>
      <c r="H1230" s="50" t="s">
        <v>24</v>
      </c>
      <c r="I1230" s="51">
        <v>2659</v>
      </c>
      <c r="J1230" s="80"/>
      <c r="K12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2659 DP</v>
      </c>
      <c r="L1230" s="48">
        <v>44558</v>
      </c>
      <c r="M1230" s="48"/>
      <c r="N1230" s="49" t="s">
        <v>758</v>
      </c>
      <c r="O1230" s="45"/>
      <c r="P1230" s="80"/>
      <c r="Q1230" s="48"/>
      <c r="R1230" s="45"/>
      <c r="S1230" s="115">
        <v>1001</v>
      </c>
      <c r="T1230" s="20">
        <v>44547</v>
      </c>
      <c r="U1230" s="20"/>
      <c r="V1230" s="20"/>
      <c r="W1230" s="27"/>
    </row>
    <row r="1231" spans="1:23" ht="60" hidden="1" customHeight="1" x14ac:dyDescent="0.25">
      <c r="A1231" s="45" t="str">
        <f>CONCATENATE(Tabla2[[#This Row],[id_solicitud]],Tabla2[[#This Row],[tipo]])</f>
        <v>14Decreto</v>
      </c>
      <c r="B1231" s="45">
        <f>COUNTIF($A$2:A1231,A1231)</f>
        <v>1</v>
      </c>
      <c r="C1231" s="45" t="str">
        <f>Tabla2[[#This Row],[(id_solicitud-tipo_documento)]]&amp;B1231</f>
        <v>14Decreto1</v>
      </c>
      <c r="D1231" s="45">
        <v>1233</v>
      </c>
      <c r="E1231" s="45">
        <v>14</v>
      </c>
      <c r="F1231" s="45" t="s">
        <v>47</v>
      </c>
      <c r="G1231" s="45" t="s">
        <v>43</v>
      </c>
      <c r="H1231" s="50" t="s">
        <v>24</v>
      </c>
      <c r="I1231" s="51">
        <v>2659</v>
      </c>
      <c r="J1231" s="80"/>
      <c r="K12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2659 DP</v>
      </c>
      <c r="L1231" s="48">
        <v>44558</v>
      </c>
      <c r="M1231" s="48"/>
      <c r="N1231" s="49" t="s">
        <v>758</v>
      </c>
      <c r="O1231" s="45"/>
      <c r="P1231" s="80"/>
      <c r="Q1231" s="48"/>
      <c r="R1231" s="45"/>
      <c r="S1231" s="115">
        <v>1001</v>
      </c>
      <c r="T1231" s="20">
        <v>44547</v>
      </c>
      <c r="U1231" s="20"/>
      <c r="V1231" s="20"/>
      <c r="W1231" s="27"/>
    </row>
    <row r="1232" spans="1:23" ht="60" hidden="1" customHeight="1" x14ac:dyDescent="0.25">
      <c r="A1232" s="45" t="str">
        <f>CONCATENATE(Tabla2[[#This Row],[id_solicitud]],Tabla2[[#This Row],[tipo]])</f>
        <v>34Decreto</v>
      </c>
      <c r="B1232" s="45">
        <f>COUNTIF($A$2:A1232,A1232)</f>
        <v>1</v>
      </c>
      <c r="C1232" s="45" t="str">
        <f>Tabla2[[#This Row],[(id_solicitud-tipo_documento)]]&amp;B1232</f>
        <v>34Decreto1</v>
      </c>
      <c r="D1232" s="45">
        <v>1234</v>
      </c>
      <c r="E1232" s="45">
        <v>34</v>
      </c>
      <c r="F1232" s="45" t="s">
        <v>47</v>
      </c>
      <c r="G1232" s="45" t="s">
        <v>43</v>
      </c>
      <c r="H1232" s="50" t="s">
        <v>24</v>
      </c>
      <c r="I1232" s="51">
        <v>2659</v>
      </c>
      <c r="J1232" s="80"/>
      <c r="K12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2659 DP</v>
      </c>
      <c r="L1232" s="48">
        <v>44558</v>
      </c>
      <c r="M1232" s="48"/>
      <c r="N1232" s="49" t="s">
        <v>758</v>
      </c>
      <c r="O1232" s="45"/>
      <c r="P1232" s="80"/>
      <c r="Q1232" s="48"/>
      <c r="R1232" s="45"/>
      <c r="S1232" s="115">
        <v>1001</v>
      </c>
      <c r="T1232" s="20">
        <v>44547</v>
      </c>
      <c r="U1232" s="20">
        <v>44573</v>
      </c>
      <c r="V1232" s="20">
        <v>44573</v>
      </c>
      <c r="W1232" s="27"/>
    </row>
    <row r="1233" spans="1:23" ht="60" hidden="1" customHeight="1" x14ac:dyDescent="0.25">
      <c r="A1233" s="45" t="str">
        <f>CONCATENATE(Tabla2[[#This Row],[id_solicitud]],Tabla2[[#This Row],[tipo]])</f>
        <v>137Oficio_Solicitud</v>
      </c>
      <c r="B1233" s="45">
        <f>COUNTIF($A$2:A1233,A1233)</f>
        <v>1</v>
      </c>
      <c r="C1233" s="45" t="str">
        <f>Tabla2[[#This Row],[(id_solicitud-tipo_documento)]]&amp;B1233</f>
        <v>137Oficio_Solicitud1</v>
      </c>
      <c r="D1233" s="45">
        <v>1235</v>
      </c>
      <c r="E1233" s="45">
        <v>137</v>
      </c>
      <c r="F1233" s="45" t="s">
        <v>53</v>
      </c>
      <c r="G1233" s="45" t="s">
        <v>1258</v>
      </c>
      <c r="H1233" s="50" t="s">
        <v>26</v>
      </c>
      <c r="I1233" s="51">
        <v>2716</v>
      </c>
      <c r="J1233" s="80"/>
      <c r="K12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2716 DV</v>
      </c>
      <c r="L1233" s="48">
        <v>44641</v>
      </c>
      <c r="M1233" s="48">
        <v>44642</v>
      </c>
      <c r="N1233" s="49" t="s">
        <v>182</v>
      </c>
      <c r="O1233" s="45">
        <v>28</v>
      </c>
      <c r="P1233" s="80" t="s">
        <v>494</v>
      </c>
      <c r="Q1233" s="48"/>
      <c r="R1233" s="45"/>
      <c r="S1233" s="114"/>
      <c r="T1233" s="52"/>
      <c r="U1233" s="48"/>
      <c r="V1233" s="48"/>
      <c r="W1233" s="27"/>
    </row>
    <row r="1234" spans="1:23" ht="60" hidden="1" customHeight="1" x14ac:dyDescent="0.25">
      <c r="A1234" s="45" t="str">
        <f>CONCATENATE(Tabla2[[#This Row],[id_solicitud]],Tabla2[[#This Row],[tipo]])</f>
        <v>143Oficio_Solicitud</v>
      </c>
      <c r="B1234" s="45">
        <f>COUNTIF($A$2:A1234,A1234)</f>
        <v>1</v>
      </c>
      <c r="C1234" s="45" t="str">
        <f>Tabla2[[#This Row],[(id_solicitud-tipo_documento)]]&amp;B1234</f>
        <v>143Oficio_Solicitud1</v>
      </c>
      <c r="D1234" s="45">
        <v>1236</v>
      </c>
      <c r="E1234" s="45">
        <v>143</v>
      </c>
      <c r="F1234" s="45" t="s">
        <v>53</v>
      </c>
      <c r="G1234" s="45" t="s">
        <v>1258</v>
      </c>
      <c r="H1234" s="50" t="s">
        <v>538</v>
      </c>
      <c r="I1234" s="51">
        <v>2716</v>
      </c>
      <c r="J1234" s="80"/>
      <c r="K12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2716 DV_FETCovid19</v>
      </c>
      <c r="L1234" s="48">
        <v>44641</v>
      </c>
      <c r="M1234" s="48">
        <v>44642</v>
      </c>
      <c r="N1234" s="49" t="s">
        <v>187</v>
      </c>
      <c r="O1234" s="45">
        <v>10</v>
      </c>
      <c r="P1234" s="80" t="s">
        <v>494</v>
      </c>
      <c r="Q1234" s="48"/>
      <c r="R1234" s="45"/>
      <c r="S1234" s="114"/>
      <c r="T1234" s="52"/>
      <c r="U1234" s="48"/>
      <c r="V1234" s="48"/>
      <c r="W1234" s="27"/>
    </row>
    <row r="1235" spans="1:23" ht="60" hidden="1" customHeight="1" x14ac:dyDescent="0.25">
      <c r="A1235" s="45" t="str">
        <f>CONCATENATE(Tabla2[[#This Row],[id_solicitud]],Tabla2[[#This Row],[tipo]])</f>
        <v>422Resolucion</v>
      </c>
      <c r="B1235" s="45">
        <f>COUNTIF($A$2:A1235,A1235)</f>
        <v>1</v>
      </c>
      <c r="C1235" s="45" t="str">
        <f>Tabla2[[#This Row],[(id_solicitud-tipo_documento)]]&amp;B1235</f>
        <v>422Resolucion1</v>
      </c>
      <c r="D1235" s="45">
        <v>1237</v>
      </c>
      <c r="E1235" s="45">
        <v>422</v>
      </c>
      <c r="F1235" s="45" t="s">
        <v>48</v>
      </c>
      <c r="G1235" s="45"/>
      <c r="H1235" s="50" t="s">
        <v>26</v>
      </c>
      <c r="I1235" s="51">
        <v>2667</v>
      </c>
      <c r="J1235" s="80"/>
      <c r="K12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35" s="48">
        <v>44839</v>
      </c>
      <c r="M1235" s="48"/>
      <c r="N1235" s="49"/>
      <c r="O1235" s="45"/>
      <c r="P1235" s="80"/>
      <c r="Q1235" s="48"/>
      <c r="R1235" s="45"/>
      <c r="S1235" s="114"/>
      <c r="T1235" s="45"/>
      <c r="U1235" s="48"/>
      <c r="V1235" s="48"/>
      <c r="W1235" s="27"/>
    </row>
    <row r="1236" spans="1:23" ht="60" hidden="1" customHeight="1" x14ac:dyDescent="0.25">
      <c r="A1236" s="45" t="str">
        <f>CONCATENATE(Tabla2[[#This Row],[id_solicitud]],Tabla2[[#This Row],[tipo]])</f>
        <v>5Decreto</v>
      </c>
      <c r="B1236" s="45">
        <f>COUNTIF($A$2:A1236,A1236)</f>
        <v>1</v>
      </c>
      <c r="C1236" s="45" t="str">
        <f>Tabla2[[#This Row],[(id_solicitud-tipo_documento)]]&amp;B1236</f>
        <v>5Decreto1</v>
      </c>
      <c r="D1236" s="45">
        <v>1238</v>
      </c>
      <c r="E1236" s="45">
        <v>5</v>
      </c>
      <c r="F1236" s="45" t="s">
        <v>47</v>
      </c>
      <c r="G1236" s="45" t="s">
        <v>43</v>
      </c>
      <c r="H1236" s="50" t="s">
        <v>18</v>
      </c>
      <c r="I1236" s="51">
        <v>2671</v>
      </c>
      <c r="J1236" s="80"/>
      <c r="K12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2671 DGOP</v>
      </c>
      <c r="L1236" s="48">
        <v>44558</v>
      </c>
      <c r="M1236" s="48"/>
      <c r="N1236" s="49" t="s">
        <v>756</v>
      </c>
      <c r="O1236" s="45"/>
      <c r="P1236" s="80"/>
      <c r="Q1236" s="48"/>
      <c r="R1236" s="45"/>
      <c r="S1236" s="115">
        <v>1003</v>
      </c>
      <c r="T1236" s="20">
        <v>44551</v>
      </c>
      <c r="U1236" s="20">
        <v>44575</v>
      </c>
      <c r="V1236" s="20">
        <v>44575</v>
      </c>
      <c r="W1236" s="27"/>
    </row>
    <row r="1237" spans="1:23" ht="60" hidden="1" customHeight="1" x14ac:dyDescent="0.25">
      <c r="A1237" s="45" t="str">
        <f>CONCATENATE(Tabla2[[#This Row],[id_solicitud]],Tabla2[[#This Row],[tipo]])</f>
        <v>13Decreto</v>
      </c>
      <c r="B1237" s="45">
        <f>COUNTIF($A$2:A1237,A1237)</f>
        <v>1</v>
      </c>
      <c r="C1237" s="45" t="str">
        <f>Tabla2[[#This Row],[(id_solicitud-tipo_documento)]]&amp;B1237</f>
        <v>13Decreto1</v>
      </c>
      <c r="D1237" s="45">
        <v>1239</v>
      </c>
      <c r="E1237" s="45">
        <v>13</v>
      </c>
      <c r="F1237" s="45" t="s">
        <v>47</v>
      </c>
      <c r="G1237" s="45" t="s">
        <v>43</v>
      </c>
      <c r="H1237" s="50" t="s">
        <v>18</v>
      </c>
      <c r="I1237" s="51">
        <v>2671</v>
      </c>
      <c r="J1237" s="80"/>
      <c r="K12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2671 DGOP</v>
      </c>
      <c r="L1237" s="48">
        <v>44558</v>
      </c>
      <c r="M1237" s="48"/>
      <c r="N1237" s="49" t="s">
        <v>756</v>
      </c>
      <c r="O1237" s="45"/>
      <c r="P1237" s="80"/>
      <c r="Q1237" s="48"/>
      <c r="R1237" s="45"/>
      <c r="S1237" s="115">
        <v>1003</v>
      </c>
      <c r="T1237" s="20">
        <v>44551</v>
      </c>
      <c r="U1237" s="20">
        <v>44575</v>
      </c>
      <c r="V1237" s="20">
        <v>44575</v>
      </c>
      <c r="W1237" s="27"/>
    </row>
    <row r="1238" spans="1:23" ht="60" hidden="1" customHeight="1" x14ac:dyDescent="0.25">
      <c r="A1238" s="45" t="str">
        <f>CONCATENATE(Tabla2[[#This Row],[id_solicitud]],Tabla2[[#This Row],[tipo]])</f>
        <v>28Decreto</v>
      </c>
      <c r="B1238" s="45">
        <f>COUNTIF($A$2:A1238,A1238)</f>
        <v>1</v>
      </c>
      <c r="C1238" s="45" t="str">
        <f>Tabla2[[#This Row],[(id_solicitud-tipo_documento)]]&amp;B1238</f>
        <v>28Decreto1</v>
      </c>
      <c r="D1238" s="45">
        <v>1240</v>
      </c>
      <c r="E1238" s="45">
        <v>28</v>
      </c>
      <c r="F1238" s="45" t="s">
        <v>47</v>
      </c>
      <c r="G1238" s="45" t="s">
        <v>43</v>
      </c>
      <c r="H1238" s="50" t="s">
        <v>18</v>
      </c>
      <c r="I1238" s="51">
        <v>2671</v>
      </c>
      <c r="J1238" s="80"/>
      <c r="K12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2671 DGOP</v>
      </c>
      <c r="L1238" s="48">
        <v>44558</v>
      </c>
      <c r="M1238" s="48"/>
      <c r="N1238" s="49" t="s">
        <v>756</v>
      </c>
      <c r="O1238" s="45"/>
      <c r="P1238" s="80"/>
      <c r="Q1238" s="48"/>
      <c r="R1238" s="45"/>
      <c r="S1238" s="115">
        <v>1003</v>
      </c>
      <c r="T1238" s="20">
        <v>44551</v>
      </c>
      <c r="U1238" s="20">
        <v>44575</v>
      </c>
      <c r="V1238" s="20">
        <v>44575</v>
      </c>
      <c r="W1238" s="27"/>
    </row>
    <row r="1239" spans="1:23" ht="60" hidden="1" customHeight="1" x14ac:dyDescent="0.25">
      <c r="A1239" s="45" t="str">
        <f>CONCATENATE(Tabla2[[#This Row],[id_solicitud]],Tabla2[[#This Row],[tipo]])</f>
        <v>215Resolucion</v>
      </c>
      <c r="B1239" s="45">
        <f>COUNTIF($A$2:A1239,A1239)</f>
        <v>1</v>
      </c>
      <c r="C1239" s="45" t="str">
        <f>Tabla2[[#This Row],[(id_solicitud-tipo_documento)]]&amp;B1239</f>
        <v>215Resolucion1</v>
      </c>
      <c r="D1239" s="45">
        <v>1241</v>
      </c>
      <c r="E1239" s="45">
        <v>215</v>
      </c>
      <c r="F1239" s="45" t="s">
        <v>48</v>
      </c>
      <c r="G1239" s="45"/>
      <c r="H1239" s="50" t="s">
        <v>559</v>
      </c>
      <c r="I1239" s="51">
        <v>2676</v>
      </c>
      <c r="J1239" s="80"/>
      <c r="K12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39" s="48">
        <v>44749</v>
      </c>
      <c r="M1239" s="48"/>
      <c r="N1239" s="49"/>
      <c r="O1239" s="45"/>
      <c r="P1239" s="80"/>
      <c r="Q1239" s="48"/>
      <c r="R1239" s="45"/>
      <c r="S1239" s="114"/>
      <c r="T1239" s="45"/>
      <c r="U1239" s="48"/>
      <c r="V1239" s="48"/>
      <c r="W1239" s="27"/>
    </row>
    <row r="1240" spans="1:23" ht="60" hidden="1" customHeight="1" x14ac:dyDescent="0.25">
      <c r="A1240" s="45" t="str">
        <f>CONCATENATE(Tabla2[[#This Row],[id_solicitud]],Tabla2[[#This Row],[tipo]])</f>
        <v>274Resolucion</v>
      </c>
      <c r="B1240" s="45">
        <f>COUNTIF($A$2:A1240,A1240)</f>
        <v>1</v>
      </c>
      <c r="C1240" s="45" t="str">
        <f>Tabla2[[#This Row],[(id_solicitud-tipo_documento)]]&amp;B1240</f>
        <v>274Resolucion1</v>
      </c>
      <c r="D1240" s="45">
        <v>1242</v>
      </c>
      <c r="E1240" s="45">
        <v>274</v>
      </c>
      <c r="F1240" s="45" t="s">
        <v>48</v>
      </c>
      <c r="G1240" s="45"/>
      <c r="H1240" s="50" t="s">
        <v>6</v>
      </c>
      <c r="I1240" s="51">
        <v>2677</v>
      </c>
      <c r="J1240" s="80"/>
      <c r="K12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40" s="48">
        <v>44749</v>
      </c>
      <c r="M1240" s="48"/>
      <c r="N1240" s="49"/>
      <c r="O1240" s="45"/>
      <c r="P1240" s="80"/>
      <c r="Q1240" s="48"/>
      <c r="R1240" s="45"/>
      <c r="S1240" s="114"/>
      <c r="T1240" s="45"/>
      <c r="U1240" s="48"/>
      <c r="V1240" s="48"/>
      <c r="W1240" s="27"/>
    </row>
    <row r="1241" spans="1:23" ht="60" hidden="1" customHeight="1" x14ac:dyDescent="0.25">
      <c r="A1241" s="45" t="str">
        <f>CONCATENATE(Tabla2[[#This Row],[id_solicitud]],Tabla2[[#This Row],[tipo]])</f>
        <v>2Decreto</v>
      </c>
      <c r="B1241" s="45">
        <f>COUNTIF($A$2:A1241,A1241)</f>
        <v>1</v>
      </c>
      <c r="C1241" s="45" t="str">
        <f>Tabla2[[#This Row],[(id_solicitud-tipo_documento)]]&amp;B1241</f>
        <v>2Decreto1</v>
      </c>
      <c r="D1241" s="45">
        <v>1243</v>
      </c>
      <c r="E1241" s="45">
        <v>2</v>
      </c>
      <c r="F1241" s="45" t="s">
        <v>47</v>
      </c>
      <c r="G1241" s="45" t="s">
        <v>43</v>
      </c>
      <c r="H1241" s="50" t="s">
        <v>10</v>
      </c>
      <c r="I1241" s="51">
        <v>2690</v>
      </c>
      <c r="J1241" s="80"/>
      <c r="K12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2690 DAP</v>
      </c>
      <c r="L1241" s="48">
        <v>44559</v>
      </c>
      <c r="M1241" s="48"/>
      <c r="N1241" s="49" t="s">
        <v>753</v>
      </c>
      <c r="O1241" s="45"/>
      <c r="P1241" s="80"/>
      <c r="Q1241" s="48"/>
      <c r="R1241" s="45"/>
      <c r="S1241" s="115">
        <v>1005</v>
      </c>
      <c r="T1241" s="20">
        <v>44552</v>
      </c>
      <c r="U1241" s="20">
        <v>44573</v>
      </c>
      <c r="V1241" s="20">
        <v>44573</v>
      </c>
      <c r="W1241" s="27"/>
    </row>
    <row r="1242" spans="1:23" ht="60" hidden="1" customHeight="1" x14ac:dyDescent="0.25">
      <c r="A1242" s="45" t="str">
        <f>CONCATENATE(Tabla2[[#This Row],[id_solicitud]],Tabla2[[#This Row],[tipo]])</f>
        <v>6Decreto</v>
      </c>
      <c r="B1242" s="45">
        <f>COUNTIF($A$2:A1242,A1242)</f>
        <v>1</v>
      </c>
      <c r="C1242" s="45" t="str">
        <f>Tabla2[[#This Row],[(id_solicitud-tipo_documento)]]&amp;B1242</f>
        <v>6Decreto1</v>
      </c>
      <c r="D1242" s="45">
        <v>1244</v>
      </c>
      <c r="E1242" s="45">
        <v>6</v>
      </c>
      <c r="F1242" s="45" t="s">
        <v>47</v>
      </c>
      <c r="G1242" s="45" t="s">
        <v>43</v>
      </c>
      <c r="H1242" s="50" t="s">
        <v>10</v>
      </c>
      <c r="I1242" s="51">
        <v>2690</v>
      </c>
      <c r="J1242" s="80"/>
      <c r="K12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2690 DAP</v>
      </c>
      <c r="L1242" s="48">
        <v>44559</v>
      </c>
      <c r="M1242" s="48"/>
      <c r="N1242" s="49" t="s">
        <v>753</v>
      </c>
      <c r="O1242" s="45"/>
      <c r="P1242" s="80"/>
      <c r="Q1242" s="48"/>
      <c r="R1242" s="45"/>
      <c r="S1242" s="115">
        <v>1005</v>
      </c>
      <c r="T1242" s="20">
        <v>44552</v>
      </c>
      <c r="U1242" s="20">
        <v>44573</v>
      </c>
      <c r="V1242" s="20">
        <v>44573</v>
      </c>
      <c r="W1242" s="27"/>
    </row>
    <row r="1243" spans="1:23" ht="60" hidden="1" customHeight="1" x14ac:dyDescent="0.25">
      <c r="A1243" s="45" t="str">
        <f>CONCATENATE(Tabla2[[#This Row],[id_solicitud]],Tabla2[[#This Row],[tipo]])</f>
        <v>35Decreto</v>
      </c>
      <c r="B1243" s="45">
        <f>COUNTIF($A$2:A1243,A1243)</f>
        <v>1</v>
      </c>
      <c r="C1243" s="45" t="str">
        <f>Tabla2[[#This Row],[(id_solicitud-tipo_documento)]]&amp;B1243</f>
        <v>35Decreto1</v>
      </c>
      <c r="D1243" s="45">
        <v>1245</v>
      </c>
      <c r="E1243" s="45">
        <v>35</v>
      </c>
      <c r="F1243" s="45" t="s">
        <v>47</v>
      </c>
      <c r="G1243" s="45" t="s">
        <v>43</v>
      </c>
      <c r="H1243" s="50" t="s">
        <v>10</v>
      </c>
      <c r="I1243" s="51">
        <v>2690</v>
      </c>
      <c r="J1243" s="80"/>
      <c r="K12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2690 DAP</v>
      </c>
      <c r="L1243" s="48">
        <v>44559</v>
      </c>
      <c r="M1243" s="48"/>
      <c r="N1243" s="49" t="s">
        <v>753</v>
      </c>
      <c r="O1243" s="45"/>
      <c r="P1243" s="80"/>
      <c r="Q1243" s="48"/>
      <c r="R1243" s="45"/>
      <c r="S1243" s="115">
        <v>1005</v>
      </c>
      <c r="T1243" s="20">
        <v>44559</v>
      </c>
      <c r="U1243" s="20">
        <v>44573</v>
      </c>
      <c r="V1243" s="20">
        <v>44573</v>
      </c>
      <c r="W1243" s="27"/>
    </row>
    <row r="1244" spans="1:23" ht="60" hidden="1" customHeight="1" x14ac:dyDescent="0.25">
      <c r="A1244" s="45" t="str">
        <f>CONCATENATE(Tabla2[[#This Row],[id_solicitud]],Tabla2[[#This Row],[tipo]])</f>
        <v>436Oficio_Autorizacion</v>
      </c>
      <c r="B1244" s="45">
        <f>COUNTIF($A$2:A1244,A1244)</f>
        <v>1</v>
      </c>
      <c r="C1244" s="45" t="str">
        <f>Tabla2[[#This Row],[(id_solicitud-tipo_documento)]]&amp;B1244</f>
        <v>436Oficio_Autorizacion1</v>
      </c>
      <c r="D1244" s="45">
        <v>1246</v>
      </c>
      <c r="E1244" s="45">
        <v>436</v>
      </c>
      <c r="F1244" s="45" t="s">
        <v>1272</v>
      </c>
      <c r="G1244" s="45" t="s">
        <v>44</v>
      </c>
      <c r="H1244" s="50" t="s">
        <v>10</v>
      </c>
      <c r="I1244" s="51">
        <v>2710</v>
      </c>
      <c r="J1244" s="80"/>
      <c r="K12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44" s="48">
        <v>44845</v>
      </c>
      <c r="M1244" s="48"/>
      <c r="N1244" s="49">
        <f>+E1244</f>
        <v>436</v>
      </c>
      <c r="O1244" s="45"/>
      <c r="P1244" s="80"/>
      <c r="Q1244" s="48"/>
      <c r="R1244" s="45"/>
      <c r="S1244" s="115">
        <v>1041</v>
      </c>
      <c r="T1244" s="20">
        <v>44838</v>
      </c>
      <c r="U1244" s="20"/>
      <c r="V1244" s="20"/>
      <c r="W1244" s="27"/>
    </row>
    <row r="1245" spans="1:23" ht="60" hidden="1" customHeight="1" x14ac:dyDescent="0.25">
      <c r="A1245" s="45" t="str">
        <f>CONCATENATE(Tabla2[[#This Row],[id_solicitud]],Tabla2[[#This Row],[tipo]])</f>
        <v>377Oficio_Autorizacion</v>
      </c>
      <c r="B1245" s="45">
        <f>COUNTIF($A$2:A1245,A1245)</f>
        <v>1</v>
      </c>
      <c r="C1245" s="45" t="str">
        <f>Tabla2[[#This Row],[(id_solicitud-tipo_documento)]]&amp;B1245</f>
        <v>377Oficio_Autorizacion1</v>
      </c>
      <c r="D1245" s="45">
        <v>1247</v>
      </c>
      <c r="E1245" s="45">
        <v>377</v>
      </c>
      <c r="F1245" s="45" t="s">
        <v>1272</v>
      </c>
      <c r="G1245" s="45" t="s">
        <v>44</v>
      </c>
      <c r="H1245" s="50" t="s">
        <v>20</v>
      </c>
      <c r="I1245" s="51">
        <v>2712</v>
      </c>
      <c r="J1245" s="80"/>
      <c r="K12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45" s="48">
        <v>44845</v>
      </c>
      <c r="M1245" s="48"/>
      <c r="N1245" s="49" t="s">
        <v>950</v>
      </c>
      <c r="O1245" s="45"/>
      <c r="P1245" s="80"/>
      <c r="Q1245" s="48"/>
      <c r="R1245" s="45"/>
      <c r="S1245" s="115">
        <v>1057</v>
      </c>
      <c r="T1245" s="20">
        <v>44839</v>
      </c>
      <c r="U1245" s="20"/>
      <c r="V1245" s="20"/>
      <c r="W1245" s="27"/>
    </row>
    <row r="1246" spans="1:23" ht="60" hidden="1" customHeight="1" x14ac:dyDescent="0.25">
      <c r="A1246" s="45" t="str">
        <f>CONCATENATE(Tabla2[[#This Row],[id_solicitud]],Tabla2[[#This Row],[tipo]])</f>
        <v>517Oficio_Solicitud</v>
      </c>
      <c r="B1246" s="45">
        <f>COUNTIF($A$2:A1246,A1246)</f>
        <v>1</v>
      </c>
      <c r="C1246" s="45" t="str">
        <f>Tabla2[[#This Row],[(id_solicitud-tipo_documento)]]&amp;B1246</f>
        <v>517Oficio_Solicitud1</v>
      </c>
      <c r="D1246" s="45">
        <v>1248</v>
      </c>
      <c r="E1246" s="45">
        <v>517</v>
      </c>
      <c r="F1246" s="45" t="s">
        <v>53</v>
      </c>
      <c r="G1246" s="45" t="s">
        <v>1258</v>
      </c>
      <c r="H1246" s="50" t="s">
        <v>535</v>
      </c>
      <c r="I1246" s="51">
        <v>2732</v>
      </c>
      <c r="J1246" s="80"/>
      <c r="K12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2732 DOH_FETCovid19</v>
      </c>
      <c r="L1246" s="48">
        <v>44859</v>
      </c>
      <c r="M1246" s="48">
        <v>44859</v>
      </c>
      <c r="N1246" s="49" t="s">
        <v>482</v>
      </c>
      <c r="O1246" s="45">
        <v>4</v>
      </c>
      <c r="P1246" s="80" t="s">
        <v>494</v>
      </c>
      <c r="Q1246" s="48"/>
      <c r="R1246" s="45"/>
      <c r="S1246" s="114"/>
      <c r="T1246" s="52"/>
      <c r="U1246" s="48"/>
      <c r="V1246" s="48"/>
      <c r="W1246" s="27"/>
    </row>
    <row r="1247" spans="1:23" ht="60" hidden="1" customHeight="1" x14ac:dyDescent="0.25">
      <c r="A1247" s="45" t="str">
        <f>CONCATENATE(Tabla2[[#This Row],[id_solicitud]],Tabla2[[#This Row],[tipo]])</f>
        <v>516Oficio_Solicitud</v>
      </c>
      <c r="B1247" s="45">
        <f>COUNTIF($A$2:A1247,A1247)</f>
        <v>1</v>
      </c>
      <c r="C1247" s="45" t="str">
        <f>Tabla2[[#This Row],[(id_solicitud-tipo_documento)]]&amp;B1247</f>
        <v>516Oficio_Solicitud1</v>
      </c>
      <c r="D1247" s="45">
        <v>1249</v>
      </c>
      <c r="E1247" s="45">
        <v>516</v>
      </c>
      <c r="F1247" s="45" t="s">
        <v>53</v>
      </c>
      <c r="G1247" s="45" t="s">
        <v>1258</v>
      </c>
      <c r="H1247" s="50" t="s">
        <v>20</v>
      </c>
      <c r="I1247" s="51">
        <v>2733</v>
      </c>
      <c r="J1247" s="80"/>
      <c r="K12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2733 DOH</v>
      </c>
      <c r="L1247" s="48">
        <v>44859</v>
      </c>
      <c r="M1247" s="48">
        <v>44859</v>
      </c>
      <c r="N1247" s="49" t="s">
        <v>481</v>
      </c>
      <c r="O1247" s="45">
        <v>1</v>
      </c>
      <c r="P1247" s="80" t="s">
        <v>494</v>
      </c>
      <c r="Q1247" s="48"/>
      <c r="R1247" s="45"/>
      <c r="S1247" s="114"/>
      <c r="T1247" s="52"/>
      <c r="U1247" s="48"/>
      <c r="V1247" s="48"/>
      <c r="W1247" s="27"/>
    </row>
    <row r="1248" spans="1:23" ht="60" hidden="1" customHeight="1" x14ac:dyDescent="0.25">
      <c r="A1248" s="45" t="str">
        <f>CONCATENATE(Tabla2[[#This Row],[id_solicitud]],Tabla2[[#This Row],[tipo]])</f>
        <v>519Oficio_Solicitud</v>
      </c>
      <c r="B1248" s="45">
        <f>COUNTIF($A$2:A1248,A1248)</f>
        <v>1</v>
      </c>
      <c r="C1248" s="45" t="str">
        <f>Tabla2[[#This Row],[(id_solicitud-tipo_documento)]]&amp;B1248</f>
        <v>519Oficio_Solicitud1</v>
      </c>
      <c r="D1248" s="45">
        <v>1250</v>
      </c>
      <c r="E1248" s="45">
        <v>519</v>
      </c>
      <c r="F1248" s="45" t="s">
        <v>53</v>
      </c>
      <c r="G1248" s="45" t="s">
        <v>1258</v>
      </c>
      <c r="H1248" s="50" t="s">
        <v>6</v>
      </c>
      <c r="I1248" s="51">
        <v>2734</v>
      </c>
      <c r="J1248" s="80"/>
      <c r="K12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2734 APR</v>
      </c>
      <c r="L1248" s="48">
        <v>44859</v>
      </c>
      <c r="M1248" s="48">
        <v>44859</v>
      </c>
      <c r="N1248" s="49" t="s">
        <v>483</v>
      </c>
      <c r="O1248" s="45">
        <v>3</v>
      </c>
      <c r="P1248" s="80" t="s">
        <v>494</v>
      </c>
      <c r="Q1248" s="48"/>
      <c r="R1248" s="45"/>
      <c r="S1248" s="114"/>
      <c r="T1248" s="52"/>
      <c r="U1248" s="48"/>
      <c r="V1248" s="48"/>
      <c r="W1248" s="27"/>
    </row>
    <row r="1249" spans="1:23" ht="60" hidden="1" customHeight="1" x14ac:dyDescent="0.25">
      <c r="A1249" s="45" t="str">
        <f>CONCATENATE(Tabla2[[#This Row],[id_solicitud]],Tabla2[[#This Row],[tipo]])</f>
        <v>515Oficio_Solicitud</v>
      </c>
      <c r="B1249" s="45">
        <f>COUNTIF($A$2:A1249,A1249)</f>
        <v>1</v>
      </c>
      <c r="C1249" s="45" t="str">
        <f>Tabla2[[#This Row],[(id_solicitud-tipo_documento)]]&amp;B1249</f>
        <v>515Oficio_Solicitud1</v>
      </c>
      <c r="D1249" s="45">
        <v>1251</v>
      </c>
      <c r="E1249" s="45">
        <v>515</v>
      </c>
      <c r="F1249" s="45" t="s">
        <v>53</v>
      </c>
      <c r="G1249" s="45" t="s">
        <v>40</v>
      </c>
      <c r="H1249" s="50" t="s">
        <v>20</v>
      </c>
      <c r="I1249" s="51">
        <v>2735</v>
      </c>
      <c r="J1249" s="80"/>
      <c r="K12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2735 DOH</v>
      </c>
      <c r="L1249" s="48">
        <v>44859</v>
      </c>
      <c r="M1249" s="48">
        <v>44859</v>
      </c>
      <c r="N1249" s="49" t="s">
        <v>480</v>
      </c>
      <c r="O1249" s="45"/>
      <c r="P1249" s="80" t="s">
        <v>528</v>
      </c>
      <c r="Q1249" s="48"/>
      <c r="R1249" s="45"/>
      <c r="S1249" s="114"/>
      <c r="T1249" s="52"/>
      <c r="U1249" s="48"/>
      <c r="V1249" s="48"/>
      <c r="W1249" s="27"/>
    </row>
    <row r="1250" spans="1:23" ht="60" hidden="1" customHeight="1" x14ac:dyDescent="0.25">
      <c r="A1250" s="45" t="str">
        <f>CONCATENATE(Tabla2[[#This Row],[id_solicitud]],Tabla2[[#This Row],[tipo]])</f>
        <v>518Oficio_Solicitud</v>
      </c>
      <c r="B1250" s="45">
        <f>COUNTIF($A$2:A1250,A1250)</f>
        <v>1</v>
      </c>
      <c r="C1250" s="45" t="str">
        <f>Tabla2[[#This Row],[(id_solicitud-tipo_documento)]]&amp;B1250</f>
        <v>518Oficio_Solicitud1</v>
      </c>
      <c r="D1250" s="45">
        <v>1252</v>
      </c>
      <c r="E1250" s="45">
        <v>518</v>
      </c>
      <c r="F1250" s="45" t="s">
        <v>53</v>
      </c>
      <c r="G1250" s="45" t="s">
        <v>1258</v>
      </c>
      <c r="H1250" s="50" t="s">
        <v>559</v>
      </c>
      <c r="I1250" s="51">
        <v>2736</v>
      </c>
      <c r="J1250" s="80"/>
      <c r="K12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2736 APR_FETCovid19</v>
      </c>
      <c r="L1250" s="48">
        <v>44859</v>
      </c>
      <c r="M1250" s="48">
        <v>44859</v>
      </c>
      <c r="N1250" s="49" t="s">
        <v>483</v>
      </c>
      <c r="O1250" s="45">
        <v>3</v>
      </c>
      <c r="P1250" s="80" t="s">
        <v>494</v>
      </c>
      <c r="Q1250" s="48"/>
      <c r="R1250" s="45"/>
      <c r="S1250" s="114"/>
      <c r="T1250" s="52"/>
      <c r="U1250" s="48"/>
      <c r="V1250" s="48"/>
      <c r="W1250" s="27"/>
    </row>
    <row r="1251" spans="1:23" ht="60" hidden="1" customHeight="1" x14ac:dyDescent="0.25">
      <c r="A1251" s="45" t="str">
        <f>CONCATENATE(Tabla2[[#This Row],[id_solicitud]],Tabla2[[#This Row],[tipo]])</f>
        <v>506Oficio_Solicitud</v>
      </c>
      <c r="B1251" s="45">
        <f>COUNTIF($A$2:A1251,A1251)</f>
        <v>1</v>
      </c>
      <c r="C1251" s="45" t="str">
        <f>Tabla2[[#This Row],[(id_solicitud-tipo_documento)]]&amp;B1251</f>
        <v>506Oficio_Solicitud1</v>
      </c>
      <c r="D1251" s="45">
        <v>1253</v>
      </c>
      <c r="E1251" s="45">
        <v>506</v>
      </c>
      <c r="F1251" s="45" t="s">
        <v>53</v>
      </c>
      <c r="G1251" s="45" t="s">
        <v>1256</v>
      </c>
      <c r="H1251" s="50" t="s">
        <v>608</v>
      </c>
      <c r="I1251" s="51">
        <v>2752</v>
      </c>
      <c r="J1251" s="80"/>
      <c r="K12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2752 DOH-APR</v>
      </c>
      <c r="L1251" s="48">
        <v>44859</v>
      </c>
      <c r="M1251" s="48">
        <v>44859</v>
      </c>
      <c r="N1251" s="49" t="s">
        <v>473</v>
      </c>
      <c r="O1251" s="45">
        <v>0</v>
      </c>
      <c r="P1251" s="80" t="s">
        <v>522</v>
      </c>
      <c r="Q1251" s="48"/>
      <c r="R1251" s="45"/>
      <c r="S1251" s="114"/>
      <c r="T1251" s="52"/>
      <c r="U1251" s="48"/>
      <c r="V1251" s="48"/>
      <c r="W1251" s="27"/>
    </row>
    <row r="1252" spans="1:23" ht="60" hidden="1" customHeight="1" x14ac:dyDescent="0.25">
      <c r="A1252" s="45" t="str">
        <f>CONCATENATE(Tabla2[[#This Row],[id_solicitud]],Tabla2[[#This Row],[tipo]])</f>
        <v>533Oficio_Solicitud</v>
      </c>
      <c r="B1252" s="45">
        <f>COUNTIF($A$2:A1252,A1252)</f>
        <v>1</v>
      </c>
      <c r="C1252" s="45" t="str">
        <f>Tabla2[[#This Row],[(id_solicitud-tipo_documento)]]&amp;B1252</f>
        <v>533Oficio_Solicitud1</v>
      </c>
      <c r="D1252" s="45">
        <v>1254</v>
      </c>
      <c r="E1252" s="45">
        <v>533</v>
      </c>
      <c r="F1252" s="45" t="s">
        <v>53</v>
      </c>
      <c r="G1252" s="45" t="s">
        <v>1258</v>
      </c>
      <c r="H1252" s="50" t="s">
        <v>20</v>
      </c>
      <c r="I1252" s="51">
        <v>2820</v>
      </c>
      <c r="J1252" s="80"/>
      <c r="K12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2820 DOH</v>
      </c>
      <c r="L1252" s="48">
        <v>44872</v>
      </c>
      <c r="M1252" s="48">
        <v>44872</v>
      </c>
      <c r="N1252" s="49" t="s">
        <v>491</v>
      </c>
      <c r="O1252" s="45">
        <v>2</v>
      </c>
      <c r="P1252" s="80" t="s">
        <v>494</v>
      </c>
      <c r="Q1252" s="48"/>
      <c r="R1252" s="45"/>
      <c r="S1252" s="114"/>
      <c r="T1252" s="52"/>
      <c r="U1252" s="48"/>
      <c r="V1252" s="48"/>
      <c r="W1252" s="27"/>
    </row>
    <row r="1253" spans="1:23" ht="60" hidden="1" customHeight="1" x14ac:dyDescent="0.25">
      <c r="A1253" s="45" t="str">
        <f>CONCATENATE(Tabla2[[#This Row],[id_solicitud]],Tabla2[[#This Row],[tipo]])</f>
        <v>534Oficio_Solicitud</v>
      </c>
      <c r="B1253" s="45">
        <f>COUNTIF($A$2:A1253,A1253)</f>
        <v>1</v>
      </c>
      <c r="C1253" s="45" t="str">
        <f>Tabla2[[#This Row],[(id_solicitud-tipo_documento)]]&amp;B1253</f>
        <v>534Oficio_Solicitud1</v>
      </c>
      <c r="D1253" s="45">
        <v>1255</v>
      </c>
      <c r="E1253" s="45">
        <v>534</v>
      </c>
      <c r="F1253" s="45" t="s">
        <v>53</v>
      </c>
      <c r="G1253" s="45" t="s">
        <v>1258</v>
      </c>
      <c r="H1253" s="50" t="s">
        <v>6</v>
      </c>
      <c r="I1253" s="51">
        <v>2826</v>
      </c>
      <c r="J1253" s="80"/>
      <c r="K12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2826 APR</v>
      </c>
      <c r="L1253" s="48">
        <v>44872</v>
      </c>
      <c r="M1253" s="48">
        <v>44872</v>
      </c>
      <c r="N1253" s="49" t="s">
        <v>492</v>
      </c>
      <c r="O1253" s="45">
        <v>3</v>
      </c>
      <c r="P1253" s="80" t="s">
        <v>494</v>
      </c>
      <c r="Q1253" s="48"/>
      <c r="R1253" s="45"/>
      <c r="S1253" s="114"/>
      <c r="T1253" s="52"/>
      <c r="U1253" s="48"/>
      <c r="V1253" s="48"/>
      <c r="W1253" s="27"/>
    </row>
    <row r="1254" spans="1:23" ht="60" hidden="1" customHeight="1" x14ac:dyDescent="0.25">
      <c r="A1254" s="45" t="str">
        <f>CONCATENATE(Tabla2[[#This Row],[id_solicitud]],Tabla2[[#This Row],[tipo]])</f>
        <v>290Resolucion</v>
      </c>
      <c r="B1254" s="45">
        <f>COUNTIF($A$2:A1254,A1254)</f>
        <v>1</v>
      </c>
      <c r="C1254" s="45" t="str">
        <f>Tabla2[[#This Row],[(id_solicitud-tipo_documento)]]&amp;B1254</f>
        <v>290Resolucion1</v>
      </c>
      <c r="D1254" s="45">
        <v>1256</v>
      </c>
      <c r="E1254" s="45">
        <v>290</v>
      </c>
      <c r="F1254" s="45" t="s">
        <v>48</v>
      </c>
      <c r="G1254" s="45"/>
      <c r="H1254" s="50" t="s">
        <v>20</v>
      </c>
      <c r="I1254" s="51">
        <v>2802</v>
      </c>
      <c r="J1254" s="80"/>
      <c r="K12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54" s="48">
        <v>44756</v>
      </c>
      <c r="M1254" s="48"/>
      <c r="N1254" s="49"/>
      <c r="O1254" s="45"/>
      <c r="P1254" s="80"/>
      <c r="Q1254" s="48"/>
      <c r="R1254" s="45"/>
      <c r="S1254" s="114"/>
      <c r="T1254" s="45"/>
      <c r="U1254" s="48"/>
      <c r="V1254" s="48"/>
      <c r="W1254" s="27"/>
    </row>
    <row r="1255" spans="1:23" ht="60" hidden="1" customHeight="1" x14ac:dyDescent="0.25">
      <c r="A1255" s="45" t="str">
        <f>CONCATENATE(Tabla2[[#This Row],[id_solicitud]],Tabla2[[#This Row],[tipo]])</f>
        <v>273Resolucion</v>
      </c>
      <c r="B1255" s="45">
        <f>COUNTIF($A$2:A1255,A1255)</f>
        <v>1</v>
      </c>
      <c r="C1255" s="45" t="str">
        <f>Tabla2[[#This Row],[(id_solicitud-tipo_documento)]]&amp;B1255</f>
        <v>273Resolucion1</v>
      </c>
      <c r="D1255" s="45">
        <v>1257</v>
      </c>
      <c r="E1255" s="45">
        <v>273</v>
      </c>
      <c r="F1255" s="45" t="s">
        <v>48</v>
      </c>
      <c r="G1255" s="45"/>
      <c r="H1255" s="50" t="s">
        <v>20</v>
      </c>
      <c r="I1255" s="51">
        <v>2803</v>
      </c>
      <c r="J1255" s="80"/>
      <c r="K12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55" s="48">
        <v>44756</v>
      </c>
      <c r="M1255" s="48"/>
      <c r="N1255" s="49"/>
      <c r="O1255" s="45"/>
      <c r="P1255" s="80"/>
      <c r="Q1255" s="48"/>
      <c r="R1255" s="45"/>
      <c r="S1255" s="114"/>
      <c r="T1255" s="45"/>
      <c r="U1255" s="48"/>
      <c r="V1255" s="48"/>
      <c r="W1255" s="27"/>
    </row>
    <row r="1256" spans="1:23" ht="60" hidden="1" customHeight="1" x14ac:dyDescent="0.25">
      <c r="A1256" s="45" t="str">
        <f>CONCATENATE(Tabla2[[#This Row],[id_solicitud]],Tabla2[[#This Row],[tipo]])</f>
        <v>175Resolucion</v>
      </c>
      <c r="B1256" s="45">
        <f>COUNTIF($A$2:A1256,A1256)</f>
        <v>1</v>
      </c>
      <c r="C1256" s="45" t="str">
        <f>Tabla2[[#This Row],[(id_solicitud-tipo_documento)]]&amp;B1256</f>
        <v>175Resolucion1</v>
      </c>
      <c r="D1256" s="45">
        <v>1258</v>
      </c>
      <c r="E1256" s="45">
        <v>175</v>
      </c>
      <c r="F1256" s="45" t="s">
        <v>48</v>
      </c>
      <c r="G1256" s="45"/>
      <c r="H1256" s="50" t="s">
        <v>20</v>
      </c>
      <c r="I1256" s="51">
        <v>2804</v>
      </c>
      <c r="J1256" s="80"/>
      <c r="K12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56" s="48">
        <v>44756</v>
      </c>
      <c r="M1256" s="48"/>
      <c r="N1256" s="49"/>
      <c r="O1256" s="45"/>
      <c r="P1256" s="80"/>
      <c r="Q1256" s="48"/>
      <c r="R1256" s="45"/>
      <c r="S1256" s="114"/>
      <c r="T1256" s="45"/>
      <c r="U1256" s="48"/>
      <c r="V1256" s="48"/>
      <c r="W1256" s="27"/>
    </row>
    <row r="1257" spans="1:23" ht="60" hidden="1" customHeight="1" x14ac:dyDescent="0.25">
      <c r="A1257" s="45" t="str">
        <f>CONCATENATE(Tabla2[[#This Row],[id_solicitud]],Tabla2[[#This Row],[tipo]])</f>
        <v>221Resolucion</v>
      </c>
      <c r="B1257" s="45">
        <f>COUNTIF($A$2:A1257,A1257)</f>
        <v>1</v>
      </c>
      <c r="C1257" s="45" t="str">
        <f>Tabla2[[#This Row],[(id_solicitud-tipo_documento)]]&amp;B1257</f>
        <v>221Resolucion1</v>
      </c>
      <c r="D1257" s="45">
        <v>1259</v>
      </c>
      <c r="E1257" s="45">
        <v>221</v>
      </c>
      <c r="F1257" s="45" t="s">
        <v>48</v>
      </c>
      <c r="G1257" s="45"/>
      <c r="H1257" s="50" t="s">
        <v>20</v>
      </c>
      <c r="I1257" s="51">
        <v>2818</v>
      </c>
      <c r="J1257" s="80"/>
      <c r="K12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57" s="48">
        <v>44763</v>
      </c>
      <c r="M1257" s="48"/>
      <c r="N1257" s="49"/>
      <c r="O1257" s="45"/>
      <c r="P1257" s="80"/>
      <c r="Q1257" s="48"/>
      <c r="R1257" s="45"/>
      <c r="S1257" s="114"/>
      <c r="T1257" s="45"/>
      <c r="U1257" s="48"/>
      <c r="V1257" s="48"/>
      <c r="W1257" s="27"/>
    </row>
    <row r="1258" spans="1:23" ht="60" hidden="1" customHeight="1" x14ac:dyDescent="0.25">
      <c r="A1258" s="45" t="str">
        <f>CONCATENATE(Tabla2[[#This Row],[id_solicitud]],Tabla2[[#This Row],[tipo]])</f>
        <v>189Oficio_Solicitud</v>
      </c>
      <c r="B1258" s="45">
        <f>COUNTIF($A$2:A1258,A1258)</f>
        <v>1</v>
      </c>
      <c r="C1258" s="45" t="str">
        <f>Tabla2[[#This Row],[(id_solicitud-tipo_documento)]]&amp;B1258</f>
        <v>189Oficio_Solicitud1</v>
      </c>
      <c r="D1258" s="45">
        <v>1260</v>
      </c>
      <c r="E1258" s="45">
        <v>189</v>
      </c>
      <c r="F1258" s="45" t="s">
        <v>53</v>
      </c>
      <c r="G1258" s="45" t="s">
        <v>40</v>
      </c>
      <c r="H1258" s="50" t="s">
        <v>26</v>
      </c>
      <c r="I1258" s="51">
        <v>2891</v>
      </c>
      <c r="J1258" s="80"/>
      <c r="K12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2891 DV</v>
      </c>
      <c r="L1258" s="48">
        <v>44648</v>
      </c>
      <c r="M1258" s="48">
        <v>44648</v>
      </c>
      <c r="N1258" s="49"/>
      <c r="O1258" s="45"/>
      <c r="P1258" s="80" t="s">
        <v>500</v>
      </c>
      <c r="Q1258" s="48"/>
      <c r="R1258" s="45"/>
      <c r="S1258" s="114"/>
      <c r="T1258" s="52"/>
      <c r="U1258" s="48"/>
      <c r="V1258" s="48"/>
      <c r="W1258" s="27"/>
    </row>
    <row r="1259" spans="1:23" ht="60" hidden="1" customHeight="1" x14ac:dyDescent="0.25">
      <c r="A1259" s="45" t="str">
        <f>CONCATENATE(Tabla2[[#This Row],[id_solicitud]],Tabla2[[#This Row],[tipo]])</f>
        <v>472Oficio_Solicitud</v>
      </c>
      <c r="B1259" s="45">
        <f>COUNTIF($A$2:A1259,A1259)</f>
        <v>1</v>
      </c>
      <c r="C1259" s="45" t="str">
        <f>Tabla2[[#This Row],[(id_solicitud-tipo_documento)]]&amp;B1259</f>
        <v>472Oficio_Solicitud1</v>
      </c>
      <c r="D1259" s="45">
        <v>1261</v>
      </c>
      <c r="E1259" s="45">
        <v>472</v>
      </c>
      <c r="F1259" s="45" t="s">
        <v>53</v>
      </c>
      <c r="G1259" s="45" t="s">
        <v>40</v>
      </c>
      <c r="H1259" s="50" t="s">
        <v>33</v>
      </c>
      <c r="I1259" s="51">
        <v>3147</v>
      </c>
      <c r="J1259" s="80"/>
      <c r="K12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3147 SISS</v>
      </c>
      <c r="L1259" s="48">
        <v>44848</v>
      </c>
      <c r="M1259" s="48">
        <v>44851</v>
      </c>
      <c r="N1259" s="49" t="s">
        <v>442</v>
      </c>
      <c r="O1259" s="45">
        <v>0</v>
      </c>
      <c r="P1259" s="80" t="s">
        <v>498</v>
      </c>
      <c r="Q1259" s="48"/>
      <c r="R1259" s="45"/>
      <c r="S1259" s="114"/>
      <c r="T1259" s="52"/>
      <c r="U1259" s="48"/>
      <c r="V1259" s="48"/>
      <c r="W1259" s="27"/>
    </row>
    <row r="1260" spans="1:23" ht="60" hidden="1" customHeight="1" x14ac:dyDescent="0.25">
      <c r="A1260" s="45" t="str">
        <f>CONCATENATE(Tabla2[[#This Row],[id_solicitud]],Tabla2[[#This Row],[tipo]])</f>
        <v>285Resolucion</v>
      </c>
      <c r="B1260" s="45">
        <f>COUNTIF($A$2:A1260,A1260)</f>
        <v>1</v>
      </c>
      <c r="C1260" s="45" t="str">
        <f>Tabla2[[#This Row],[(id_solicitud-tipo_documento)]]&amp;B1260</f>
        <v>285Resolucion1</v>
      </c>
      <c r="D1260" s="45">
        <v>1262</v>
      </c>
      <c r="E1260" s="45">
        <v>285</v>
      </c>
      <c r="F1260" s="45" t="s">
        <v>48</v>
      </c>
      <c r="G1260" s="45"/>
      <c r="H1260" s="50" t="s">
        <v>6</v>
      </c>
      <c r="I1260" s="51">
        <v>2849</v>
      </c>
      <c r="J1260" s="80"/>
      <c r="K12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60" s="48">
        <v>44761</v>
      </c>
      <c r="M1260" s="48"/>
      <c r="N1260" s="49"/>
      <c r="O1260" s="45"/>
      <c r="P1260" s="80"/>
      <c r="Q1260" s="48"/>
      <c r="R1260" s="45"/>
      <c r="S1260" s="114"/>
      <c r="T1260" s="45"/>
      <c r="U1260" s="48"/>
      <c r="V1260" s="48"/>
      <c r="W1260" s="27"/>
    </row>
    <row r="1261" spans="1:23" ht="60" hidden="1" customHeight="1" x14ac:dyDescent="0.25">
      <c r="A1261" s="45" t="str">
        <f>CONCATENATE(Tabla2[[#This Row],[id_solicitud]],Tabla2[[#This Row],[tipo]])</f>
        <v>333Resolucion</v>
      </c>
      <c r="B1261" s="45">
        <f>COUNTIF($A$2:A1261,A1261)</f>
        <v>1</v>
      </c>
      <c r="C1261" s="45" t="str">
        <f>Tabla2[[#This Row],[(id_solicitud-tipo_documento)]]&amp;B1261</f>
        <v>333Resolucion1</v>
      </c>
      <c r="D1261" s="45">
        <v>1263</v>
      </c>
      <c r="E1261" s="45">
        <v>333</v>
      </c>
      <c r="F1261" s="45" t="s">
        <v>48</v>
      </c>
      <c r="G1261" s="45"/>
      <c r="H1261" s="50" t="s">
        <v>26</v>
      </c>
      <c r="I1261" s="51">
        <v>2867</v>
      </c>
      <c r="J1261" s="80"/>
      <c r="K12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61" s="48">
        <v>44854</v>
      </c>
      <c r="M1261" s="48"/>
      <c r="N1261" s="49"/>
      <c r="O1261" s="45"/>
      <c r="P1261" s="80"/>
      <c r="Q1261" s="48"/>
      <c r="R1261" s="45"/>
      <c r="S1261" s="114"/>
      <c r="T1261" s="45"/>
      <c r="U1261" s="48"/>
      <c r="V1261" s="48"/>
      <c r="W1261" s="27"/>
    </row>
    <row r="1262" spans="1:23" ht="60" hidden="1" customHeight="1" x14ac:dyDescent="0.25">
      <c r="A1262" s="45" t="str">
        <f>CONCATENATE(Tabla2[[#This Row],[id_solicitud]],Tabla2[[#This Row],[tipo]])</f>
        <v>502Oficio_Solicitud</v>
      </c>
      <c r="B1262" s="45">
        <f>COUNTIF($A$2:A1262,A1262)</f>
        <v>1</v>
      </c>
      <c r="C1262" s="45" t="str">
        <f>Tabla2[[#This Row],[(id_solicitud-tipo_documento)]]&amp;B1262</f>
        <v>502Oficio_Solicitud1</v>
      </c>
      <c r="D1262" s="45">
        <v>1264</v>
      </c>
      <c r="E1262" s="45">
        <v>502</v>
      </c>
      <c r="F1262" s="45" t="s">
        <v>53</v>
      </c>
      <c r="G1262" s="45" t="s">
        <v>59</v>
      </c>
      <c r="H1262" s="50" t="s">
        <v>578</v>
      </c>
      <c r="I1262" s="51">
        <v>3279</v>
      </c>
      <c r="J1262" s="80"/>
      <c r="K12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3279 DV-SISS</v>
      </c>
      <c r="L1262" s="48">
        <v>44855</v>
      </c>
      <c r="M1262" s="48">
        <v>44855</v>
      </c>
      <c r="N1262" s="49" t="s">
        <v>469</v>
      </c>
      <c r="O1262" s="45">
        <v>0</v>
      </c>
      <c r="P1262" s="80" t="s">
        <v>497</v>
      </c>
      <c r="Q1262" s="48"/>
      <c r="R1262" s="45"/>
      <c r="S1262" s="114"/>
      <c r="T1262" s="52"/>
      <c r="U1262" s="48"/>
      <c r="V1262" s="48"/>
      <c r="W1262" s="27"/>
    </row>
    <row r="1263" spans="1:23" ht="60" hidden="1" customHeight="1" x14ac:dyDescent="0.25">
      <c r="A1263" s="45" t="str">
        <f>CONCATENATE(Tabla2[[#This Row],[id_solicitud]],Tabla2[[#This Row],[tipo]])</f>
        <v>461Proposicion</v>
      </c>
      <c r="B1263" s="45">
        <f>COUNTIF($A$2:A1263,A1263)</f>
        <v>1</v>
      </c>
      <c r="C1263" s="45" t="str">
        <f>Tabla2[[#This Row],[(id_solicitud-tipo_documento)]]&amp;B1263</f>
        <v>461Proposicion1</v>
      </c>
      <c r="D1263" s="45">
        <v>1265</v>
      </c>
      <c r="E1263" s="45">
        <v>461</v>
      </c>
      <c r="F1263" s="45" t="s">
        <v>46</v>
      </c>
      <c r="G1263" s="45" t="s">
        <v>60</v>
      </c>
      <c r="H1263" s="50" t="s">
        <v>26</v>
      </c>
      <c r="I1263" s="51">
        <v>570</v>
      </c>
      <c r="J1263" s="80"/>
      <c r="K12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570 DV</v>
      </c>
      <c r="L1263" s="48">
        <v>44797</v>
      </c>
      <c r="M1263" s="48">
        <v>44797</v>
      </c>
      <c r="N1263" s="49" t="s">
        <v>689</v>
      </c>
      <c r="O1263" s="45">
        <v>12</v>
      </c>
      <c r="P1263" s="80" t="s">
        <v>494</v>
      </c>
      <c r="Q1263" s="24"/>
      <c r="R1263" s="24" t="s">
        <v>24</v>
      </c>
      <c r="S1263" s="114"/>
      <c r="T1263" s="45"/>
      <c r="U1263" s="48"/>
      <c r="V1263" s="48"/>
      <c r="W1263" s="27"/>
    </row>
    <row r="1264" spans="1:23" ht="60" hidden="1" customHeight="1" x14ac:dyDescent="0.25">
      <c r="A1264" s="45" t="str">
        <f>CONCATENATE(Tabla2[[#This Row],[id_solicitud]],Tabla2[[#This Row],[tipo]])</f>
        <v>334Resolucion</v>
      </c>
      <c r="B1264" s="45">
        <f>COUNTIF($A$2:A1264,A1264)</f>
        <v>1</v>
      </c>
      <c r="C1264" s="45" t="str">
        <f>Tabla2[[#This Row],[(id_solicitud-tipo_documento)]]&amp;B1264</f>
        <v>334Resolucion1</v>
      </c>
      <c r="D1264" s="45">
        <v>1266</v>
      </c>
      <c r="E1264" s="45">
        <v>334</v>
      </c>
      <c r="F1264" s="45" t="s">
        <v>48</v>
      </c>
      <c r="G1264" s="45"/>
      <c r="H1264" s="50" t="s">
        <v>538</v>
      </c>
      <c r="I1264" s="51">
        <v>2924</v>
      </c>
      <c r="J1264" s="80"/>
      <c r="K12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64" s="48">
        <v>44859</v>
      </c>
      <c r="M1264" s="48"/>
      <c r="N1264" s="49"/>
      <c r="O1264" s="45"/>
      <c r="P1264" s="80"/>
      <c r="Q1264" s="48"/>
      <c r="R1264" s="45"/>
      <c r="S1264" s="114"/>
      <c r="T1264" s="45"/>
      <c r="U1264" s="48"/>
      <c r="V1264" s="48"/>
      <c r="W1264" s="27"/>
    </row>
    <row r="1265" spans="1:23" ht="60" hidden="1" customHeight="1" x14ac:dyDescent="0.25">
      <c r="A1265" s="45" t="str">
        <f>CONCATENATE(Tabla2[[#This Row],[id_solicitud]],Tabla2[[#This Row],[tipo]])</f>
        <v>383Resolucion</v>
      </c>
      <c r="B1265" s="45">
        <f>COUNTIF($A$2:A1265,A1265)</f>
        <v>1</v>
      </c>
      <c r="C1265" s="45" t="str">
        <f>Tabla2[[#This Row],[(id_solicitud-tipo_documento)]]&amp;B1265</f>
        <v>383Resolucion1</v>
      </c>
      <c r="D1265" s="45">
        <v>1267</v>
      </c>
      <c r="E1265" s="45">
        <v>383</v>
      </c>
      <c r="F1265" s="45" t="s">
        <v>48</v>
      </c>
      <c r="G1265" s="45"/>
      <c r="H1265" s="50" t="s">
        <v>26</v>
      </c>
      <c r="I1265" s="51">
        <v>3021</v>
      </c>
      <c r="J1265" s="80"/>
      <c r="K12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65" s="48">
        <v>44869</v>
      </c>
      <c r="M1265" s="48"/>
      <c r="N1265" s="49"/>
      <c r="O1265" s="45"/>
      <c r="P1265" s="80"/>
      <c r="Q1265" s="48"/>
      <c r="R1265" s="45"/>
      <c r="S1265" s="114"/>
      <c r="T1265" s="45"/>
      <c r="U1265" s="48"/>
      <c r="V1265" s="48"/>
      <c r="W1265" s="27"/>
    </row>
    <row r="1266" spans="1:23" ht="60" hidden="1" customHeight="1" x14ac:dyDescent="0.25">
      <c r="A1266" s="45" t="str">
        <f>CONCATENATE(Tabla2[[#This Row],[id_solicitud]],Tabla2[[#This Row],[tipo]])</f>
        <v>255Resolucion</v>
      </c>
      <c r="B1266" s="45">
        <f>COUNTIF($A$2:A1266,A1266)</f>
        <v>1</v>
      </c>
      <c r="C1266" s="45" t="str">
        <f>Tabla2[[#This Row],[(id_solicitud-tipo_documento)]]&amp;B1266</f>
        <v>255Resolucion1</v>
      </c>
      <c r="D1266" s="45">
        <v>1268</v>
      </c>
      <c r="E1266" s="45">
        <v>255</v>
      </c>
      <c r="F1266" s="45" t="s">
        <v>48</v>
      </c>
      <c r="G1266" s="45"/>
      <c r="H1266" s="50" t="s">
        <v>6</v>
      </c>
      <c r="I1266" s="51">
        <v>3061</v>
      </c>
      <c r="J1266" s="80"/>
      <c r="K12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66" s="48">
        <v>44771</v>
      </c>
      <c r="M1266" s="48"/>
      <c r="N1266" s="49"/>
      <c r="O1266" s="45"/>
      <c r="P1266" s="80"/>
      <c r="Q1266" s="48"/>
      <c r="R1266" s="45"/>
      <c r="S1266" s="114"/>
      <c r="T1266" s="45"/>
      <c r="U1266" s="48"/>
      <c r="V1266" s="48"/>
      <c r="W1266" s="27"/>
    </row>
    <row r="1267" spans="1:23" ht="60" hidden="1" customHeight="1" x14ac:dyDescent="0.25">
      <c r="A1267" s="45" t="str">
        <f>CONCATENATE(Tabla2[[#This Row],[id_solicitud]],Tabla2[[#This Row],[tipo]])</f>
        <v>247Resolucion</v>
      </c>
      <c r="B1267" s="45">
        <f>COUNTIF($A$2:A1267,A1267)</f>
        <v>1</v>
      </c>
      <c r="C1267" s="45" t="str">
        <f>Tabla2[[#This Row],[(id_solicitud-tipo_documento)]]&amp;B1267</f>
        <v>247Resolucion1</v>
      </c>
      <c r="D1267" s="45">
        <v>1269</v>
      </c>
      <c r="E1267" s="45">
        <v>247</v>
      </c>
      <c r="F1267" s="45" t="s">
        <v>48</v>
      </c>
      <c r="G1267" s="45"/>
      <c r="H1267" s="50" t="s">
        <v>6</v>
      </c>
      <c r="I1267" s="51">
        <v>3064</v>
      </c>
      <c r="J1267" s="80"/>
      <c r="K12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67" s="48">
        <v>44771</v>
      </c>
      <c r="M1267" s="48"/>
      <c r="N1267" s="49"/>
      <c r="O1267" s="45"/>
      <c r="P1267" s="80"/>
      <c r="Q1267" s="48"/>
      <c r="R1267" s="45"/>
      <c r="S1267" s="114"/>
      <c r="T1267" s="45"/>
      <c r="U1267" s="48"/>
      <c r="V1267" s="48"/>
      <c r="W1267" s="27"/>
    </row>
    <row r="1268" spans="1:23" ht="60" hidden="1" customHeight="1" x14ac:dyDescent="0.25">
      <c r="A1268" s="45" t="str">
        <f>CONCATENATE(Tabla2[[#This Row],[id_solicitud]],Tabla2[[#This Row],[tipo]])</f>
        <v>311Resolucion</v>
      </c>
      <c r="B1268" s="45">
        <f>COUNTIF($A$2:A1268,A1268)</f>
        <v>1</v>
      </c>
      <c r="C1268" s="45" t="str">
        <f>Tabla2[[#This Row],[(id_solicitud-tipo_documento)]]&amp;B1268</f>
        <v>311Resolucion1</v>
      </c>
      <c r="D1268" s="45">
        <v>1270</v>
      </c>
      <c r="E1268" s="45">
        <v>311</v>
      </c>
      <c r="F1268" s="45" t="s">
        <v>48</v>
      </c>
      <c r="G1268" s="45"/>
      <c r="H1268" s="50" t="s">
        <v>20</v>
      </c>
      <c r="I1268" s="51">
        <v>3070</v>
      </c>
      <c r="J1268" s="80"/>
      <c r="K12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68" s="48">
        <v>44771</v>
      </c>
      <c r="M1268" s="48"/>
      <c r="N1268" s="49"/>
      <c r="O1268" s="45"/>
      <c r="P1268" s="80"/>
      <c r="Q1268" s="48"/>
      <c r="R1268" s="45"/>
      <c r="S1268" s="114"/>
      <c r="T1268" s="45"/>
      <c r="U1268" s="48"/>
      <c r="V1268" s="48"/>
      <c r="W1268" s="27"/>
    </row>
    <row r="1269" spans="1:23" ht="60" hidden="1" customHeight="1" x14ac:dyDescent="0.25">
      <c r="A1269" s="45" t="str">
        <f>CONCATENATE(Tabla2[[#This Row],[id_solicitud]],Tabla2[[#This Row],[tipo]])</f>
        <v>309Resolucion</v>
      </c>
      <c r="B1269" s="45">
        <f>COUNTIF($A$2:A1269,A1269)</f>
        <v>1</v>
      </c>
      <c r="C1269" s="45" t="str">
        <f>Tabla2[[#This Row],[(id_solicitud-tipo_documento)]]&amp;B1269</f>
        <v>309Resolucion1</v>
      </c>
      <c r="D1269" s="45">
        <v>1271</v>
      </c>
      <c r="E1269" s="45">
        <v>309</v>
      </c>
      <c r="F1269" s="45" t="s">
        <v>48</v>
      </c>
      <c r="G1269" s="45"/>
      <c r="H1269" s="50" t="s">
        <v>20</v>
      </c>
      <c r="I1269" s="51">
        <v>3073</v>
      </c>
      <c r="J1269" s="80"/>
      <c r="K12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69" s="48">
        <v>44774</v>
      </c>
      <c r="M1269" s="48"/>
      <c r="N1269" s="49"/>
      <c r="O1269" s="45"/>
      <c r="P1269" s="80"/>
      <c r="Q1269" s="48"/>
      <c r="R1269" s="45"/>
      <c r="S1269" s="114"/>
      <c r="T1269" s="45"/>
      <c r="U1269" s="48"/>
      <c r="V1269" s="48"/>
      <c r="W1269" s="27"/>
    </row>
    <row r="1270" spans="1:23" ht="60" hidden="1" customHeight="1" x14ac:dyDescent="0.25">
      <c r="A1270" s="45" t="str">
        <f>CONCATENATE(Tabla2[[#This Row],[id_solicitud]],Tabla2[[#This Row],[tipo]])</f>
        <v>307Resolucion</v>
      </c>
      <c r="B1270" s="45">
        <f>COUNTIF($A$2:A1270,A1270)</f>
        <v>1</v>
      </c>
      <c r="C1270" s="45" t="str">
        <f>Tabla2[[#This Row],[(id_solicitud-tipo_documento)]]&amp;B1270</f>
        <v>307Resolucion1</v>
      </c>
      <c r="D1270" s="45">
        <v>1272</v>
      </c>
      <c r="E1270" s="45">
        <v>307</v>
      </c>
      <c r="F1270" s="45" t="s">
        <v>48</v>
      </c>
      <c r="G1270" s="45"/>
      <c r="H1270" s="50" t="s">
        <v>6</v>
      </c>
      <c r="I1270" s="51">
        <v>3074</v>
      </c>
      <c r="J1270" s="80"/>
      <c r="K12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70" s="48">
        <v>44774</v>
      </c>
      <c r="M1270" s="48"/>
      <c r="N1270" s="49"/>
      <c r="O1270" s="45"/>
      <c r="P1270" s="80"/>
      <c r="Q1270" s="48"/>
      <c r="R1270" s="45"/>
      <c r="S1270" s="114"/>
      <c r="T1270" s="45"/>
      <c r="U1270" s="48"/>
      <c r="V1270" s="48"/>
      <c r="W1270" s="27"/>
    </row>
    <row r="1271" spans="1:23" ht="60" hidden="1" customHeight="1" x14ac:dyDescent="0.25">
      <c r="A1271" s="45" t="str">
        <f>CONCATENATE(Tabla2[[#This Row],[id_solicitud]],Tabla2[[#This Row],[tipo]])</f>
        <v>308Resolucion</v>
      </c>
      <c r="B1271" s="45">
        <f>COUNTIF($A$2:A1271,A1271)</f>
        <v>1</v>
      </c>
      <c r="C1271" s="45" t="str">
        <f>Tabla2[[#This Row],[(id_solicitud-tipo_documento)]]&amp;B1271</f>
        <v>308Resolucion1</v>
      </c>
      <c r="D1271" s="45">
        <v>1273</v>
      </c>
      <c r="E1271" s="45">
        <v>308</v>
      </c>
      <c r="F1271" s="45" t="s">
        <v>48</v>
      </c>
      <c r="G1271" s="45"/>
      <c r="H1271" s="50" t="s">
        <v>559</v>
      </c>
      <c r="I1271" s="51">
        <v>3075</v>
      </c>
      <c r="J1271" s="80"/>
      <c r="K12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71" s="48">
        <v>44774</v>
      </c>
      <c r="M1271" s="48"/>
      <c r="N1271" s="49"/>
      <c r="O1271" s="45"/>
      <c r="P1271" s="80"/>
      <c r="Q1271" s="48"/>
      <c r="R1271" s="45"/>
      <c r="S1271" s="114"/>
      <c r="T1271" s="45"/>
      <c r="U1271" s="48"/>
      <c r="V1271" s="48"/>
      <c r="W1271" s="27"/>
    </row>
    <row r="1272" spans="1:23" ht="60" hidden="1" customHeight="1" x14ac:dyDescent="0.25">
      <c r="A1272" s="45" t="str">
        <f>CONCATENATE(Tabla2[[#This Row],[id_solicitud]],Tabla2[[#This Row],[tipo]])</f>
        <v>173Oficio_Solicitud</v>
      </c>
      <c r="B1272" s="45">
        <f>COUNTIF($A$2:A1272,A1272)</f>
        <v>1</v>
      </c>
      <c r="C1272" s="45" t="str">
        <f>Tabla2[[#This Row],[(id_solicitud-tipo_documento)]]&amp;B1272</f>
        <v>173Oficio_Solicitud1</v>
      </c>
      <c r="D1272" s="45">
        <v>1274</v>
      </c>
      <c r="E1272" s="45">
        <v>173</v>
      </c>
      <c r="F1272" s="45" t="s">
        <v>53</v>
      </c>
      <c r="G1272" s="45" t="s">
        <v>40</v>
      </c>
      <c r="H1272" s="50" t="s">
        <v>26</v>
      </c>
      <c r="I1272" s="51">
        <v>3535</v>
      </c>
      <c r="J1272" s="80"/>
      <c r="K12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3535 DV</v>
      </c>
      <c r="L1272" s="48">
        <v>44665</v>
      </c>
      <c r="M1272" s="48"/>
      <c r="N1272" s="49"/>
      <c r="O1272" s="45"/>
      <c r="P1272" s="80" t="s">
        <v>500</v>
      </c>
      <c r="Q1272" s="48"/>
      <c r="R1272" s="45"/>
      <c r="S1272" s="114"/>
      <c r="T1272" s="52"/>
      <c r="U1272" s="48"/>
      <c r="V1272" s="48"/>
      <c r="W1272" s="27"/>
    </row>
    <row r="1273" spans="1:23" ht="60" hidden="1" customHeight="1" x14ac:dyDescent="0.25">
      <c r="A1273" s="45" t="str">
        <f>CONCATENATE(Tabla2[[#This Row],[id_solicitud]],Tabla2[[#This Row],[tipo]])</f>
        <v>253Resolucion</v>
      </c>
      <c r="B1273" s="45">
        <f>COUNTIF($A$2:A1273,A1273)</f>
        <v>1</v>
      </c>
      <c r="C1273" s="45" t="str">
        <f>Tabla2[[#This Row],[(id_solicitud-tipo_documento)]]&amp;B1273</f>
        <v>253Resolucion1</v>
      </c>
      <c r="D1273" s="45">
        <v>1275</v>
      </c>
      <c r="E1273" s="45">
        <v>253</v>
      </c>
      <c r="F1273" s="45" t="s">
        <v>48</v>
      </c>
      <c r="G1273" s="45"/>
      <c r="H1273" s="50" t="s">
        <v>535</v>
      </c>
      <c r="I1273" s="51">
        <v>3199</v>
      </c>
      <c r="J1273" s="80"/>
      <c r="K12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73" s="48">
        <v>44782</v>
      </c>
      <c r="M1273" s="48"/>
      <c r="N1273" s="49"/>
      <c r="O1273" s="45"/>
      <c r="P1273" s="80"/>
      <c r="Q1273" s="48"/>
      <c r="R1273" s="45"/>
      <c r="S1273" s="114"/>
      <c r="T1273" s="45"/>
      <c r="U1273" s="48"/>
      <c r="V1273" s="48"/>
      <c r="W1273" s="27"/>
    </row>
    <row r="1274" spans="1:23" ht="60" hidden="1" customHeight="1" x14ac:dyDescent="0.25">
      <c r="A1274" s="45" t="str">
        <f>CONCATENATE(Tabla2[[#This Row],[id_solicitud]],Tabla2[[#This Row],[tipo]])</f>
        <v>243Oficio_Solicitud</v>
      </c>
      <c r="B1274" s="45">
        <f>COUNTIF($A$2:A1274,A1274)</f>
        <v>1</v>
      </c>
      <c r="C1274" s="45" t="str">
        <f>Tabla2[[#This Row],[(id_solicitud-tipo_documento)]]&amp;B1274</f>
        <v>243Oficio_Solicitud1</v>
      </c>
      <c r="D1274" s="45">
        <v>1276</v>
      </c>
      <c r="E1274" s="45">
        <v>243</v>
      </c>
      <c r="F1274" s="45" t="s">
        <v>53</v>
      </c>
      <c r="G1274" s="45" t="s">
        <v>40</v>
      </c>
      <c r="H1274" s="50" t="s">
        <v>26</v>
      </c>
      <c r="I1274" s="51">
        <v>3535</v>
      </c>
      <c r="J1274" s="80"/>
      <c r="K12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3535 DV</v>
      </c>
      <c r="L1274" s="48">
        <v>44665</v>
      </c>
      <c r="M1274" s="48"/>
      <c r="N1274" s="49"/>
      <c r="O1274" s="45"/>
      <c r="P1274" s="80" t="s">
        <v>494</v>
      </c>
      <c r="Q1274" s="48"/>
      <c r="R1274" s="45"/>
      <c r="S1274" s="114"/>
      <c r="T1274" s="52"/>
      <c r="U1274" s="48"/>
      <c r="V1274" s="48"/>
      <c r="W1274" s="27"/>
    </row>
    <row r="1275" spans="1:23" ht="60" hidden="1" customHeight="1" x14ac:dyDescent="0.25">
      <c r="A1275" s="45" t="str">
        <f>CONCATENATE(Tabla2[[#This Row],[id_solicitud]],Tabla2[[#This Row],[tipo]])</f>
        <v>352Resolucion</v>
      </c>
      <c r="B1275" s="45">
        <f>COUNTIF($A$2:A1275,A1275)</f>
        <v>1</v>
      </c>
      <c r="C1275" s="45" t="str">
        <f>Tabla2[[#This Row],[(id_solicitud-tipo_documento)]]&amp;B1275</f>
        <v>352Resolucion1</v>
      </c>
      <c r="D1275" s="45">
        <v>1277</v>
      </c>
      <c r="E1275" s="45">
        <v>352</v>
      </c>
      <c r="F1275" s="45" t="s">
        <v>48</v>
      </c>
      <c r="G1275" s="45"/>
      <c r="H1275" s="50" t="s">
        <v>559</v>
      </c>
      <c r="I1275" s="51">
        <v>3429</v>
      </c>
      <c r="J1275" s="80"/>
      <c r="K12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75" s="48">
        <v>44795</v>
      </c>
      <c r="M1275" s="48"/>
      <c r="N1275" s="49"/>
      <c r="O1275" s="45"/>
      <c r="P1275" s="80"/>
      <c r="Q1275" s="48"/>
      <c r="R1275" s="45"/>
      <c r="S1275" s="114"/>
      <c r="T1275" s="45"/>
      <c r="U1275" s="48"/>
      <c r="V1275" s="48"/>
      <c r="W1275" s="27"/>
    </row>
    <row r="1276" spans="1:23" ht="60" hidden="1" customHeight="1" x14ac:dyDescent="0.25">
      <c r="A1276" s="45" t="str">
        <f>CONCATENATE(Tabla2[[#This Row],[id_solicitud]],Tabla2[[#This Row],[tipo]])</f>
        <v>357Resolucion</v>
      </c>
      <c r="B1276" s="45">
        <f>COUNTIF($A$2:A1276,A1276)</f>
        <v>1</v>
      </c>
      <c r="C1276" s="45" t="str">
        <f>Tabla2[[#This Row],[(id_solicitud-tipo_documento)]]&amp;B1276</f>
        <v>357Resolucion1</v>
      </c>
      <c r="D1276" s="45">
        <v>1278</v>
      </c>
      <c r="E1276" s="45">
        <v>357</v>
      </c>
      <c r="F1276" s="45" t="s">
        <v>48</v>
      </c>
      <c r="G1276" s="45"/>
      <c r="H1276" s="50" t="s">
        <v>6</v>
      </c>
      <c r="I1276" s="51">
        <v>3431</v>
      </c>
      <c r="J1276" s="80"/>
      <c r="K12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76" s="48">
        <v>44795</v>
      </c>
      <c r="M1276" s="48"/>
      <c r="N1276" s="49"/>
      <c r="O1276" s="45"/>
      <c r="P1276" s="80"/>
      <c r="Q1276" s="48"/>
      <c r="R1276" s="45"/>
      <c r="S1276" s="114"/>
      <c r="T1276" s="45"/>
      <c r="U1276" s="48"/>
      <c r="V1276" s="48"/>
      <c r="W1276" s="27"/>
    </row>
    <row r="1277" spans="1:23" ht="60" hidden="1" customHeight="1" x14ac:dyDescent="0.25">
      <c r="A1277" s="45" t="str">
        <f>CONCATENATE(Tabla2[[#This Row],[id_solicitud]],Tabla2[[#This Row],[tipo]])</f>
        <v>337Resolucion</v>
      </c>
      <c r="B1277" s="45">
        <f>COUNTIF($A$2:A1277,A1277)</f>
        <v>1</v>
      </c>
      <c r="C1277" s="45" t="str">
        <f>Tabla2[[#This Row],[(id_solicitud-tipo_documento)]]&amp;B1277</f>
        <v>337Resolucion1</v>
      </c>
      <c r="D1277" s="45">
        <v>1279</v>
      </c>
      <c r="E1277" s="45">
        <v>337</v>
      </c>
      <c r="F1277" s="45" t="s">
        <v>48</v>
      </c>
      <c r="G1277" s="45"/>
      <c r="H1277" s="50" t="s">
        <v>6</v>
      </c>
      <c r="I1277" s="51">
        <v>3439</v>
      </c>
      <c r="J1277" s="80"/>
      <c r="K12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77" s="48">
        <v>44795</v>
      </c>
      <c r="M1277" s="48"/>
      <c r="N1277" s="49"/>
      <c r="O1277" s="45"/>
      <c r="P1277" s="80"/>
      <c r="Q1277" s="48"/>
      <c r="R1277" s="45"/>
      <c r="S1277" s="114"/>
      <c r="T1277" s="45"/>
      <c r="U1277" s="48"/>
      <c r="V1277" s="48"/>
      <c r="W1277" s="27"/>
    </row>
    <row r="1278" spans="1:23" ht="60" hidden="1" customHeight="1" x14ac:dyDescent="0.25">
      <c r="A1278" s="45" t="str">
        <f>CONCATENATE(Tabla2[[#This Row],[id_solicitud]],Tabla2[[#This Row],[tipo]])</f>
        <v>336Resolucion</v>
      </c>
      <c r="B1278" s="45">
        <f>COUNTIF($A$2:A1278,A1278)</f>
        <v>1</v>
      </c>
      <c r="C1278" s="45" t="str">
        <f>Tabla2[[#This Row],[(id_solicitud-tipo_documento)]]&amp;B1278</f>
        <v>336Resolucion1</v>
      </c>
      <c r="D1278" s="45">
        <v>1280</v>
      </c>
      <c r="E1278" s="45">
        <v>336</v>
      </c>
      <c r="F1278" s="45" t="s">
        <v>48</v>
      </c>
      <c r="G1278" s="45"/>
      <c r="H1278" s="50" t="s">
        <v>20</v>
      </c>
      <c r="I1278" s="51">
        <v>3468</v>
      </c>
      <c r="J1278" s="80"/>
      <c r="K12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78" s="48">
        <v>44797</v>
      </c>
      <c r="M1278" s="48"/>
      <c r="N1278" s="49"/>
      <c r="O1278" s="45"/>
      <c r="P1278" s="80"/>
      <c r="Q1278" s="48"/>
      <c r="R1278" s="45"/>
      <c r="S1278" s="114"/>
      <c r="T1278" s="45"/>
      <c r="U1278" s="48"/>
      <c r="V1278" s="48"/>
      <c r="W1278" s="27"/>
    </row>
    <row r="1279" spans="1:23" ht="60" customHeight="1" x14ac:dyDescent="0.25">
      <c r="A1279" s="45" t="str">
        <f>CONCATENATE(Tabla2[[#This Row],[id_solicitud]],Tabla2[[#This Row],[tipo]])</f>
        <v>408Proposicion</v>
      </c>
      <c r="B1279" s="45">
        <f>COUNTIF($A$2:A1279,A1279)</f>
        <v>1</v>
      </c>
      <c r="C1279" s="45" t="str">
        <f>Tabla2[[#This Row],[(id_solicitud-tipo_documento)]]&amp;B1279</f>
        <v>408Proposicion1</v>
      </c>
      <c r="D1279" s="45">
        <v>613</v>
      </c>
      <c r="E1279" s="45">
        <v>408</v>
      </c>
      <c r="F1279" s="45" t="s">
        <v>46</v>
      </c>
      <c r="G1279" s="45" t="s">
        <v>40</v>
      </c>
      <c r="H1279" s="50" t="s">
        <v>32</v>
      </c>
      <c r="I1279" s="51">
        <v>586</v>
      </c>
      <c r="J1279" s="80"/>
      <c r="K12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586 MOP</v>
      </c>
      <c r="L1279" s="48">
        <v>44812</v>
      </c>
      <c r="M1279" s="48">
        <v>44812</v>
      </c>
      <c r="N1279" s="49" t="s">
        <v>714</v>
      </c>
      <c r="O1279" s="45"/>
      <c r="P1279" s="80" t="s">
        <v>497</v>
      </c>
      <c r="Q1279" s="24"/>
      <c r="R1279" s="24" t="s">
        <v>12</v>
      </c>
      <c r="S1279" s="114"/>
      <c r="T1279" s="45"/>
      <c r="U1279" s="48"/>
      <c r="V1279" s="48"/>
      <c r="W1279" s="27"/>
    </row>
    <row r="1280" spans="1:23" ht="60" hidden="1" customHeight="1" x14ac:dyDescent="0.25">
      <c r="A1280" s="45" t="str">
        <f>CONCATENATE(Tabla2[[#This Row],[id_solicitud]],Tabla2[[#This Row],[tipo]])</f>
        <v>39Oficio_Solicitud</v>
      </c>
      <c r="B1280" s="45">
        <f>COUNTIF($A$2:A1280,A1280)</f>
        <v>1</v>
      </c>
      <c r="C1280" s="45" t="str">
        <f>Tabla2[[#This Row],[(id_solicitud-tipo_documento)]]&amp;B1280</f>
        <v>39Oficio_Solicitud1</v>
      </c>
      <c r="D1280" s="45">
        <v>1282</v>
      </c>
      <c r="E1280" s="45">
        <v>39</v>
      </c>
      <c r="F1280" s="45" t="s">
        <v>53</v>
      </c>
      <c r="G1280" s="45" t="s">
        <v>43</v>
      </c>
      <c r="H1280" s="50" t="s">
        <v>33</v>
      </c>
      <c r="I1280" s="51">
        <v>3537</v>
      </c>
      <c r="J1280" s="80"/>
      <c r="K12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3537 SISS</v>
      </c>
      <c r="L1280" s="48">
        <v>44543</v>
      </c>
      <c r="M1280" s="48">
        <v>44543</v>
      </c>
      <c r="N1280" s="49" t="s">
        <v>101</v>
      </c>
      <c r="O1280" s="45">
        <v>1</v>
      </c>
      <c r="P1280" s="80" t="s">
        <v>494</v>
      </c>
      <c r="Q1280" s="48"/>
      <c r="R1280" s="45"/>
      <c r="S1280" s="114"/>
      <c r="T1280" s="52"/>
      <c r="U1280" s="48"/>
      <c r="V1280" s="48"/>
      <c r="W1280" s="27"/>
    </row>
    <row r="1281" spans="1:23" ht="60" hidden="1" customHeight="1" x14ac:dyDescent="0.25">
      <c r="A1281" s="45" t="str">
        <f>CONCATENATE(Tabla2[[#This Row],[id_solicitud]],Tabla2[[#This Row],[tipo]])</f>
        <v>164Oficio_Solicitud</v>
      </c>
      <c r="B1281" s="45">
        <f>COUNTIF($A$2:A1281,A1281)</f>
        <v>1</v>
      </c>
      <c r="C1281" s="45" t="str">
        <f>Tabla2[[#This Row],[(id_solicitud-tipo_documento)]]&amp;B1281</f>
        <v>164Oficio_Solicitud1</v>
      </c>
      <c r="D1281" s="45">
        <v>1283</v>
      </c>
      <c r="E1281" s="45">
        <v>164</v>
      </c>
      <c r="F1281" s="45" t="s">
        <v>53</v>
      </c>
      <c r="G1281" s="45" t="s">
        <v>1258</v>
      </c>
      <c r="H1281" s="50" t="s">
        <v>26</v>
      </c>
      <c r="I1281" s="51">
        <v>3591</v>
      </c>
      <c r="J1281" s="80"/>
      <c r="K12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3591 DV</v>
      </c>
      <c r="L1281" s="48">
        <v>44669</v>
      </c>
      <c r="M1281" s="48">
        <v>44670</v>
      </c>
      <c r="N1281" s="49" t="s">
        <v>205</v>
      </c>
      <c r="O1281" s="45">
        <v>75</v>
      </c>
      <c r="P1281" s="80" t="s">
        <v>494</v>
      </c>
      <c r="Q1281" s="48"/>
      <c r="R1281" s="45"/>
      <c r="S1281" s="114"/>
      <c r="T1281" s="52"/>
      <c r="U1281" s="48"/>
      <c r="V1281" s="48"/>
      <c r="W1281" s="27"/>
    </row>
    <row r="1282" spans="1:23" ht="60" hidden="1" customHeight="1" x14ac:dyDescent="0.25">
      <c r="A1282" s="45" t="str">
        <f>CONCATENATE(Tabla2[[#This Row],[id_solicitud]],Tabla2[[#This Row],[tipo]])</f>
        <v>193Oficio_Solicitud</v>
      </c>
      <c r="B1282" s="45">
        <f>COUNTIF($A$2:A1282,A1282)</f>
        <v>1</v>
      </c>
      <c r="C1282" s="45" t="str">
        <f>Tabla2[[#This Row],[(id_solicitud-tipo_documento)]]&amp;B1282</f>
        <v>193Oficio_Solicitud1</v>
      </c>
      <c r="D1282" s="45">
        <v>1284</v>
      </c>
      <c r="E1282" s="45">
        <v>193</v>
      </c>
      <c r="F1282" s="45" t="s">
        <v>53</v>
      </c>
      <c r="G1282" s="45" t="s">
        <v>1258</v>
      </c>
      <c r="H1282" s="50" t="s">
        <v>538</v>
      </c>
      <c r="I1282" s="51">
        <v>3591</v>
      </c>
      <c r="J1282" s="80"/>
      <c r="K12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3591 DV_FETCovid19</v>
      </c>
      <c r="L1282" s="48">
        <v>44669</v>
      </c>
      <c r="M1282" s="48">
        <v>44670</v>
      </c>
      <c r="N1282" s="49" t="s">
        <v>226</v>
      </c>
      <c r="O1282" s="45">
        <v>3</v>
      </c>
      <c r="P1282" s="80" t="s">
        <v>494</v>
      </c>
      <c r="Q1282" s="48"/>
      <c r="R1282" s="45"/>
      <c r="S1282" s="114"/>
      <c r="T1282" s="52"/>
      <c r="U1282" s="48"/>
      <c r="V1282" s="48"/>
      <c r="W1282" s="27"/>
    </row>
    <row r="1283" spans="1:23" ht="60" hidden="1" customHeight="1" x14ac:dyDescent="0.25">
      <c r="A1283" s="45" t="str">
        <f>CONCATENATE(Tabla2[[#This Row],[id_solicitud]],Tabla2[[#This Row],[tipo]])</f>
        <v>171Oficio_Solicitud</v>
      </c>
      <c r="B1283" s="45">
        <f>COUNTIF($A$2:A1283,A1283)</f>
        <v>1</v>
      </c>
      <c r="C1283" s="45" t="str">
        <f>Tabla2[[#This Row],[(id_solicitud-tipo_documento)]]&amp;B1283</f>
        <v>171Oficio_Solicitud1</v>
      </c>
      <c r="D1283" s="45">
        <v>1285</v>
      </c>
      <c r="E1283" s="45">
        <v>171</v>
      </c>
      <c r="F1283" s="45" t="s">
        <v>53</v>
      </c>
      <c r="G1283" s="45" t="s">
        <v>43</v>
      </c>
      <c r="H1283" s="50" t="s">
        <v>576</v>
      </c>
      <c r="I1283" s="51">
        <v>3646</v>
      </c>
      <c r="J1283" s="80"/>
      <c r="K12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3646 DV-DV_FETCovid19</v>
      </c>
      <c r="L1283" s="48">
        <v>44670</v>
      </c>
      <c r="M1283" s="48">
        <v>44671</v>
      </c>
      <c r="N1283" s="49" t="s">
        <v>1266</v>
      </c>
      <c r="O1283" s="45"/>
      <c r="P1283" s="80" t="s">
        <v>505</v>
      </c>
      <c r="Q1283" s="48"/>
      <c r="R1283" s="45"/>
      <c r="S1283" s="114"/>
      <c r="T1283" s="52"/>
      <c r="U1283" s="48"/>
      <c r="V1283" s="48"/>
      <c r="W1283" s="27"/>
    </row>
    <row r="1284" spans="1:23" ht="60" hidden="1" customHeight="1" x14ac:dyDescent="0.25">
      <c r="A1284" s="45" t="str">
        <f>CONCATENATE(Tabla2[[#This Row],[id_solicitud]],Tabla2[[#This Row],[tipo]])</f>
        <v>36Oficio_Solicitud</v>
      </c>
      <c r="B1284" s="45">
        <f>COUNTIF($A$2:A1284,A1284)</f>
        <v>1</v>
      </c>
      <c r="C1284" s="45" t="str">
        <f>Tabla2[[#This Row],[(id_solicitud-tipo_documento)]]&amp;B1284</f>
        <v>36Oficio_Solicitud1</v>
      </c>
      <c r="D1284" s="45">
        <v>1286</v>
      </c>
      <c r="E1284" s="45">
        <v>36</v>
      </c>
      <c r="F1284" s="45" t="s">
        <v>53</v>
      </c>
      <c r="G1284" s="45" t="s">
        <v>43</v>
      </c>
      <c r="H1284" s="50" t="s">
        <v>20</v>
      </c>
      <c r="I1284" s="51">
        <v>3696</v>
      </c>
      <c r="J1284" s="80"/>
      <c r="K12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3696 DOH</v>
      </c>
      <c r="L1284" s="48">
        <v>44546</v>
      </c>
      <c r="M1284" s="48">
        <v>44547</v>
      </c>
      <c r="N1284" s="49" t="s">
        <v>98</v>
      </c>
      <c r="O1284" s="45">
        <v>45</v>
      </c>
      <c r="P1284" s="80" t="s">
        <v>494</v>
      </c>
      <c r="Q1284" s="48"/>
      <c r="R1284" s="45"/>
      <c r="S1284" s="114"/>
      <c r="T1284" s="52"/>
      <c r="U1284" s="48"/>
      <c r="V1284" s="48"/>
      <c r="W1284" s="27"/>
    </row>
    <row r="1285" spans="1:23" ht="60" hidden="1" customHeight="1" x14ac:dyDescent="0.25">
      <c r="A1285" s="45" t="str">
        <f>CONCATENATE(Tabla2[[#This Row],[id_solicitud]],Tabla2[[#This Row],[tipo]])</f>
        <v>37Oficio_Solicitud</v>
      </c>
      <c r="B1285" s="45">
        <f>COUNTIF($A$2:A1285,A1285)</f>
        <v>1</v>
      </c>
      <c r="C1285" s="45" t="str">
        <f>Tabla2[[#This Row],[(id_solicitud-tipo_documento)]]&amp;B1285</f>
        <v>37Oficio_Solicitud1</v>
      </c>
      <c r="D1285" s="45">
        <v>1287</v>
      </c>
      <c r="E1285" s="45">
        <v>37</v>
      </c>
      <c r="F1285" s="45" t="s">
        <v>53</v>
      </c>
      <c r="G1285" s="45" t="s">
        <v>43</v>
      </c>
      <c r="H1285" s="50" t="s">
        <v>535</v>
      </c>
      <c r="I1285" s="51">
        <v>3697</v>
      </c>
      <c r="J1285" s="80"/>
      <c r="K12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3697 DOH_FETCovid19</v>
      </c>
      <c r="L1285" s="48">
        <v>44546</v>
      </c>
      <c r="M1285" s="48">
        <v>44547</v>
      </c>
      <c r="N1285" s="49" t="s">
        <v>99</v>
      </c>
      <c r="O1285" s="45">
        <f>2+35</f>
        <v>37</v>
      </c>
      <c r="P1285" s="80" t="s">
        <v>494</v>
      </c>
      <c r="Q1285" s="48"/>
      <c r="R1285" s="45"/>
      <c r="S1285" s="114"/>
      <c r="T1285" s="52"/>
      <c r="U1285" s="48"/>
      <c r="V1285" s="48"/>
      <c r="W1285" s="27"/>
    </row>
    <row r="1286" spans="1:23" ht="60" hidden="1" customHeight="1" x14ac:dyDescent="0.25">
      <c r="A1286" s="45" t="str">
        <f>CONCATENATE(Tabla2[[#This Row],[id_solicitud]],Tabla2[[#This Row],[tipo]])</f>
        <v>26Oficio_Solicitud</v>
      </c>
      <c r="B1286" s="45">
        <f>COUNTIF($A$2:A1286,A1286)</f>
        <v>1</v>
      </c>
      <c r="C1286" s="45" t="str">
        <f>Tabla2[[#This Row],[(id_solicitud-tipo_documento)]]&amp;B1286</f>
        <v>26Oficio_Solicitud1</v>
      </c>
      <c r="D1286" s="45">
        <v>1288</v>
      </c>
      <c r="E1286" s="45">
        <v>26</v>
      </c>
      <c r="F1286" s="45" t="s">
        <v>53</v>
      </c>
      <c r="G1286" s="45" t="s">
        <v>43</v>
      </c>
      <c r="H1286" s="50" t="s">
        <v>559</v>
      </c>
      <c r="I1286" s="51">
        <v>3730</v>
      </c>
      <c r="J1286" s="80"/>
      <c r="K12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3730 APR_FETCovid19</v>
      </c>
      <c r="L1286" s="48">
        <v>44547</v>
      </c>
      <c r="M1286" s="48">
        <v>44550</v>
      </c>
      <c r="N1286" s="49" t="s">
        <v>94</v>
      </c>
      <c r="O1286" s="45">
        <v>87</v>
      </c>
      <c r="P1286" s="80" t="s">
        <v>494</v>
      </c>
      <c r="Q1286" s="48">
        <v>44550</v>
      </c>
      <c r="R1286" s="45"/>
      <c r="S1286" s="114"/>
      <c r="T1286" s="52"/>
      <c r="U1286" s="48"/>
      <c r="V1286" s="48"/>
      <c r="W1286" s="27"/>
    </row>
    <row r="1287" spans="1:23" ht="60" hidden="1" customHeight="1" x14ac:dyDescent="0.25">
      <c r="A1287" s="45" t="str">
        <f>CONCATENATE(Tabla2[[#This Row],[id_solicitud]],Tabla2[[#This Row],[tipo]])</f>
        <v>362Oficio_Solicitud</v>
      </c>
      <c r="B1287" s="45">
        <f>COUNTIF($A$2:A1287,A1287)</f>
        <v>1</v>
      </c>
      <c r="C1287" s="45" t="str">
        <f>Tabla2[[#This Row],[(id_solicitud-tipo_documento)]]&amp;B1287</f>
        <v>362Oficio_Solicitud1</v>
      </c>
      <c r="D1287" s="45">
        <v>1289</v>
      </c>
      <c r="E1287" s="45">
        <v>362</v>
      </c>
      <c r="F1287" s="45" t="s">
        <v>53</v>
      </c>
      <c r="G1287" s="45" t="s">
        <v>44</v>
      </c>
      <c r="H1287" s="50" t="s">
        <v>28</v>
      </c>
      <c r="I1287" s="51">
        <v>3759</v>
      </c>
      <c r="J1287" s="80"/>
      <c r="K12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3759 FISC</v>
      </c>
      <c r="L1287" s="48">
        <v>44781</v>
      </c>
      <c r="M1287" s="48"/>
      <c r="N1287" s="49"/>
      <c r="O1287" s="45"/>
      <c r="P1287" s="80" t="s">
        <v>497</v>
      </c>
      <c r="Q1287" s="48"/>
      <c r="R1287" s="45"/>
      <c r="S1287" s="114"/>
      <c r="T1287" s="52"/>
      <c r="U1287" s="48"/>
      <c r="V1287" s="48"/>
      <c r="W1287" s="27"/>
    </row>
    <row r="1288" spans="1:23" ht="60" hidden="1" customHeight="1" x14ac:dyDescent="0.25">
      <c r="A1288" s="45" t="str">
        <f>CONCATENATE(Tabla2[[#This Row],[id_solicitud]],Tabla2[[#This Row],[tipo]])</f>
        <v>353Oficio_Solicitud</v>
      </c>
      <c r="B1288" s="45">
        <f>COUNTIF($A$2:A1288,A1288)</f>
        <v>1</v>
      </c>
      <c r="C1288" s="45" t="str">
        <f>Tabla2[[#This Row],[(id_solicitud-tipo_documento)]]&amp;B1288</f>
        <v>353Oficio_Solicitud1</v>
      </c>
      <c r="D1288" s="45">
        <v>1290</v>
      </c>
      <c r="E1288" s="45">
        <v>353</v>
      </c>
      <c r="F1288" s="45" t="s">
        <v>53</v>
      </c>
      <c r="G1288" s="45" t="s">
        <v>65</v>
      </c>
      <c r="H1288" s="50" t="s">
        <v>593</v>
      </c>
      <c r="I1288" s="51">
        <v>3811</v>
      </c>
      <c r="J1288" s="80"/>
      <c r="K12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3811 DOH-FISC</v>
      </c>
      <c r="L1288" s="48">
        <v>44783</v>
      </c>
      <c r="M1288" s="48">
        <v>44784</v>
      </c>
      <c r="N1288" s="49" t="s">
        <v>357</v>
      </c>
      <c r="O1288" s="45"/>
      <c r="P1288" s="80" t="s">
        <v>498</v>
      </c>
      <c r="Q1288" s="48"/>
      <c r="R1288" s="45"/>
      <c r="S1288" s="114"/>
      <c r="T1288" s="52"/>
      <c r="U1288" s="48"/>
      <c r="V1288" s="48"/>
      <c r="W1288" s="27"/>
    </row>
    <row r="1289" spans="1:23" ht="60" hidden="1" customHeight="1" x14ac:dyDescent="0.25">
      <c r="A1289" s="45" t="str">
        <f>CONCATENATE(Tabla2[[#This Row],[id_solicitud]],Tabla2[[#This Row],[tipo]])</f>
        <v>177Oficio_Solicitud</v>
      </c>
      <c r="B1289" s="45">
        <f>COUNTIF($A$2:A1289,A1289)</f>
        <v>1</v>
      </c>
      <c r="C1289" s="45" t="str">
        <f>Tabla2[[#This Row],[(id_solicitud-tipo_documento)]]&amp;B1289</f>
        <v>177Oficio_Solicitud1</v>
      </c>
      <c r="D1289" s="45">
        <v>1291</v>
      </c>
      <c r="E1289" s="45">
        <v>177</v>
      </c>
      <c r="F1289" s="45" t="s">
        <v>53</v>
      </c>
      <c r="G1289" s="45" t="s">
        <v>40</v>
      </c>
      <c r="H1289" s="50" t="s">
        <v>26</v>
      </c>
      <c r="I1289" s="51">
        <v>3894</v>
      </c>
      <c r="J1289" s="80"/>
      <c r="K12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3894 DV</v>
      </c>
      <c r="L1289" s="48">
        <v>44676</v>
      </c>
      <c r="M1289" s="48">
        <v>44677</v>
      </c>
      <c r="N1289" s="49" t="s">
        <v>215</v>
      </c>
      <c r="O1289" s="45"/>
      <c r="P1289" s="80" t="s">
        <v>501</v>
      </c>
      <c r="Q1289" s="48">
        <v>44708</v>
      </c>
      <c r="R1289" s="45"/>
      <c r="S1289" s="114"/>
      <c r="T1289" s="52"/>
      <c r="U1289" s="48"/>
      <c r="V1289" s="48"/>
      <c r="W1289" s="27"/>
    </row>
    <row r="1290" spans="1:23" ht="60" hidden="1" customHeight="1" x14ac:dyDescent="0.25">
      <c r="A1290" s="45" t="str">
        <f>CONCATENATE(Tabla2[[#This Row],[id_solicitud]],Tabla2[[#This Row],[tipo]])</f>
        <v>185Oficio_Solicitud</v>
      </c>
      <c r="B1290" s="45">
        <f>COUNTIF($A$2:A1290,A1290)</f>
        <v>1</v>
      </c>
      <c r="C1290" s="45" t="str">
        <f>Tabla2[[#This Row],[(id_solicitud-tipo_documento)]]&amp;B1290</f>
        <v>185Oficio_Solicitud1</v>
      </c>
      <c r="D1290" s="45">
        <v>1292</v>
      </c>
      <c r="E1290" s="45">
        <v>185</v>
      </c>
      <c r="F1290" s="45" t="s">
        <v>53</v>
      </c>
      <c r="G1290" s="45" t="s">
        <v>60</v>
      </c>
      <c r="H1290" s="50" t="s">
        <v>26</v>
      </c>
      <c r="I1290" s="51">
        <v>4279</v>
      </c>
      <c r="J1290" s="80"/>
      <c r="K12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4279 DV</v>
      </c>
      <c r="L1290" s="48">
        <v>44683</v>
      </c>
      <c r="M1290" s="48">
        <v>44684</v>
      </c>
      <c r="N1290" s="49" t="s">
        <v>220</v>
      </c>
      <c r="O1290" s="45">
        <v>132</v>
      </c>
      <c r="P1290" s="80" t="s">
        <v>494</v>
      </c>
      <c r="Q1290" s="48">
        <v>44749</v>
      </c>
      <c r="R1290" s="45"/>
      <c r="S1290" s="114"/>
      <c r="T1290" s="52"/>
      <c r="U1290" s="48"/>
      <c r="V1290" s="48"/>
      <c r="W1290" s="27"/>
    </row>
    <row r="1291" spans="1:23" ht="60" hidden="1" customHeight="1" x14ac:dyDescent="0.25">
      <c r="A1291" s="45" t="str">
        <f>CONCATENATE(Tabla2[[#This Row],[id_solicitud]],Tabla2[[#This Row],[tipo]])</f>
        <v>197Oficio_Solicitud</v>
      </c>
      <c r="B1291" s="45">
        <f>COUNTIF($A$2:A1291,A1291)</f>
        <v>1</v>
      </c>
      <c r="C1291" s="45" t="str">
        <f>Tabla2[[#This Row],[(id_solicitud-tipo_documento)]]&amp;B1291</f>
        <v>197Oficio_Solicitud1</v>
      </c>
      <c r="D1291" s="45">
        <v>1293</v>
      </c>
      <c r="E1291" s="45">
        <v>197</v>
      </c>
      <c r="F1291" s="45" t="s">
        <v>53</v>
      </c>
      <c r="G1291" s="45" t="s">
        <v>60</v>
      </c>
      <c r="H1291" s="50" t="s">
        <v>538</v>
      </c>
      <c r="I1291" s="51">
        <v>4279</v>
      </c>
      <c r="J1291" s="80"/>
      <c r="K12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4279 DV_FETCovid19</v>
      </c>
      <c r="L1291" s="48">
        <v>44683</v>
      </c>
      <c r="M1291" s="48">
        <v>44684</v>
      </c>
      <c r="N1291" s="49" t="s">
        <v>228</v>
      </c>
      <c r="O1291" s="45">
        <v>3</v>
      </c>
      <c r="P1291" s="80" t="s">
        <v>494</v>
      </c>
      <c r="Q1291" s="48">
        <v>44749</v>
      </c>
      <c r="R1291" s="45"/>
      <c r="S1291" s="114"/>
      <c r="T1291" s="52"/>
      <c r="U1291" s="48"/>
      <c r="V1291" s="48"/>
      <c r="W1291" s="27"/>
    </row>
    <row r="1292" spans="1:23" ht="60" hidden="1" customHeight="1" x14ac:dyDescent="0.25">
      <c r="A1292" s="45" t="str">
        <f>CONCATENATE(Tabla2[[#This Row],[id_solicitud]],Tabla2[[#This Row],[tipo]])</f>
        <v>411Resolucion</v>
      </c>
      <c r="B1292" s="45">
        <f>COUNTIF($A$2:A1292,A1292)</f>
        <v>1</v>
      </c>
      <c r="C1292" s="45" t="str">
        <f>Tabla2[[#This Row],[(id_solicitud-tipo_documento)]]&amp;B1292</f>
        <v>411Resolucion1</v>
      </c>
      <c r="D1292" s="45">
        <v>1294</v>
      </c>
      <c r="E1292" s="45">
        <v>411</v>
      </c>
      <c r="F1292" s="45" t="s">
        <v>48</v>
      </c>
      <c r="G1292" s="45"/>
      <c r="H1292" s="50" t="s">
        <v>559</v>
      </c>
      <c r="I1292" s="51">
        <v>3910</v>
      </c>
      <c r="J1292" s="80"/>
      <c r="K12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92" s="48">
        <v>44827</v>
      </c>
      <c r="M1292" s="48"/>
      <c r="N1292" s="49"/>
      <c r="O1292" s="45"/>
      <c r="P1292" s="80"/>
      <c r="Q1292" s="48"/>
      <c r="R1292" s="45"/>
      <c r="S1292" s="114"/>
      <c r="T1292" s="45"/>
      <c r="U1292" s="48"/>
      <c r="V1292" s="48"/>
      <c r="W1292" s="27"/>
    </row>
    <row r="1293" spans="1:23" ht="60" hidden="1" customHeight="1" x14ac:dyDescent="0.25">
      <c r="A1293" s="45" t="str">
        <f>CONCATENATE(Tabla2[[#This Row],[id_solicitud]],Tabla2[[#This Row],[tipo]])</f>
        <v>410Resolucion</v>
      </c>
      <c r="B1293" s="45">
        <f>COUNTIF($A$2:A1293,A1293)</f>
        <v>1</v>
      </c>
      <c r="C1293" s="45" t="str">
        <f>Tabla2[[#This Row],[(id_solicitud-tipo_documento)]]&amp;B1293</f>
        <v>410Resolucion1</v>
      </c>
      <c r="D1293" s="45">
        <v>1295</v>
      </c>
      <c r="E1293" s="45">
        <v>410</v>
      </c>
      <c r="F1293" s="45" t="s">
        <v>48</v>
      </c>
      <c r="G1293" s="45"/>
      <c r="H1293" s="50" t="s">
        <v>20</v>
      </c>
      <c r="I1293" s="51">
        <v>3912</v>
      </c>
      <c r="J1293" s="80"/>
      <c r="K12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293" s="48">
        <v>44827</v>
      </c>
      <c r="M1293" s="48"/>
      <c r="N1293" s="49"/>
      <c r="O1293" s="45"/>
      <c r="P1293" s="80"/>
      <c r="Q1293" s="48"/>
      <c r="R1293" s="45"/>
      <c r="S1293" s="114"/>
      <c r="T1293" s="45"/>
      <c r="U1293" s="48"/>
      <c r="V1293" s="48"/>
      <c r="W1293" s="27"/>
    </row>
    <row r="1294" spans="1:23" ht="60" hidden="1" customHeight="1" x14ac:dyDescent="0.25">
      <c r="A1294" s="45" t="str">
        <f>CONCATENATE(Tabla2[[#This Row],[id_solicitud]],Tabla2[[#This Row],[tipo]])</f>
        <v>284Oficio_Solicitud</v>
      </c>
      <c r="B1294" s="45">
        <f>COUNTIF($A$2:A1294,A1294)</f>
        <v>1</v>
      </c>
      <c r="C1294" s="45" t="str">
        <f>Tabla2[[#This Row],[(id_solicitud-tipo_documento)]]&amp;B1294</f>
        <v>284Oficio_Solicitud1</v>
      </c>
      <c r="D1294" s="45">
        <v>1296</v>
      </c>
      <c r="E1294" s="45">
        <v>284</v>
      </c>
      <c r="F1294" s="45" t="s">
        <v>53</v>
      </c>
      <c r="G1294" s="45" t="s">
        <v>60</v>
      </c>
      <c r="H1294" s="50" t="s">
        <v>20</v>
      </c>
      <c r="I1294" s="51">
        <v>1516</v>
      </c>
      <c r="J1294" s="80" t="s">
        <v>1241</v>
      </c>
      <c r="K12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1516 DOHcorreo</v>
      </c>
      <c r="L1294" s="48">
        <v>44735</v>
      </c>
      <c r="M1294" s="48">
        <v>44736</v>
      </c>
      <c r="N1294" s="49" t="s">
        <v>301</v>
      </c>
      <c r="O1294" s="45">
        <f>1+1+10+27</f>
        <v>39</v>
      </c>
      <c r="P1294" s="80" t="s">
        <v>494</v>
      </c>
      <c r="Q1294" s="48">
        <v>44743</v>
      </c>
      <c r="R1294" s="45"/>
      <c r="S1294" s="114"/>
      <c r="T1294" s="52"/>
      <c r="U1294" s="48"/>
      <c r="V1294" s="48"/>
      <c r="W1294" s="27"/>
    </row>
    <row r="1295" spans="1:23" ht="60" hidden="1" customHeight="1" x14ac:dyDescent="0.25">
      <c r="A1295" s="45" t="str">
        <f>CONCATENATE(Tabla2[[#This Row],[id_solicitud]],Tabla2[[#This Row],[tipo]])</f>
        <v>196Oficio_Solicitud</v>
      </c>
      <c r="B1295" s="45">
        <f>COUNTIF($A$2:A1295,A1295)</f>
        <v>1</v>
      </c>
      <c r="C1295" s="45" t="str">
        <f>Tabla2[[#This Row],[(id_solicitud-tipo_documento)]]&amp;B1295</f>
        <v>196Oficio_Solicitud1</v>
      </c>
      <c r="D1295" s="45">
        <v>1297</v>
      </c>
      <c r="E1295" s="45">
        <v>196</v>
      </c>
      <c r="F1295" s="45" t="s">
        <v>53</v>
      </c>
      <c r="G1295" s="45" t="s">
        <v>1257</v>
      </c>
      <c r="H1295" s="50" t="s">
        <v>576</v>
      </c>
      <c r="I1295" s="51">
        <v>4480</v>
      </c>
      <c r="J1295" s="80"/>
      <c r="K12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4480 DV-DV_FETCovid19</v>
      </c>
      <c r="L1295" s="48">
        <v>44687</v>
      </c>
      <c r="M1295" s="48">
        <v>44690</v>
      </c>
      <c r="N1295" s="49" t="s">
        <v>227</v>
      </c>
      <c r="O1295" s="45">
        <v>85</v>
      </c>
      <c r="P1295" s="80" t="s">
        <v>494</v>
      </c>
      <c r="Q1295" s="48">
        <v>44701</v>
      </c>
      <c r="R1295" s="45"/>
      <c r="S1295" s="114"/>
      <c r="T1295" s="52"/>
      <c r="U1295" s="48"/>
      <c r="V1295" s="48"/>
      <c r="W1295" s="27"/>
    </row>
    <row r="1296" spans="1:23" ht="60" hidden="1" customHeight="1" x14ac:dyDescent="0.25">
      <c r="A1296" s="45" t="str">
        <f>CONCATENATE(Tabla2[[#This Row],[id_solicitud]],Tabla2[[#This Row],[tipo]])</f>
        <v>230Oficio_Solicitud</v>
      </c>
      <c r="B1296" s="45">
        <f>COUNTIF($A$2:A1296,A1296)</f>
        <v>1</v>
      </c>
      <c r="C1296" s="45" t="str">
        <f>Tabla2[[#This Row],[(id_solicitud-tipo_documento)]]&amp;B1296</f>
        <v>230Oficio_Solicitud1</v>
      </c>
      <c r="D1296" s="45">
        <v>1298</v>
      </c>
      <c r="E1296" s="45">
        <v>230</v>
      </c>
      <c r="F1296" s="45" t="s">
        <v>53</v>
      </c>
      <c r="G1296" s="45" t="s">
        <v>60</v>
      </c>
      <c r="H1296" s="50" t="s">
        <v>538</v>
      </c>
      <c r="I1296" s="51">
        <v>4480</v>
      </c>
      <c r="J1296" s="80"/>
      <c r="K12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4480 DV_FETCovid19</v>
      </c>
      <c r="L1296" s="48">
        <v>44687</v>
      </c>
      <c r="M1296" s="48">
        <v>44690</v>
      </c>
      <c r="N1296" s="49" t="s">
        <v>258</v>
      </c>
      <c r="O1296" s="45">
        <f>77+45</f>
        <v>122</v>
      </c>
      <c r="P1296" s="80" t="s">
        <v>494</v>
      </c>
      <c r="Q1296" s="48">
        <v>44701</v>
      </c>
      <c r="R1296" s="45"/>
      <c r="S1296" s="114"/>
      <c r="T1296" s="52"/>
      <c r="U1296" s="48"/>
      <c r="V1296" s="48"/>
      <c r="W1296" s="27"/>
    </row>
    <row r="1297" spans="1:23" ht="60" hidden="1" customHeight="1" x14ac:dyDescent="0.25">
      <c r="A1297" s="45" t="str">
        <f>CONCATENATE(Tabla2[[#This Row],[id_solicitud]],Tabla2[[#This Row],[tipo]])</f>
        <v>231Oficio_Solicitud</v>
      </c>
      <c r="B1297" s="45">
        <f>COUNTIF($A$2:A1297,A1297)</f>
        <v>1</v>
      </c>
      <c r="C1297" s="45" t="str">
        <f>Tabla2[[#This Row],[(id_solicitud-tipo_documento)]]&amp;B1297</f>
        <v>231Oficio_Solicitud1</v>
      </c>
      <c r="D1297" s="45">
        <v>1299</v>
      </c>
      <c r="E1297" s="45">
        <v>231</v>
      </c>
      <c r="F1297" s="45" t="s">
        <v>53</v>
      </c>
      <c r="G1297" s="45" t="s">
        <v>61</v>
      </c>
      <c r="H1297" s="50" t="s">
        <v>583</v>
      </c>
      <c r="I1297" s="51">
        <v>4480</v>
      </c>
      <c r="J1297" s="80"/>
      <c r="K12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4480 DV-DGC</v>
      </c>
      <c r="L1297" s="48">
        <v>44687</v>
      </c>
      <c r="M1297" s="48">
        <v>44690</v>
      </c>
      <c r="N1297" s="49" t="s">
        <v>259</v>
      </c>
      <c r="O1297" s="45">
        <f>28+101</f>
        <v>129</v>
      </c>
      <c r="P1297" s="80" t="s">
        <v>494</v>
      </c>
      <c r="Q1297" s="48">
        <v>44701</v>
      </c>
      <c r="R1297" s="45"/>
      <c r="S1297" s="114"/>
      <c r="T1297" s="52"/>
      <c r="U1297" s="48"/>
      <c r="V1297" s="48"/>
      <c r="W1297" s="27"/>
    </row>
    <row r="1298" spans="1:23" ht="60" hidden="1" customHeight="1" x14ac:dyDescent="0.25">
      <c r="A1298" s="45" t="str">
        <f>CONCATENATE(Tabla2[[#This Row],[id_solicitud]],Tabla2[[#This Row],[tipo]])</f>
        <v>200Oficio_Solicitud</v>
      </c>
      <c r="B1298" s="45">
        <f>COUNTIF($A$2:A1298,A1298)</f>
        <v>1</v>
      </c>
      <c r="C1298" s="45" t="str">
        <f>Tabla2[[#This Row],[(id_solicitud-tipo_documento)]]&amp;B1298</f>
        <v>200Oficio_Solicitud1</v>
      </c>
      <c r="D1298" s="45">
        <v>1300</v>
      </c>
      <c r="E1298" s="45">
        <v>200</v>
      </c>
      <c r="F1298" s="45" t="s">
        <v>53</v>
      </c>
      <c r="G1298" s="45" t="s">
        <v>60</v>
      </c>
      <c r="H1298" s="50" t="s">
        <v>26</v>
      </c>
      <c r="I1298" s="51">
        <v>4561</v>
      </c>
      <c r="J1298" s="80"/>
      <c r="K12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4561 DV</v>
      </c>
      <c r="L1298" s="48">
        <v>44691</v>
      </c>
      <c r="M1298" s="48">
        <v>44692</v>
      </c>
      <c r="N1298" s="49" t="s">
        <v>51</v>
      </c>
      <c r="O1298" s="45">
        <v>11</v>
      </c>
      <c r="P1298" s="80" t="s">
        <v>494</v>
      </c>
      <c r="Q1298" s="48">
        <v>44701</v>
      </c>
      <c r="R1298" s="45"/>
      <c r="S1298" s="114"/>
      <c r="T1298" s="52"/>
      <c r="U1298" s="48"/>
      <c r="V1298" s="48"/>
      <c r="W1298" s="27"/>
    </row>
    <row r="1299" spans="1:23" ht="60" hidden="1" customHeight="1" x14ac:dyDescent="0.25">
      <c r="A1299" s="45" t="str">
        <f>CONCATENATE(Tabla2[[#This Row],[id_solicitud]],Tabla2[[#This Row],[tipo]])</f>
        <v>222Oficio_Solicitud</v>
      </c>
      <c r="B1299" s="45">
        <f>COUNTIF($A$2:A1299,A1299)</f>
        <v>1</v>
      </c>
      <c r="C1299" s="45" t="str">
        <f>Tabla2[[#This Row],[(id_solicitud-tipo_documento)]]&amp;B1299</f>
        <v>222Oficio_Solicitud1</v>
      </c>
      <c r="D1299" s="45">
        <v>1301</v>
      </c>
      <c r="E1299" s="45">
        <v>222</v>
      </c>
      <c r="F1299" s="45" t="s">
        <v>53</v>
      </c>
      <c r="G1299" s="45" t="s">
        <v>40</v>
      </c>
      <c r="H1299" s="50" t="s">
        <v>538</v>
      </c>
      <c r="I1299" s="51">
        <v>5067</v>
      </c>
      <c r="J1299" s="80"/>
      <c r="K12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5067 DV_FETCovid19</v>
      </c>
      <c r="L1299" s="48">
        <v>44704</v>
      </c>
      <c r="M1299" s="48">
        <v>44705</v>
      </c>
      <c r="N1299" s="49" t="s">
        <v>250</v>
      </c>
      <c r="O1299" s="45"/>
      <c r="P1299" s="80" t="s">
        <v>498</v>
      </c>
      <c r="Q1299" s="48"/>
      <c r="R1299" s="45"/>
      <c r="S1299" s="114"/>
      <c r="T1299" s="52"/>
      <c r="U1299" s="48"/>
      <c r="V1299" s="48"/>
      <c r="W1299" s="27"/>
    </row>
    <row r="1300" spans="1:23" ht="60" hidden="1" customHeight="1" x14ac:dyDescent="0.25">
      <c r="A1300" s="45" t="str">
        <f>CONCATENATE(Tabla2[[#This Row],[id_solicitud]],Tabla2[[#This Row],[tipo]])</f>
        <v>517Resolucion</v>
      </c>
      <c r="B1300" s="45">
        <f>COUNTIF($A$2:A1300,A1300)</f>
        <v>1</v>
      </c>
      <c r="C1300" s="45" t="str">
        <f>Tabla2[[#This Row],[(id_solicitud-tipo_documento)]]&amp;B1300</f>
        <v>517Resolucion1</v>
      </c>
      <c r="D1300" s="45">
        <v>1302</v>
      </c>
      <c r="E1300" s="45">
        <v>517</v>
      </c>
      <c r="F1300" s="45" t="s">
        <v>48</v>
      </c>
      <c r="G1300" s="45"/>
      <c r="H1300" s="50" t="s">
        <v>535</v>
      </c>
      <c r="I1300" s="51">
        <v>4522</v>
      </c>
      <c r="J1300" s="80"/>
      <c r="K13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00" s="48">
        <v>44868</v>
      </c>
      <c r="M1300" s="48"/>
      <c r="N1300" s="49"/>
      <c r="O1300" s="45"/>
      <c r="P1300" s="80"/>
      <c r="Q1300" s="48"/>
      <c r="R1300" s="45"/>
      <c r="S1300" s="114"/>
      <c r="T1300" s="45"/>
      <c r="U1300" s="48"/>
      <c r="V1300" s="48"/>
      <c r="W1300" s="27"/>
    </row>
    <row r="1301" spans="1:23" ht="60" hidden="1" customHeight="1" x14ac:dyDescent="0.25">
      <c r="A1301" s="45" t="str">
        <f>CONCATENATE(Tabla2[[#This Row],[id_solicitud]],Tabla2[[#This Row],[tipo]])</f>
        <v>347Proposicion</v>
      </c>
      <c r="B1301" s="45">
        <f>COUNTIF($A$2:A1301,A1301)</f>
        <v>1</v>
      </c>
      <c r="C1301" s="45" t="str">
        <f>Tabla2[[#This Row],[(id_solicitud-tipo_documento)]]&amp;B1301</f>
        <v>347Proposicion1</v>
      </c>
      <c r="D1301" s="45">
        <v>1303</v>
      </c>
      <c r="E1301" s="45">
        <v>347</v>
      </c>
      <c r="F1301" s="45" t="s">
        <v>46</v>
      </c>
      <c r="G1301" s="45" t="s">
        <v>64</v>
      </c>
      <c r="H1301" s="50" t="s">
        <v>6</v>
      </c>
      <c r="I1301" s="51">
        <v>594</v>
      </c>
      <c r="J1301" s="80"/>
      <c r="K13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594 APR</v>
      </c>
      <c r="L1301" s="48">
        <v>44803</v>
      </c>
      <c r="M1301" s="48">
        <v>44791</v>
      </c>
      <c r="N1301" s="49" t="s">
        <v>351</v>
      </c>
      <c r="O1301" s="45">
        <v>5</v>
      </c>
      <c r="P1301" s="80" t="s">
        <v>494</v>
      </c>
      <c r="Q1301" s="24"/>
      <c r="R1301" s="24" t="s">
        <v>24</v>
      </c>
      <c r="S1301" s="114"/>
      <c r="T1301" s="45"/>
      <c r="U1301" s="48"/>
      <c r="V1301" s="48"/>
      <c r="W1301" s="27"/>
    </row>
    <row r="1302" spans="1:23" ht="60" hidden="1" customHeight="1" x14ac:dyDescent="0.25">
      <c r="A1302" s="45" t="str">
        <f>CONCATENATE(Tabla2[[#This Row],[id_solicitud]],Tabla2[[#This Row],[tipo]])</f>
        <v>348Resolucion</v>
      </c>
      <c r="B1302" s="45">
        <f>COUNTIF($A$2:A1302,A1302)</f>
        <v>1</v>
      </c>
      <c r="C1302" s="45" t="str">
        <f>Tabla2[[#This Row],[(id_solicitud-tipo_documento)]]&amp;B1302</f>
        <v>348Resolucion1</v>
      </c>
      <c r="D1302" s="45">
        <v>1304</v>
      </c>
      <c r="E1302" s="45">
        <v>348</v>
      </c>
      <c r="F1302" s="45" t="s">
        <v>48</v>
      </c>
      <c r="G1302" s="45"/>
      <c r="H1302" s="50" t="s">
        <v>6</v>
      </c>
      <c r="I1302" s="51">
        <v>4524</v>
      </c>
      <c r="J1302" s="80"/>
      <c r="K13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02" s="48">
        <v>44868</v>
      </c>
      <c r="M1302" s="48"/>
      <c r="N1302" s="49"/>
      <c r="O1302" s="45"/>
      <c r="P1302" s="80"/>
      <c r="Q1302" s="48"/>
      <c r="R1302" s="45"/>
      <c r="S1302" s="114"/>
      <c r="T1302" s="45"/>
      <c r="U1302" s="48"/>
      <c r="V1302" s="48"/>
      <c r="W1302" s="27"/>
    </row>
    <row r="1303" spans="1:23" ht="60" hidden="1" customHeight="1" x14ac:dyDescent="0.25">
      <c r="A1303" s="45" t="str">
        <f>CONCATENATE(Tabla2[[#This Row],[id_solicitud]],Tabla2[[#This Row],[tipo]])</f>
        <v>251Oficio_Solicitud</v>
      </c>
      <c r="B1303" s="45">
        <f>COUNTIF($A$2:A1303,A1303)</f>
        <v>1</v>
      </c>
      <c r="C1303" s="45" t="str">
        <f>Tabla2[[#This Row],[(id_solicitud-tipo_documento)]]&amp;B1303</f>
        <v>251Oficio_Solicitud1</v>
      </c>
      <c r="D1303" s="45">
        <v>1305</v>
      </c>
      <c r="E1303" s="45">
        <v>251</v>
      </c>
      <c r="F1303" s="45" t="s">
        <v>53</v>
      </c>
      <c r="G1303" s="45" t="s">
        <v>40</v>
      </c>
      <c r="H1303" s="50" t="s">
        <v>26</v>
      </c>
      <c r="I1303" s="51">
        <v>5256</v>
      </c>
      <c r="J1303" s="80"/>
      <c r="K13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5256 DV</v>
      </c>
      <c r="L1303" s="48">
        <v>44711</v>
      </c>
      <c r="M1303" s="48">
        <v>44712</v>
      </c>
      <c r="N1303" s="49" t="s">
        <v>278</v>
      </c>
      <c r="O1303" s="45"/>
      <c r="P1303" s="80" t="s">
        <v>501</v>
      </c>
      <c r="Q1303" s="48">
        <v>44712</v>
      </c>
      <c r="R1303" s="45"/>
      <c r="S1303" s="114"/>
      <c r="T1303" s="52"/>
      <c r="U1303" s="48"/>
      <c r="V1303" s="48"/>
      <c r="W1303" s="27"/>
    </row>
    <row r="1304" spans="1:23" ht="60" hidden="1" customHeight="1" x14ac:dyDescent="0.25">
      <c r="A1304" s="45" t="str">
        <f>CONCATENATE(Tabla2[[#This Row],[id_solicitud]],Tabla2[[#This Row],[tipo]])</f>
        <v>244Oficio_Solicitud</v>
      </c>
      <c r="B1304" s="45">
        <f>COUNTIF($A$2:A1304,A1304)</f>
        <v>1</v>
      </c>
      <c r="C1304" s="45" t="str">
        <f>Tabla2[[#This Row],[(id_solicitud-tipo_documento)]]&amp;B1304</f>
        <v>244Oficio_Solicitud1</v>
      </c>
      <c r="D1304" s="45">
        <v>1306</v>
      </c>
      <c r="E1304" s="45">
        <v>244</v>
      </c>
      <c r="F1304" s="45" t="s">
        <v>53</v>
      </c>
      <c r="G1304" s="45" t="s">
        <v>60</v>
      </c>
      <c r="H1304" s="50" t="s">
        <v>26</v>
      </c>
      <c r="I1304" s="51">
        <v>5312</v>
      </c>
      <c r="J1304" s="80"/>
      <c r="K13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5312 DV</v>
      </c>
      <c r="L1304" s="48">
        <v>44712</v>
      </c>
      <c r="M1304" s="48">
        <v>44713</v>
      </c>
      <c r="N1304" s="49" t="s">
        <v>271</v>
      </c>
      <c r="O1304" s="45">
        <f>30+57</f>
        <v>87</v>
      </c>
      <c r="P1304" s="80" t="s">
        <v>494</v>
      </c>
      <c r="Q1304" s="48">
        <v>44726</v>
      </c>
      <c r="R1304" s="45"/>
      <c r="S1304" s="114"/>
      <c r="T1304" s="52"/>
      <c r="U1304" s="48"/>
      <c r="V1304" s="48"/>
      <c r="W1304" s="27"/>
    </row>
    <row r="1305" spans="1:23" ht="60" hidden="1" customHeight="1" x14ac:dyDescent="0.25">
      <c r="A1305" s="45" t="str">
        <f>CONCATENATE(Tabla2[[#This Row],[id_solicitud]],Tabla2[[#This Row],[tipo]])</f>
        <v>263Oficio_Solicitud</v>
      </c>
      <c r="B1305" s="45">
        <f>COUNTIF($A$2:A1305,A1305)</f>
        <v>1</v>
      </c>
      <c r="C1305" s="45" t="str">
        <f>Tabla2[[#This Row],[(id_solicitud-tipo_documento)]]&amp;B1305</f>
        <v>263Oficio_Solicitud1</v>
      </c>
      <c r="D1305" s="45">
        <v>1307</v>
      </c>
      <c r="E1305" s="45">
        <v>263</v>
      </c>
      <c r="F1305" s="45" t="s">
        <v>53</v>
      </c>
      <c r="G1305" s="45" t="s">
        <v>1258</v>
      </c>
      <c r="H1305" s="50" t="s">
        <v>26</v>
      </c>
      <c r="I1305" s="51">
        <v>5539</v>
      </c>
      <c r="J1305" s="80"/>
      <c r="K13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5539 DV</v>
      </c>
      <c r="L1305" s="48">
        <v>44718</v>
      </c>
      <c r="M1305" s="48">
        <v>44719</v>
      </c>
      <c r="N1305" s="49" t="s">
        <v>285</v>
      </c>
      <c r="O1305" s="45">
        <v>36</v>
      </c>
      <c r="P1305" s="80" t="s">
        <v>494</v>
      </c>
      <c r="Q1305" s="48">
        <v>44726</v>
      </c>
      <c r="R1305" s="45"/>
      <c r="S1305" s="114"/>
      <c r="T1305" s="52"/>
      <c r="U1305" s="48"/>
      <c r="V1305" s="48"/>
      <c r="W1305" s="27"/>
    </row>
    <row r="1306" spans="1:23" ht="60" hidden="1" customHeight="1" x14ac:dyDescent="0.25">
      <c r="A1306" s="45" t="str">
        <f>CONCATENATE(Tabla2[[#This Row],[id_solicitud]],Tabla2[[#This Row],[tipo]])</f>
        <v>264Oficio_Solicitud</v>
      </c>
      <c r="B1306" s="45">
        <f>COUNTIF($A$2:A1306,A1306)</f>
        <v>1</v>
      </c>
      <c r="C1306" s="45" t="str">
        <f>Tabla2[[#This Row],[(id_solicitud-tipo_documento)]]&amp;B1306</f>
        <v>264Oficio_Solicitud1</v>
      </c>
      <c r="D1306" s="45">
        <v>1308</v>
      </c>
      <c r="E1306" s="45">
        <v>264</v>
      </c>
      <c r="F1306" s="45" t="s">
        <v>53</v>
      </c>
      <c r="G1306" s="45" t="s">
        <v>1258</v>
      </c>
      <c r="H1306" s="50" t="s">
        <v>538</v>
      </c>
      <c r="I1306" s="51">
        <v>5539</v>
      </c>
      <c r="J1306" s="80"/>
      <c r="K13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5539 DV_FETCovid19</v>
      </c>
      <c r="L1306" s="48">
        <v>44718</v>
      </c>
      <c r="M1306" s="48">
        <v>44719</v>
      </c>
      <c r="N1306" s="49" t="s">
        <v>286</v>
      </c>
      <c r="O1306" s="45">
        <v>6</v>
      </c>
      <c r="P1306" s="80" t="s">
        <v>494</v>
      </c>
      <c r="Q1306" s="48">
        <v>44726</v>
      </c>
      <c r="R1306" s="45"/>
      <c r="S1306" s="114"/>
      <c r="T1306" s="52"/>
      <c r="U1306" s="48"/>
      <c r="V1306" s="48"/>
      <c r="W1306" s="27"/>
    </row>
    <row r="1307" spans="1:23" ht="60" hidden="1" customHeight="1" x14ac:dyDescent="0.25">
      <c r="A1307" s="45" t="str">
        <f>CONCATENATE(Tabla2[[#This Row],[id_solicitud]],Tabla2[[#This Row],[tipo]])</f>
        <v>82Oficio_Solicitud</v>
      </c>
      <c r="B1307" s="45">
        <f>COUNTIF($A$2:A1307,A1307)</f>
        <v>1</v>
      </c>
      <c r="C1307" s="45" t="str">
        <f>Tabla2[[#This Row],[(id_solicitud-tipo_documento)]]&amp;B1307</f>
        <v>82Oficio_Solicitud1</v>
      </c>
      <c r="D1307" s="45">
        <v>1309</v>
      </c>
      <c r="E1307" s="45">
        <v>82</v>
      </c>
      <c r="F1307" s="45" t="s">
        <v>53</v>
      </c>
      <c r="G1307" s="45" t="s">
        <v>42</v>
      </c>
      <c r="H1307" s="50" t="s">
        <v>18</v>
      </c>
      <c r="I1307" s="51">
        <v>5557</v>
      </c>
      <c r="J1307" s="80"/>
      <c r="K13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5557 DGOP</v>
      </c>
      <c r="L1307" s="48">
        <v>44554</v>
      </c>
      <c r="M1307" s="48">
        <v>44606</v>
      </c>
      <c r="N1307" s="49" t="s">
        <v>134</v>
      </c>
      <c r="O1307" s="45"/>
      <c r="P1307" s="80" t="s">
        <v>497</v>
      </c>
      <c r="Q1307" s="48"/>
      <c r="R1307" s="45"/>
      <c r="S1307" s="114"/>
      <c r="T1307" s="52"/>
      <c r="U1307" s="48"/>
      <c r="V1307" s="48"/>
      <c r="W1307" s="27"/>
    </row>
    <row r="1308" spans="1:23" ht="60" hidden="1" customHeight="1" x14ac:dyDescent="0.25">
      <c r="A1308" s="45" t="str">
        <f>CONCATENATE(Tabla2[[#This Row],[id_solicitud]],Tabla2[[#This Row],[tipo]])</f>
        <v>275Oficio_Solicitud</v>
      </c>
      <c r="B1308" s="45">
        <f>COUNTIF($A$2:A1308,A1308)</f>
        <v>1</v>
      </c>
      <c r="C1308" s="45" t="str">
        <f>Tabla2[[#This Row],[(id_solicitud-tipo_documento)]]&amp;B1308</f>
        <v>275Oficio_Solicitud1</v>
      </c>
      <c r="D1308" s="45">
        <v>1310</v>
      </c>
      <c r="E1308" s="45">
        <v>275</v>
      </c>
      <c r="F1308" s="45" t="s">
        <v>53</v>
      </c>
      <c r="G1308" s="45" t="s">
        <v>60</v>
      </c>
      <c r="H1308" s="50" t="s">
        <v>26</v>
      </c>
      <c r="I1308" s="51">
        <v>6134</v>
      </c>
      <c r="J1308" s="80"/>
      <c r="K13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6134 DV</v>
      </c>
      <c r="L1308" s="48">
        <v>44735</v>
      </c>
      <c r="M1308" s="48">
        <v>44736</v>
      </c>
      <c r="N1308" s="49" t="s">
        <v>297</v>
      </c>
      <c r="O1308" s="45">
        <v>2</v>
      </c>
      <c r="P1308" s="80" t="s">
        <v>494</v>
      </c>
      <c r="Q1308" s="48">
        <v>44736</v>
      </c>
      <c r="R1308" s="45"/>
      <c r="S1308" s="114"/>
      <c r="T1308" s="52"/>
      <c r="U1308" s="48"/>
      <c r="V1308" s="48"/>
      <c r="W1308" s="27"/>
    </row>
    <row r="1309" spans="1:23" ht="60" hidden="1" customHeight="1" x14ac:dyDescent="0.25">
      <c r="A1309" s="45" t="str">
        <f>CONCATENATE(Tabla2[[#This Row],[id_solicitud]],Tabla2[[#This Row],[tipo]])</f>
        <v>325Oficio_Solicitud</v>
      </c>
      <c r="B1309" s="45">
        <f>COUNTIF($A$2:A1309,A1309)</f>
        <v>1</v>
      </c>
      <c r="C1309" s="45" t="str">
        <f>Tabla2[[#This Row],[(id_solicitud-tipo_documento)]]&amp;B1309</f>
        <v>325Oficio_Solicitud1</v>
      </c>
      <c r="D1309" s="45">
        <v>1311</v>
      </c>
      <c r="E1309" s="45">
        <v>325</v>
      </c>
      <c r="F1309" s="45" t="s">
        <v>53</v>
      </c>
      <c r="G1309" s="45" t="s">
        <v>44</v>
      </c>
      <c r="H1309" s="50" t="s">
        <v>26</v>
      </c>
      <c r="I1309" s="51">
        <v>6574</v>
      </c>
      <c r="J1309" s="80"/>
      <c r="K13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6574 DV</v>
      </c>
      <c r="L1309" s="48">
        <v>44747</v>
      </c>
      <c r="M1309" s="48">
        <v>44747</v>
      </c>
      <c r="N1309" s="49" t="s">
        <v>335</v>
      </c>
      <c r="O1309" s="45"/>
      <c r="P1309" s="80" t="s">
        <v>500</v>
      </c>
      <c r="Q1309" s="48"/>
      <c r="R1309" s="45"/>
      <c r="S1309" s="114"/>
      <c r="T1309" s="52"/>
      <c r="U1309" s="48"/>
      <c r="V1309" s="48"/>
      <c r="W1309" s="27"/>
    </row>
    <row r="1310" spans="1:23" ht="60" hidden="1" customHeight="1" x14ac:dyDescent="0.25">
      <c r="A1310" s="45" t="str">
        <f>CONCATENATE(Tabla2[[#This Row],[id_solicitud]],Tabla2[[#This Row],[tipo]])</f>
        <v>335Oficio_Solicitud</v>
      </c>
      <c r="B1310" s="45">
        <f>COUNTIF($A$2:A1310,A1310)</f>
        <v>1</v>
      </c>
      <c r="C1310" s="45" t="str">
        <f>Tabla2[[#This Row],[(id_solicitud-tipo_documento)]]&amp;B1310</f>
        <v>335Oficio_Solicitud1</v>
      </c>
      <c r="D1310" s="45">
        <v>1312</v>
      </c>
      <c r="E1310" s="45">
        <v>335</v>
      </c>
      <c r="F1310" s="45" t="s">
        <v>53</v>
      </c>
      <c r="G1310" s="45" t="s">
        <v>44</v>
      </c>
      <c r="H1310" s="50" t="s">
        <v>26</v>
      </c>
      <c r="I1310" s="51">
        <v>6669</v>
      </c>
      <c r="J1310" s="80"/>
      <c r="K13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6669 DV</v>
      </c>
      <c r="L1310" s="48">
        <v>44750</v>
      </c>
      <c r="M1310" s="48">
        <v>44750</v>
      </c>
      <c r="N1310" s="49" t="s">
        <v>345</v>
      </c>
      <c r="O1310" s="45"/>
      <c r="P1310" s="80" t="s">
        <v>500</v>
      </c>
      <c r="Q1310" s="48">
        <v>44781</v>
      </c>
      <c r="R1310" s="45"/>
      <c r="S1310" s="114"/>
      <c r="T1310" s="52"/>
      <c r="U1310" s="48"/>
      <c r="V1310" s="48"/>
      <c r="W1310" s="27"/>
    </row>
    <row r="1311" spans="1:23" ht="60" hidden="1" customHeight="1" x14ac:dyDescent="0.25">
      <c r="A1311" s="45" t="str">
        <f>CONCATENATE(Tabla2[[#This Row],[id_solicitud]],Tabla2[[#This Row],[tipo]])</f>
        <v>300Oficio_Solicitud</v>
      </c>
      <c r="B1311" s="45">
        <f>COUNTIF($A$2:A1311,A1311)</f>
        <v>1</v>
      </c>
      <c r="C1311" s="45" t="str">
        <f>Tabla2[[#This Row],[(id_solicitud-tipo_documento)]]&amp;B1311</f>
        <v>300Oficio_Solicitud1</v>
      </c>
      <c r="D1311" s="45">
        <v>1313</v>
      </c>
      <c r="E1311" s="45">
        <v>300</v>
      </c>
      <c r="F1311" s="45" t="s">
        <v>53</v>
      </c>
      <c r="G1311" s="45" t="s">
        <v>60</v>
      </c>
      <c r="H1311" s="50" t="s">
        <v>26</v>
      </c>
      <c r="I1311" s="51">
        <v>6850</v>
      </c>
      <c r="J1311" s="80"/>
      <c r="K13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6850 DV</v>
      </c>
      <c r="L1311" s="48">
        <v>44756</v>
      </c>
      <c r="M1311" s="48">
        <v>44756</v>
      </c>
      <c r="N1311" s="49" t="s">
        <v>313</v>
      </c>
      <c r="O1311" s="45">
        <v>3</v>
      </c>
      <c r="P1311" s="80" t="s">
        <v>494</v>
      </c>
      <c r="Q1311" s="48">
        <v>44756</v>
      </c>
      <c r="R1311" s="45"/>
      <c r="S1311" s="114"/>
      <c r="T1311" s="52"/>
      <c r="U1311" s="48"/>
      <c r="V1311" s="48"/>
      <c r="W1311" s="27"/>
    </row>
    <row r="1312" spans="1:23" ht="60" hidden="1" customHeight="1" x14ac:dyDescent="0.25">
      <c r="A1312" s="45" t="str">
        <f>CONCATENATE(Tabla2[[#This Row],[id_solicitud]],Tabla2[[#This Row],[tipo]])</f>
        <v>292Oficio_Solicitud</v>
      </c>
      <c r="B1312" s="45">
        <f>COUNTIF($A$2:A1312,A1312)</f>
        <v>1</v>
      </c>
      <c r="C1312" s="45" t="str">
        <f>Tabla2[[#This Row],[(id_solicitud-tipo_documento)]]&amp;B1312</f>
        <v>292Oficio_Solicitud1</v>
      </c>
      <c r="D1312" s="45">
        <v>1314</v>
      </c>
      <c r="E1312" s="45">
        <v>292</v>
      </c>
      <c r="F1312" s="45" t="s">
        <v>53</v>
      </c>
      <c r="G1312" s="45" t="s">
        <v>1258</v>
      </c>
      <c r="H1312" s="50" t="s">
        <v>26</v>
      </c>
      <c r="I1312" s="51">
        <v>6877</v>
      </c>
      <c r="J1312" s="80"/>
      <c r="K13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6877 DV</v>
      </c>
      <c r="L1312" s="48">
        <v>44756</v>
      </c>
      <c r="M1312" s="48">
        <v>44757</v>
      </c>
      <c r="N1312" s="49" t="s">
        <v>309</v>
      </c>
      <c r="O1312" s="45">
        <v>26</v>
      </c>
      <c r="P1312" s="80" t="s">
        <v>494</v>
      </c>
      <c r="Q1312" s="48">
        <v>44757</v>
      </c>
      <c r="R1312" s="45"/>
      <c r="S1312" s="114"/>
      <c r="T1312" s="52"/>
      <c r="U1312" s="48"/>
      <c r="V1312" s="48"/>
      <c r="W1312" s="27"/>
    </row>
    <row r="1313" spans="1:23" ht="60" hidden="1" customHeight="1" x14ac:dyDescent="0.25">
      <c r="A1313" s="45" t="str">
        <f>CONCATENATE(Tabla2[[#This Row],[id_solicitud]],Tabla2[[#This Row],[tipo]])</f>
        <v>293Oficio_Solicitud</v>
      </c>
      <c r="B1313" s="45">
        <f>COUNTIF($A$2:A1313,A1313)</f>
        <v>1</v>
      </c>
      <c r="C1313" s="45" t="str">
        <f>Tabla2[[#This Row],[(id_solicitud-tipo_documento)]]&amp;B1313</f>
        <v>293Oficio_Solicitud1</v>
      </c>
      <c r="D1313" s="45">
        <v>1315</v>
      </c>
      <c r="E1313" s="45">
        <v>293</v>
      </c>
      <c r="F1313" s="45" t="s">
        <v>53</v>
      </c>
      <c r="G1313" s="45" t="s">
        <v>1258</v>
      </c>
      <c r="H1313" s="50" t="s">
        <v>538</v>
      </c>
      <c r="I1313" s="51">
        <v>6877</v>
      </c>
      <c r="J1313" s="80"/>
      <c r="K13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6877 DV_FETCovid19</v>
      </c>
      <c r="L1313" s="48">
        <v>44756</v>
      </c>
      <c r="M1313" s="48">
        <v>44757</v>
      </c>
      <c r="N1313" s="49" t="s">
        <v>310</v>
      </c>
      <c r="O1313" s="45">
        <v>6</v>
      </c>
      <c r="P1313" s="80" t="s">
        <v>494</v>
      </c>
      <c r="Q1313" s="48">
        <v>44757</v>
      </c>
      <c r="R1313" s="45"/>
      <c r="S1313" s="114"/>
      <c r="T1313" s="52"/>
      <c r="U1313" s="48"/>
      <c r="V1313" s="48"/>
      <c r="W1313" s="27"/>
    </row>
    <row r="1314" spans="1:23" ht="60" hidden="1" customHeight="1" x14ac:dyDescent="0.25">
      <c r="A1314" s="45" t="str">
        <f>CONCATENATE(Tabla2[[#This Row],[id_solicitud]],Tabla2[[#This Row],[tipo]])</f>
        <v>386Oficio_Solicitud</v>
      </c>
      <c r="B1314" s="45">
        <f>COUNTIF($A$2:A1314,A1314)</f>
        <v>1</v>
      </c>
      <c r="C1314" s="45" t="str">
        <f>Tabla2[[#This Row],[(id_solicitud-tipo_documento)]]&amp;B1314</f>
        <v>386Oficio_Solicitud1</v>
      </c>
      <c r="D1314" s="45">
        <v>1316</v>
      </c>
      <c r="E1314" s="45">
        <v>386</v>
      </c>
      <c r="F1314" s="45" t="s">
        <v>53</v>
      </c>
      <c r="G1314" s="45"/>
      <c r="H1314" s="50" t="s">
        <v>26</v>
      </c>
      <c r="I1314" s="51">
        <v>6928</v>
      </c>
      <c r="J1314" s="80"/>
      <c r="K13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6928 DV</v>
      </c>
      <c r="L1314" s="48">
        <v>44757</v>
      </c>
      <c r="M1314" s="48">
        <v>44757</v>
      </c>
      <c r="N1314" s="49" t="s">
        <v>1017</v>
      </c>
      <c r="O1314" s="45"/>
      <c r="P1314" s="80" t="s">
        <v>1018</v>
      </c>
      <c r="Q1314" s="48"/>
      <c r="R1314" s="45"/>
      <c r="S1314" s="114"/>
      <c r="T1314" s="52"/>
      <c r="U1314" s="48"/>
      <c r="V1314" s="48"/>
      <c r="W1314" s="27"/>
    </row>
    <row r="1315" spans="1:23" ht="60" hidden="1" customHeight="1" x14ac:dyDescent="0.25">
      <c r="A1315" s="45" t="str">
        <f>CONCATENATE(Tabla2[[#This Row],[id_solicitud]],Tabla2[[#This Row],[tipo]])</f>
        <v>412Oficio_Solicitud</v>
      </c>
      <c r="B1315" s="45">
        <f>COUNTIF($A$2:A1315,A1315)</f>
        <v>1</v>
      </c>
      <c r="C1315" s="45" t="str">
        <f>Tabla2[[#This Row],[(id_solicitud-tipo_documento)]]&amp;B1315</f>
        <v>412Oficio_Solicitud1</v>
      </c>
      <c r="D1315" s="45">
        <v>1317</v>
      </c>
      <c r="E1315" s="45">
        <v>412</v>
      </c>
      <c r="F1315" s="45" t="s">
        <v>53</v>
      </c>
      <c r="G1315" s="45"/>
      <c r="H1315" s="50" t="s">
        <v>26</v>
      </c>
      <c r="I1315" s="51">
        <v>7130</v>
      </c>
      <c r="J1315" s="80"/>
      <c r="K13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7130 DV</v>
      </c>
      <c r="L1315" s="48">
        <v>44764</v>
      </c>
      <c r="M1315" s="48">
        <v>44764</v>
      </c>
      <c r="N1315" s="49" t="s">
        <v>399</v>
      </c>
      <c r="O1315" s="45"/>
      <c r="P1315" s="80" t="s">
        <v>497</v>
      </c>
      <c r="Q1315" s="48"/>
      <c r="R1315" s="45"/>
      <c r="S1315" s="114"/>
      <c r="T1315" s="52"/>
      <c r="U1315" s="48"/>
      <c r="V1315" s="48"/>
      <c r="W1315" s="27"/>
    </row>
    <row r="1316" spans="1:23" ht="60" hidden="1" customHeight="1" x14ac:dyDescent="0.25">
      <c r="A1316" s="45" t="str">
        <f>CONCATENATE(Tabla2[[#This Row],[id_solicitud]],Tabla2[[#This Row],[tipo]])</f>
        <v>386Proposicion</v>
      </c>
      <c r="B1316" s="45">
        <f>COUNTIF($A$2:A1316,A1316)</f>
        <v>1</v>
      </c>
      <c r="C1316" s="45" t="str">
        <f>Tabla2[[#This Row],[(id_solicitud-tipo_documento)]]&amp;B1316</f>
        <v>386Proposicion1</v>
      </c>
      <c r="D1316" s="45">
        <v>1318</v>
      </c>
      <c r="E1316" s="45">
        <v>386</v>
      </c>
      <c r="F1316" s="45" t="s">
        <v>46</v>
      </c>
      <c r="G1316" s="45"/>
      <c r="H1316" s="50" t="s">
        <v>26</v>
      </c>
      <c r="I1316" s="51">
        <v>566</v>
      </c>
      <c r="J1316" s="80"/>
      <c r="K13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566 DV</v>
      </c>
      <c r="L1316" s="48">
        <v>44798</v>
      </c>
      <c r="M1316" s="48">
        <v>44798</v>
      </c>
      <c r="N1316" s="49" t="s">
        <v>383</v>
      </c>
      <c r="O1316" s="45"/>
      <c r="P1316" s="80" t="s">
        <v>1019</v>
      </c>
      <c r="Q1316" s="24"/>
      <c r="R1316" s="24" t="s">
        <v>12</v>
      </c>
      <c r="S1316" s="114"/>
      <c r="T1316" s="45"/>
      <c r="U1316" s="48"/>
      <c r="V1316" s="48"/>
      <c r="W1316" s="27"/>
    </row>
    <row r="1317" spans="1:23" ht="60" hidden="1" customHeight="1" x14ac:dyDescent="0.25">
      <c r="A1317" s="45" t="str">
        <f>CONCATENATE(Tabla2[[#This Row],[id_solicitud]],Tabla2[[#This Row],[tipo]])</f>
        <v>312Oficio_Solicitud</v>
      </c>
      <c r="B1317" s="45">
        <f>COUNTIF($A$2:A1317,A1317)</f>
        <v>1</v>
      </c>
      <c r="C1317" s="45" t="str">
        <f>Tabla2[[#This Row],[(id_solicitud-tipo_documento)]]&amp;B1317</f>
        <v>312Oficio_Solicitud1</v>
      </c>
      <c r="D1317" s="45">
        <v>1319</v>
      </c>
      <c r="E1317" s="45">
        <v>312</v>
      </c>
      <c r="F1317" s="45" t="s">
        <v>53</v>
      </c>
      <c r="G1317" s="45" t="s">
        <v>40</v>
      </c>
      <c r="H1317" s="50" t="s">
        <v>26</v>
      </c>
      <c r="I1317" s="51">
        <v>7209</v>
      </c>
      <c r="J1317" s="80"/>
      <c r="K13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7209 DV</v>
      </c>
      <c r="L1317" s="48">
        <v>44768</v>
      </c>
      <c r="M1317" s="48">
        <v>44769</v>
      </c>
      <c r="N1317" s="49" t="s">
        <v>324</v>
      </c>
      <c r="O1317" s="45"/>
      <c r="P1317" s="80" t="s">
        <v>501</v>
      </c>
      <c r="Q1317" s="48">
        <v>44769</v>
      </c>
      <c r="R1317" s="45"/>
      <c r="S1317" s="114"/>
      <c r="T1317" s="52"/>
      <c r="U1317" s="48"/>
      <c r="V1317" s="48"/>
      <c r="W1317" s="27"/>
    </row>
    <row r="1318" spans="1:23" ht="60" hidden="1" customHeight="1" x14ac:dyDescent="0.25">
      <c r="A1318" s="45" t="str">
        <f>CONCATENATE(Tabla2[[#This Row],[id_solicitud]],Tabla2[[#This Row],[tipo]])</f>
        <v>364Oficio_Solicitud</v>
      </c>
      <c r="B1318" s="45">
        <f>COUNTIF($A$2:A1318,A1318)</f>
        <v>1</v>
      </c>
      <c r="C1318" s="45" t="str">
        <f>Tabla2[[#This Row],[(id_solicitud-tipo_documento)]]&amp;B1318</f>
        <v>364Oficio_Solicitud1</v>
      </c>
      <c r="D1318" s="45">
        <v>1320</v>
      </c>
      <c r="E1318" s="45">
        <v>364</v>
      </c>
      <c r="F1318" s="45" t="s">
        <v>53</v>
      </c>
      <c r="G1318" s="45" t="s">
        <v>66</v>
      </c>
      <c r="H1318" s="50" t="s">
        <v>597</v>
      </c>
      <c r="I1318" s="51">
        <v>7381</v>
      </c>
      <c r="J1318" s="80"/>
      <c r="K13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7381 DV-APR</v>
      </c>
      <c r="L1318" s="48">
        <v>44771</v>
      </c>
      <c r="M1318" s="48">
        <v>44771</v>
      </c>
      <c r="N1318" s="49" t="s">
        <v>367</v>
      </c>
      <c r="O1318" s="45"/>
      <c r="P1318" s="80" t="s">
        <v>497</v>
      </c>
      <c r="Q1318" s="48"/>
      <c r="R1318" s="45"/>
      <c r="S1318" s="114"/>
      <c r="T1318" s="52"/>
      <c r="U1318" s="48"/>
      <c r="V1318" s="48"/>
      <c r="W1318" s="27"/>
    </row>
    <row r="1319" spans="1:23" ht="60" hidden="1" customHeight="1" x14ac:dyDescent="0.25">
      <c r="A1319" s="45" t="str">
        <f>CONCATENATE(Tabla2[[#This Row],[id_solicitud]],Tabla2[[#This Row],[tipo]])</f>
        <v>328Oficio_Solicitud</v>
      </c>
      <c r="B1319" s="45">
        <f>COUNTIF($A$2:A1319,A1319)</f>
        <v>1</v>
      </c>
      <c r="C1319" s="45" t="str">
        <f>Tabla2[[#This Row],[(id_solicitud-tipo_documento)]]&amp;B1319</f>
        <v>328Oficio_Solicitud1</v>
      </c>
      <c r="D1319" s="45">
        <v>1321</v>
      </c>
      <c r="E1319" s="45">
        <v>328</v>
      </c>
      <c r="F1319" s="45" t="s">
        <v>53</v>
      </c>
      <c r="G1319" s="45" t="s">
        <v>1258</v>
      </c>
      <c r="H1319" s="50" t="s">
        <v>26</v>
      </c>
      <c r="I1319" s="51">
        <v>7613</v>
      </c>
      <c r="J1319" s="80"/>
      <c r="K13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7613 DV</v>
      </c>
      <c r="L1319" s="48">
        <v>44777</v>
      </c>
      <c r="M1319" s="48">
        <v>44778</v>
      </c>
      <c r="N1319" s="49" t="s">
        <v>338</v>
      </c>
      <c r="O1319" s="45">
        <v>12</v>
      </c>
      <c r="P1319" s="80" t="s">
        <v>494</v>
      </c>
      <c r="Q1319" s="48">
        <v>44783</v>
      </c>
      <c r="R1319" s="45"/>
      <c r="S1319" s="114"/>
      <c r="T1319" s="52"/>
      <c r="U1319" s="48"/>
      <c r="V1319" s="48"/>
      <c r="W1319" s="27"/>
    </row>
    <row r="1320" spans="1:23" ht="60" hidden="1" customHeight="1" x14ac:dyDescent="0.25">
      <c r="A1320" s="45" t="str">
        <f>CONCATENATE(Tabla2[[#This Row],[id_solicitud]],Tabla2[[#This Row],[tipo]])</f>
        <v>329Oficio_Solicitud</v>
      </c>
      <c r="B1320" s="45">
        <f>COUNTIF($A$2:A1320,A1320)</f>
        <v>1</v>
      </c>
      <c r="C1320" s="45" t="str">
        <f>Tabla2[[#This Row],[(id_solicitud-tipo_documento)]]&amp;B1320</f>
        <v>329Oficio_Solicitud1</v>
      </c>
      <c r="D1320" s="45">
        <v>1322</v>
      </c>
      <c r="E1320" s="45">
        <v>329</v>
      </c>
      <c r="F1320" s="45" t="s">
        <v>53</v>
      </c>
      <c r="G1320" s="45" t="s">
        <v>1258</v>
      </c>
      <c r="H1320" s="50" t="s">
        <v>538</v>
      </c>
      <c r="I1320" s="51">
        <v>7613</v>
      </c>
      <c r="J1320" s="80"/>
      <c r="K13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7613 DV_FETCovid19</v>
      </c>
      <c r="L1320" s="48">
        <v>44777</v>
      </c>
      <c r="M1320" s="48">
        <v>44778</v>
      </c>
      <c r="N1320" s="49" t="s">
        <v>339</v>
      </c>
      <c r="O1320" s="45">
        <v>2</v>
      </c>
      <c r="P1320" s="80" t="s">
        <v>494</v>
      </c>
      <c r="Q1320" s="48">
        <v>44783</v>
      </c>
      <c r="R1320" s="45"/>
      <c r="S1320" s="114"/>
      <c r="T1320" s="52"/>
      <c r="U1320" s="48"/>
      <c r="V1320" s="48"/>
      <c r="W1320" s="27"/>
    </row>
    <row r="1321" spans="1:23" ht="60" hidden="1" customHeight="1" x14ac:dyDescent="0.25">
      <c r="A1321" s="45" t="str">
        <f>CONCATENATE(Tabla2[[#This Row],[id_solicitud]],Tabla2[[#This Row],[tipo]])</f>
        <v>333Oficio_Solicitud</v>
      </c>
      <c r="B1321" s="45">
        <f>COUNTIF($A$2:A1321,A1321)</f>
        <v>1</v>
      </c>
      <c r="C1321" s="45" t="str">
        <f>Tabla2[[#This Row],[(id_solicitud-tipo_documento)]]&amp;B1321</f>
        <v>333Oficio_Solicitud1</v>
      </c>
      <c r="D1321" s="45">
        <v>1323</v>
      </c>
      <c r="E1321" s="45">
        <v>333</v>
      </c>
      <c r="F1321" s="45" t="s">
        <v>53</v>
      </c>
      <c r="G1321" s="45" t="s">
        <v>60</v>
      </c>
      <c r="H1321" s="50" t="s">
        <v>26</v>
      </c>
      <c r="I1321" s="51">
        <v>7638</v>
      </c>
      <c r="J1321" s="80"/>
      <c r="K13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7638 DV</v>
      </c>
      <c r="L1321" s="48">
        <v>44778</v>
      </c>
      <c r="M1321" s="48">
        <v>44781</v>
      </c>
      <c r="N1321" s="49" t="s">
        <v>343</v>
      </c>
      <c r="O1321" s="45">
        <f>67+202</f>
        <v>269</v>
      </c>
      <c r="P1321" s="80" t="s">
        <v>494</v>
      </c>
      <c r="Q1321" s="48">
        <v>44795</v>
      </c>
      <c r="R1321" s="45"/>
      <c r="S1321" s="114"/>
      <c r="T1321" s="52"/>
      <c r="U1321" s="48"/>
      <c r="V1321" s="48"/>
      <c r="W1321" s="27"/>
    </row>
    <row r="1322" spans="1:23" ht="60" hidden="1" customHeight="1" x14ac:dyDescent="0.25">
      <c r="A1322" s="45" t="str">
        <f>CONCATENATE(Tabla2[[#This Row],[id_solicitud]],Tabla2[[#This Row],[tipo]])</f>
        <v>334Oficio_Solicitud</v>
      </c>
      <c r="B1322" s="45">
        <f>COUNTIF($A$2:A1322,A1322)</f>
        <v>1</v>
      </c>
      <c r="C1322" s="45" t="str">
        <f>Tabla2[[#This Row],[(id_solicitud-tipo_documento)]]&amp;B1322</f>
        <v>334Oficio_Solicitud1</v>
      </c>
      <c r="D1322" s="45">
        <v>1324</v>
      </c>
      <c r="E1322" s="45">
        <v>334</v>
      </c>
      <c r="F1322" s="45" t="s">
        <v>53</v>
      </c>
      <c r="G1322" s="45" t="s">
        <v>60</v>
      </c>
      <c r="H1322" s="50" t="s">
        <v>538</v>
      </c>
      <c r="I1322" s="51">
        <v>7638</v>
      </c>
      <c r="J1322" s="80"/>
      <c r="K13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7638 DV_FETCovid19</v>
      </c>
      <c r="L1322" s="48">
        <v>44778</v>
      </c>
      <c r="M1322" s="48">
        <v>44781</v>
      </c>
      <c r="N1322" s="49" t="s">
        <v>344</v>
      </c>
      <c r="O1322" s="45">
        <v>31</v>
      </c>
      <c r="P1322" s="80" t="s">
        <v>494</v>
      </c>
      <c r="Q1322" s="48">
        <v>44795</v>
      </c>
      <c r="R1322" s="45"/>
      <c r="S1322" s="114"/>
      <c r="T1322" s="52"/>
      <c r="U1322" s="48"/>
      <c r="V1322" s="48"/>
      <c r="W1322" s="27"/>
    </row>
    <row r="1323" spans="1:23" ht="60" hidden="1" customHeight="1" x14ac:dyDescent="0.25">
      <c r="A1323" s="45" t="str">
        <f>CONCATENATE(Tabla2[[#This Row],[id_solicitud]],Tabla2[[#This Row],[tipo]])</f>
        <v>462Proposicion</v>
      </c>
      <c r="B1323" s="45">
        <f>COUNTIF($A$2:A1323,A1323)</f>
        <v>1</v>
      </c>
      <c r="C1323" s="45" t="str">
        <f>Tabla2[[#This Row],[(id_solicitud-tipo_documento)]]&amp;B1323</f>
        <v>462Proposicion1</v>
      </c>
      <c r="D1323" s="45">
        <v>1325</v>
      </c>
      <c r="E1323" s="45">
        <v>462</v>
      </c>
      <c r="F1323" s="45" t="s">
        <v>46</v>
      </c>
      <c r="G1323" s="45" t="s">
        <v>60</v>
      </c>
      <c r="H1323" s="50" t="s">
        <v>26</v>
      </c>
      <c r="I1323" s="51">
        <v>582</v>
      </c>
      <c r="J1323" s="80"/>
      <c r="K13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582 DV</v>
      </c>
      <c r="L1323" s="48">
        <v>44799</v>
      </c>
      <c r="M1323" s="48">
        <v>44802</v>
      </c>
      <c r="N1323" s="49" t="s">
        <v>725</v>
      </c>
      <c r="O1323" s="45">
        <f>67+202</f>
        <v>269</v>
      </c>
      <c r="P1323" s="80" t="s">
        <v>494</v>
      </c>
      <c r="Q1323" s="24"/>
      <c r="R1323" s="24" t="s">
        <v>24</v>
      </c>
      <c r="S1323" s="114"/>
      <c r="T1323" s="45"/>
      <c r="U1323" s="48"/>
      <c r="V1323" s="48"/>
      <c r="W1323" s="27"/>
    </row>
    <row r="1324" spans="1:23" ht="60" hidden="1" customHeight="1" x14ac:dyDescent="0.25">
      <c r="A1324" s="45" t="str">
        <f>CONCATENATE(Tabla2[[#This Row],[id_solicitud]],Tabla2[[#This Row],[tipo]])</f>
        <v>461Resolucion</v>
      </c>
      <c r="B1324" s="45">
        <f>COUNTIF($A$2:A1324,A1324)</f>
        <v>1</v>
      </c>
      <c r="C1324" s="45" t="str">
        <f>Tabla2[[#This Row],[(id_solicitud-tipo_documento)]]&amp;B1324</f>
        <v>461Resolucion1</v>
      </c>
      <c r="D1324" s="45">
        <v>1326</v>
      </c>
      <c r="E1324" s="45">
        <v>461</v>
      </c>
      <c r="F1324" s="45" t="s">
        <v>48</v>
      </c>
      <c r="G1324" s="45"/>
      <c r="H1324" s="50" t="s">
        <v>26</v>
      </c>
      <c r="I1324" s="51">
        <v>2923</v>
      </c>
      <c r="J1324" s="80"/>
      <c r="K13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24" s="48">
        <v>44859</v>
      </c>
      <c r="M1324" s="48"/>
      <c r="N1324" s="49"/>
      <c r="O1324" s="45"/>
      <c r="P1324" s="80"/>
      <c r="Q1324" s="48"/>
      <c r="R1324" s="45"/>
      <c r="S1324" s="114"/>
      <c r="T1324" s="45"/>
      <c r="U1324" s="48"/>
      <c r="V1324" s="48"/>
      <c r="W1324" s="27"/>
    </row>
    <row r="1325" spans="1:23" ht="60" hidden="1" customHeight="1" x14ac:dyDescent="0.25">
      <c r="A1325" s="45" t="str">
        <f>CONCATENATE(Tabla2[[#This Row],[id_solicitud]],Tabla2[[#This Row],[tipo]])</f>
        <v>345Oficio_Solicitud</v>
      </c>
      <c r="B1325" s="45">
        <f>COUNTIF($A$2:A1325,A1325)</f>
        <v>1</v>
      </c>
      <c r="C1325" s="45" t="str">
        <f>Tabla2[[#This Row],[(id_solicitud-tipo_documento)]]&amp;B1325</f>
        <v>345Oficio_Solicitud1</v>
      </c>
      <c r="D1325" s="45">
        <v>1327</v>
      </c>
      <c r="E1325" s="45">
        <v>345</v>
      </c>
      <c r="F1325" s="45" t="s">
        <v>53</v>
      </c>
      <c r="G1325" s="45" t="s">
        <v>1260</v>
      </c>
      <c r="H1325" s="50" t="s">
        <v>26</v>
      </c>
      <c r="I1325" s="51">
        <v>7731</v>
      </c>
      <c r="J1325" s="80"/>
      <c r="K13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7731 DV</v>
      </c>
      <c r="L1325" s="48">
        <v>44781</v>
      </c>
      <c r="M1325" s="48">
        <v>44783</v>
      </c>
      <c r="N1325" s="49" t="s">
        <v>350</v>
      </c>
      <c r="O1325" s="45"/>
      <c r="P1325" s="80" t="s">
        <v>500</v>
      </c>
      <c r="Q1325" s="48">
        <v>44783</v>
      </c>
      <c r="R1325" s="45"/>
      <c r="S1325" s="114"/>
      <c r="T1325" s="52"/>
      <c r="U1325" s="48"/>
      <c r="V1325" s="48"/>
      <c r="W1325" s="27"/>
    </row>
    <row r="1326" spans="1:23" ht="60" hidden="1" customHeight="1" x14ac:dyDescent="0.25">
      <c r="A1326" s="45" t="str">
        <f>CONCATENATE(Tabla2[[#This Row],[id_solicitud]],Tabla2[[#This Row],[tipo]])</f>
        <v>356Oficio_Solicitud</v>
      </c>
      <c r="B1326" s="45">
        <f>COUNTIF($A$2:A1326,A1326)</f>
        <v>1</v>
      </c>
      <c r="C1326" s="45" t="str">
        <f>Tabla2[[#This Row],[(id_solicitud-tipo_documento)]]&amp;B1326</f>
        <v>356Oficio_Solicitud1</v>
      </c>
      <c r="D1326" s="45">
        <v>1328</v>
      </c>
      <c r="E1326" s="45">
        <v>356</v>
      </c>
      <c r="F1326" s="45" t="s">
        <v>53</v>
      </c>
      <c r="G1326" s="45" t="s">
        <v>60</v>
      </c>
      <c r="H1326" s="50" t="s">
        <v>26</v>
      </c>
      <c r="I1326" s="51">
        <v>7868</v>
      </c>
      <c r="J1326" s="80"/>
      <c r="K13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7868 DV</v>
      </c>
      <c r="L1326" s="48">
        <v>44783</v>
      </c>
      <c r="M1326" s="48">
        <v>44784</v>
      </c>
      <c r="N1326" s="49" t="s">
        <v>360</v>
      </c>
      <c r="O1326" s="45">
        <v>1</v>
      </c>
      <c r="P1326" s="80" t="s">
        <v>494</v>
      </c>
      <c r="Q1326" s="48">
        <v>44799</v>
      </c>
      <c r="R1326" s="45"/>
      <c r="S1326" s="114"/>
      <c r="T1326" s="52"/>
      <c r="U1326" s="48"/>
      <c r="V1326" s="48"/>
      <c r="W1326" s="27"/>
    </row>
    <row r="1327" spans="1:23" ht="60" hidden="1" customHeight="1" x14ac:dyDescent="0.25">
      <c r="A1327" s="45" t="str">
        <f>CONCATENATE(Tabla2[[#This Row],[id_solicitud]],Tabla2[[#This Row],[tipo]])</f>
        <v>383Oficio_Solicitud</v>
      </c>
      <c r="B1327" s="45">
        <f>COUNTIF($A$2:A1327,A1327)</f>
        <v>1</v>
      </c>
      <c r="C1327" s="45" t="str">
        <f>Tabla2[[#This Row],[(id_solicitud-tipo_documento)]]&amp;B1327</f>
        <v>383Oficio_Solicitud1</v>
      </c>
      <c r="D1327" s="45">
        <v>1329</v>
      </c>
      <c r="E1327" s="45">
        <v>383</v>
      </c>
      <c r="F1327" s="45" t="s">
        <v>53</v>
      </c>
      <c r="G1327" s="45" t="s">
        <v>60</v>
      </c>
      <c r="H1327" s="50" t="s">
        <v>26</v>
      </c>
      <c r="I1327" s="51">
        <v>8260</v>
      </c>
      <c r="J1327" s="80"/>
      <c r="K13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8260 DV</v>
      </c>
      <c r="L1327" s="48">
        <v>44797</v>
      </c>
      <c r="M1327" s="48">
        <v>44798</v>
      </c>
      <c r="N1327" s="49" t="s">
        <v>380</v>
      </c>
      <c r="O1327" s="45">
        <v>45</v>
      </c>
      <c r="P1327" s="80" t="s">
        <v>494</v>
      </c>
      <c r="Q1327" s="48">
        <v>44813</v>
      </c>
      <c r="R1327" s="45"/>
      <c r="S1327" s="114"/>
      <c r="T1327" s="52"/>
      <c r="U1327" s="48"/>
      <c r="V1327" s="48"/>
      <c r="W1327" s="27"/>
    </row>
    <row r="1328" spans="1:23" ht="60" hidden="1" customHeight="1" x14ac:dyDescent="0.25">
      <c r="A1328" s="45" t="str">
        <f>CONCATENATE(Tabla2[[#This Row],[id_solicitud]],Tabla2[[#This Row],[tipo]])</f>
        <v>384Oficio_Solicitud</v>
      </c>
      <c r="B1328" s="45">
        <f>COUNTIF($A$2:A1328,A1328)</f>
        <v>1</v>
      </c>
      <c r="C1328" s="45" t="str">
        <f>Tabla2[[#This Row],[(id_solicitud-tipo_documento)]]&amp;B1328</f>
        <v>384Oficio_Solicitud1</v>
      </c>
      <c r="D1328" s="45">
        <v>1330</v>
      </c>
      <c r="E1328" s="45">
        <v>384</v>
      </c>
      <c r="F1328" s="45" t="s">
        <v>53</v>
      </c>
      <c r="G1328" s="45" t="s">
        <v>60</v>
      </c>
      <c r="H1328" s="50" t="s">
        <v>538</v>
      </c>
      <c r="I1328" s="51">
        <v>8260</v>
      </c>
      <c r="J1328" s="80"/>
      <c r="K13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8260 DV_FETCovid19</v>
      </c>
      <c r="L1328" s="48">
        <v>44797</v>
      </c>
      <c r="M1328" s="48">
        <v>44798</v>
      </c>
      <c r="N1328" s="49" t="s">
        <v>381</v>
      </c>
      <c r="O1328" s="45">
        <v>8</v>
      </c>
      <c r="P1328" s="80" t="s">
        <v>494</v>
      </c>
      <c r="Q1328" s="48">
        <v>44813</v>
      </c>
      <c r="R1328" s="45"/>
      <c r="S1328" s="114"/>
      <c r="T1328" s="52"/>
      <c r="U1328" s="48"/>
      <c r="V1328" s="48"/>
      <c r="W1328" s="27"/>
    </row>
    <row r="1329" spans="1:23" ht="60" hidden="1" customHeight="1" x14ac:dyDescent="0.25">
      <c r="A1329" s="45" t="str">
        <f>CONCATENATE(Tabla2[[#This Row],[id_solicitud]],Tabla2[[#This Row],[tipo]])</f>
        <v>526Oficio_Solicitud</v>
      </c>
      <c r="B1329" s="45">
        <f>COUNTIF($A$2:A1329,A1329)</f>
        <v>1</v>
      </c>
      <c r="C1329" s="45" t="str">
        <f>Tabla2[[#This Row],[(id_solicitud-tipo_documento)]]&amp;B1329</f>
        <v>526Oficio_Solicitud1</v>
      </c>
      <c r="D1329" s="45">
        <v>1331</v>
      </c>
      <c r="E1329" s="45">
        <v>526</v>
      </c>
      <c r="F1329" s="45" t="s">
        <v>53</v>
      </c>
      <c r="G1329" s="45" t="s">
        <v>60</v>
      </c>
      <c r="H1329" s="50" t="s">
        <v>26</v>
      </c>
      <c r="I1329" s="51">
        <v>8260</v>
      </c>
      <c r="J1329" s="80"/>
      <c r="K13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8260 DV</v>
      </c>
      <c r="L1329" s="48">
        <v>44797</v>
      </c>
      <c r="M1329" s="48">
        <v>44798</v>
      </c>
      <c r="N1329" s="49" t="s">
        <v>381</v>
      </c>
      <c r="O1329" s="45">
        <v>4</v>
      </c>
      <c r="P1329" s="80" t="s">
        <v>494</v>
      </c>
      <c r="Q1329" s="48">
        <v>44813</v>
      </c>
      <c r="R1329" s="45"/>
      <c r="S1329" s="114"/>
      <c r="T1329" s="52"/>
      <c r="U1329" s="48"/>
      <c r="V1329" s="48"/>
      <c r="W1329" s="27"/>
    </row>
    <row r="1330" spans="1:23" ht="60" hidden="1" customHeight="1" x14ac:dyDescent="0.25">
      <c r="A1330" s="45" t="str">
        <f>CONCATENATE(Tabla2[[#This Row],[id_solicitud]],Tabla2[[#This Row],[tipo]])</f>
        <v>399Oficio_Solicitud</v>
      </c>
      <c r="B1330" s="45">
        <f>COUNTIF($A$2:A1330,A1330)</f>
        <v>1</v>
      </c>
      <c r="C1330" s="45" t="str">
        <f>Tabla2[[#This Row],[(id_solicitud-tipo_documento)]]&amp;B1330</f>
        <v>399Oficio_Solicitud1</v>
      </c>
      <c r="D1330" s="45">
        <v>1332</v>
      </c>
      <c r="E1330" s="45">
        <v>399</v>
      </c>
      <c r="F1330" s="45" t="s">
        <v>53</v>
      </c>
      <c r="G1330" s="45" t="s">
        <v>44</v>
      </c>
      <c r="H1330" s="50" t="s">
        <v>26</v>
      </c>
      <c r="I1330" s="51">
        <v>8399</v>
      </c>
      <c r="J1330" s="80"/>
      <c r="K13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8399 DV</v>
      </c>
      <c r="L1330" s="48">
        <v>44802</v>
      </c>
      <c r="M1330" s="48">
        <v>44802</v>
      </c>
      <c r="N1330" s="49" t="s">
        <v>393</v>
      </c>
      <c r="O1330" s="45"/>
      <c r="P1330" s="80" t="s">
        <v>498</v>
      </c>
      <c r="Q1330" s="48">
        <v>44802</v>
      </c>
      <c r="R1330" s="45"/>
      <c r="S1330" s="114"/>
      <c r="T1330" s="52"/>
      <c r="U1330" s="48"/>
      <c r="V1330" s="48"/>
      <c r="W1330" s="27"/>
    </row>
    <row r="1331" spans="1:23" ht="60" customHeight="1" x14ac:dyDescent="0.25">
      <c r="A1331" s="45" t="str">
        <f>CONCATENATE(Tabla2[[#This Row],[id_solicitud]],Tabla2[[#This Row],[tipo]])</f>
        <v>408Decreto</v>
      </c>
      <c r="B1331" s="45">
        <f>COUNTIF($A$2:A1331,A1331)</f>
        <v>1</v>
      </c>
      <c r="C1331" s="45" t="str">
        <f>Tabla2[[#This Row],[(id_solicitud-tipo_documento)]]&amp;B1331</f>
        <v>408Decreto1</v>
      </c>
      <c r="D1331" s="45">
        <v>1132</v>
      </c>
      <c r="E1331" s="45">
        <v>408</v>
      </c>
      <c r="F1331" s="45" t="s">
        <v>47</v>
      </c>
      <c r="G1331" s="45" t="s">
        <v>40</v>
      </c>
      <c r="H1331" s="50" t="s">
        <v>32</v>
      </c>
      <c r="I1331" s="51">
        <v>1878</v>
      </c>
      <c r="J1331" s="80"/>
      <c r="K13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1878 MOP</v>
      </c>
      <c r="L1331" s="48">
        <v>44868</v>
      </c>
      <c r="M1331" s="48"/>
      <c r="N1331" s="49" t="s">
        <v>971</v>
      </c>
      <c r="O1331" s="45"/>
      <c r="P1331" s="80"/>
      <c r="Q1331" s="48"/>
      <c r="R1331" s="45"/>
      <c r="S1331" s="115">
        <v>1036</v>
      </c>
      <c r="T1331" s="20">
        <v>44838</v>
      </c>
      <c r="U1331" s="20">
        <v>44875</v>
      </c>
      <c r="V1331" s="20">
        <v>44875</v>
      </c>
      <c r="W1331" s="27"/>
    </row>
    <row r="1332" spans="1:23" ht="60" hidden="1" customHeight="1" x14ac:dyDescent="0.25">
      <c r="A1332" s="45" t="str">
        <f>CONCATENATE(Tabla2[[#This Row],[id_solicitud]],Tabla2[[#This Row],[tipo]])</f>
        <v>399Proposicion</v>
      </c>
      <c r="B1332" s="45">
        <f>COUNTIF($A$2:A1332,A1332)</f>
        <v>1</v>
      </c>
      <c r="C1332" s="45" t="str">
        <f>Tabla2[[#This Row],[(id_solicitud-tipo_documento)]]&amp;B1332</f>
        <v>399Proposicion1</v>
      </c>
      <c r="D1332" s="45">
        <v>1334</v>
      </c>
      <c r="E1332" s="45">
        <v>399</v>
      </c>
      <c r="F1332" s="45" t="s">
        <v>46</v>
      </c>
      <c r="G1332" s="45" t="s">
        <v>44</v>
      </c>
      <c r="H1332" s="50" t="s">
        <v>26</v>
      </c>
      <c r="I1332" s="51">
        <v>8399</v>
      </c>
      <c r="J1332" s="80"/>
      <c r="K13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8399 DV</v>
      </c>
      <c r="L1332" s="48">
        <v>44802</v>
      </c>
      <c r="M1332" s="48">
        <v>44806</v>
      </c>
      <c r="N1332" s="49" t="s">
        <v>393</v>
      </c>
      <c r="O1332" s="45"/>
      <c r="P1332" s="80" t="s">
        <v>498</v>
      </c>
      <c r="Q1332" s="24"/>
      <c r="R1332" s="24" t="s">
        <v>24</v>
      </c>
      <c r="S1332" s="114"/>
      <c r="T1332" s="45"/>
      <c r="U1332" s="48"/>
      <c r="V1332" s="48"/>
      <c r="W1332" s="27"/>
    </row>
    <row r="1333" spans="1:23" ht="60" hidden="1" customHeight="1" x14ac:dyDescent="0.25">
      <c r="A1333" s="45" t="str">
        <f>CONCATENATE(Tabla2[[#This Row],[id_solicitud]],Tabla2[[#This Row],[tipo]])</f>
        <v>422Oficio_Solicitud</v>
      </c>
      <c r="B1333" s="45">
        <f>COUNTIF($A$2:A1333,A1333)</f>
        <v>1</v>
      </c>
      <c r="C1333" s="45" t="str">
        <f>Tabla2[[#This Row],[(id_solicitud-tipo_documento)]]&amp;B1333</f>
        <v>422Oficio_Solicitud1</v>
      </c>
      <c r="D1333" s="45">
        <v>1335</v>
      </c>
      <c r="E1333" s="45">
        <v>422</v>
      </c>
      <c r="F1333" s="45" t="s">
        <v>53</v>
      </c>
      <c r="G1333" s="45" t="s">
        <v>1258</v>
      </c>
      <c r="H1333" s="50" t="s">
        <v>26</v>
      </c>
      <c r="I1333" s="51">
        <v>8951</v>
      </c>
      <c r="J1333" s="80"/>
      <c r="K13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8951 DV</v>
      </c>
      <c r="L1333" s="48">
        <v>44818</v>
      </c>
      <c r="M1333" s="48">
        <v>44819</v>
      </c>
      <c r="N1333" s="49" t="s">
        <v>407</v>
      </c>
      <c r="O1333" s="45">
        <v>47</v>
      </c>
      <c r="P1333" s="80" t="s">
        <v>494</v>
      </c>
      <c r="Q1333" s="48">
        <v>44827</v>
      </c>
      <c r="R1333" s="45"/>
      <c r="S1333" s="114"/>
      <c r="T1333" s="52"/>
      <c r="U1333" s="48"/>
      <c r="V1333" s="48"/>
      <c r="W1333" s="27"/>
    </row>
    <row r="1334" spans="1:23" ht="60" customHeight="1" x14ac:dyDescent="0.25">
      <c r="A1334" s="45" t="str">
        <f>CONCATENATE(Tabla2[[#This Row],[id_solicitud]],Tabla2[[#This Row],[tipo]])</f>
        <v>409Proposicion</v>
      </c>
      <c r="B1334" s="45">
        <f>COUNTIF($A$2:A1334,A1334)</f>
        <v>1</v>
      </c>
      <c r="C1334" s="45" t="str">
        <f>Tabla2[[#This Row],[(id_solicitud-tipo_documento)]]&amp;B1334</f>
        <v>409Proposicion1</v>
      </c>
      <c r="D1334" s="45">
        <v>661</v>
      </c>
      <c r="E1334" s="45">
        <v>409</v>
      </c>
      <c r="F1334" s="45" t="s">
        <v>46</v>
      </c>
      <c r="G1334" s="45" t="s">
        <v>1258</v>
      </c>
      <c r="H1334" s="50" t="s">
        <v>8</v>
      </c>
      <c r="I1334" s="51">
        <v>633</v>
      </c>
      <c r="J1334" s="80"/>
      <c r="K13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633 DA</v>
      </c>
      <c r="L1334" s="48">
        <v>44817</v>
      </c>
      <c r="M1334" s="48">
        <v>44817</v>
      </c>
      <c r="N1334" s="49" t="s">
        <v>397</v>
      </c>
      <c r="O1334" s="45">
        <v>1</v>
      </c>
      <c r="P1334" s="80" t="s">
        <v>494</v>
      </c>
      <c r="Q1334" s="24"/>
      <c r="R1334" s="24" t="s">
        <v>24</v>
      </c>
      <c r="S1334" s="114"/>
      <c r="T1334" s="45"/>
      <c r="U1334" s="48"/>
      <c r="V1334" s="48"/>
      <c r="W1334" s="27"/>
    </row>
    <row r="1335" spans="1:23" ht="60" hidden="1" customHeight="1" x14ac:dyDescent="0.25">
      <c r="A1335" s="45" t="str">
        <f>CONCATENATE(Tabla2[[#This Row],[id_solicitud]],Tabla2[[#This Row],[tipo]])</f>
        <v>423Oficio_Solicitud</v>
      </c>
      <c r="B1335" s="45">
        <f>COUNTIF($A$2:A1335,A1335)</f>
        <v>1</v>
      </c>
      <c r="C1335" s="45" t="str">
        <f>Tabla2[[#This Row],[(id_solicitud-tipo_documento)]]&amp;B1335</f>
        <v>423Oficio_Solicitud1</v>
      </c>
      <c r="D1335" s="45">
        <v>1337</v>
      </c>
      <c r="E1335" s="45">
        <v>423</v>
      </c>
      <c r="F1335" s="45" t="s">
        <v>53</v>
      </c>
      <c r="G1335" s="45" t="s">
        <v>1258</v>
      </c>
      <c r="H1335" s="50" t="s">
        <v>538</v>
      </c>
      <c r="I1335" s="51">
        <v>8951</v>
      </c>
      <c r="J1335" s="80"/>
      <c r="K13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8951 DV_FETCovid19</v>
      </c>
      <c r="L1335" s="48">
        <v>44818</v>
      </c>
      <c r="M1335" s="48">
        <v>44819</v>
      </c>
      <c r="N1335" s="49" t="s">
        <v>408</v>
      </c>
      <c r="O1335" s="45">
        <v>9</v>
      </c>
      <c r="P1335" s="80" t="s">
        <v>494</v>
      </c>
      <c r="Q1335" s="48">
        <v>44827</v>
      </c>
      <c r="R1335" s="45"/>
      <c r="S1335" s="114"/>
      <c r="T1335" s="52"/>
      <c r="U1335" s="48"/>
      <c r="V1335" s="48"/>
      <c r="W1335" s="27"/>
    </row>
    <row r="1336" spans="1:23" ht="60" hidden="1" customHeight="1" x14ac:dyDescent="0.25">
      <c r="A1336" s="45" t="str">
        <f>CONCATENATE(Tabla2[[#This Row],[id_solicitud]],Tabla2[[#This Row],[tipo]])</f>
        <v>444Oficio_Solicitud</v>
      </c>
      <c r="B1336" s="45">
        <f>COUNTIF($A$2:A1336,A1336)</f>
        <v>1</v>
      </c>
      <c r="C1336" s="45" t="str">
        <f>Tabla2[[#This Row],[(id_solicitud-tipo_documento)]]&amp;B1336</f>
        <v>444Oficio_Solicitud1</v>
      </c>
      <c r="D1336" s="45">
        <v>1338</v>
      </c>
      <c r="E1336" s="45">
        <v>444</v>
      </c>
      <c r="F1336" s="45" t="s">
        <v>53</v>
      </c>
      <c r="G1336" s="45"/>
      <c r="H1336" s="50" t="s">
        <v>26</v>
      </c>
      <c r="I1336" s="51">
        <v>9000</v>
      </c>
      <c r="J1336" s="80"/>
      <c r="K13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9000 DV</v>
      </c>
      <c r="L1336" s="48">
        <v>44824</v>
      </c>
      <c r="M1336" s="48">
        <v>44824</v>
      </c>
      <c r="N1336" s="49" t="s">
        <v>423</v>
      </c>
      <c r="O1336" s="45"/>
      <c r="P1336" s="80" t="s">
        <v>497</v>
      </c>
      <c r="Q1336" s="48"/>
      <c r="R1336" s="45"/>
      <c r="S1336" s="114"/>
      <c r="T1336" s="52"/>
      <c r="U1336" s="48"/>
      <c r="V1336" s="48"/>
      <c r="W1336" s="27"/>
    </row>
    <row r="1337" spans="1:23" ht="60" hidden="1" customHeight="1" x14ac:dyDescent="0.25">
      <c r="A1337" s="45" t="str">
        <f>CONCATENATE(Tabla2[[#This Row],[id_solicitud]],Tabla2[[#This Row],[tipo]])</f>
        <v>463Oficio_Solicitud</v>
      </c>
      <c r="B1337" s="45">
        <f>COUNTIF($A$2:A1337,A1337)</f>
        <v>1</v>
      </c>
      <c r="C1337" s="45" t="str">
        <f>Tabla2[[#This Row],[(id_solicitud-tipo_documento)]]&amp;B1337</f>
        <v>463Oficio_Solicitud1</v>
      </c>
      <c r="D1337" s="45">
        <v>1339</v>
      </c>
      <c r="E1337" s="45">
        <v>463</v>
      </c>
      <c r="F1337" s="45" t="s">
        <v>53</v>
      </c>
      <c r="G1337" s="45" t="s">
        <v>60</v>
      </c>
      <c r="H1337" s="50" t="s">
        <v>26</v>
      </c>
      <c r="I1337" s="51">
        <v>9653</v>
      </c>
      <c r="J1337" s="80"/>
      <c r="K13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9653 DV</v>
      </c>
      <c r="L1337" s="48">
        <v>44845</v>
      </c>
      <c r="M1337" s="48">
        <v>44846</v>
      </c>
      <c r="N1337" s="49" t="s">
        <v>436</v>
      </c>
      <c r="O1337" s="45">
        <v>78</v>
      </c>
      <c r="P1337" s="80" t="s">
        <v>494</v>
      </c>
      <c r="Q1337" s="48">
        <v>44854</v>
      </c>
      <c r="R1337" s="45"/>
      <c r="S1337" s="114"/>
      <c r="T1337" s="52"/>
      <c r="U1337" s="48"/>
      <c r="V1337" s="48"/>
      <c r="W1337" s="27"/>
    </row>
    <row r="1338" spans="1:23" ht="60" hidden="1" customHeight="1" x14ac:dyDescent="0.25">
      <c r="A1338" s="45" t="str">
        <f>CONCATENATE(Tabla2[[#This Row],[id_solicitud]],Tabla2[[#This Row],[tipo]])</f>
        <v>464Oficio_Solicitud</v>
      </c>
      <c r="B1338" s="45">
        <f>COUNTIF($A$2:A1338,A1338)</f>
        <v>1</v>
      </c>
      <c r="C1338" s="45" t="str">
        <f>Tabla2[[#This Row],[(id_solicitud-tipo_documento)]]&amp;B1338</f>
        <v>464Oficio_Solicitud1</v>
      </c>
      <c r="D1338" s="45">
        <v>1340</v>
      </c>
      <c r="E1338" s="45">
        <v>464</v>
      </c>
      <c r="F1338" s="45" t="s">
        <v>53</v>
      </c>
      <c r="G1338" s="45" t="s">
        <v>60</v>
      </c>
      <c r="H1338" s="50" t="s">
        <v>538</v>
      </c>
      <c r="I1338" s="51">
        <v>9653</v>
      </c>
      <c r="J1338" s="80"/>
      <c r="K13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9653 DV_FETCovid19</v>
      </c>
      <c r="L1338" s="48">
        <v>44845</v>
      </c>
      <c r="M1338" s="48">
        <v>44846</v>
      </c>
      <c r="N1338" s="49" t="s">
        <v>437</v>
      </c>
      <c r="O1338" s="45"/>
      <c r="P1338" s="80" t="s">
        <v>494</v>
      </c>
      <c r="Q1338" s="48">
        <v>44854</v>
      </c>
      <c r="R1338" s="45"/>
      <c r="S1338" s="114"/>
      <c r="T1338" s="52"/>
      <c r="U1338" s="48"/>
      <c r="V1338" s="48"/>
      <c r="W1338" s="27"/>
    </row>
    <row r="1339" spans="1:23" ht="60" hidden="1" customHeight="1" x14ac:dyDescent="0.25">
      <c r="A1339" s="45" t="str">
        <f>CONCATENATE(Tabla2[[#This Row],[id_solicitud]],Tabla2[[#This Row],[tipo]])</f>
        <v>499Oficio_Solicitud</v>
      </c>
      <c r="B1339" s="45">
        <f>COUNTIF($A$2:A1339,A1339)</f>
        <v>1</v>
      </c>
      <c r="C1339" s="45" t="str">
        <f>Tabla2[[#This Row],[(id_solicitud-tipo_documento)]]&amp;B1339</f>
        <v>499Oficio_Solicitud1</v>
      </c>
      <c r="D1339" s="45">
        <v>1341</v>
      </c>
      <c r="E1339" s="45">
        <v>499</v>
      </c>
      <c r="F1339" s="45" t="s">
        <v>53</v>
      </c>
      <c r="G1339" s="45" t="s">
        <v>60</v>
      </c>
      <c r="H1339" s="50" t="s">
        <v>26</v>
      </c>
      <c r="I1339" s="51">
        <v>9653</v>
      </c>
      <c r="J1339" s="80"/>
      <c r="K13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9653 DV</v>
      </c>
      <c r="L1339" s="48">
        <v>44845</v>
      </c>
      <c r="M1339" s="48">
        <v>44846</v>
      </c>
      <c r="N1339" s="49" t="s">
        <v>467</v>
      </c>
      <c r="O1339" s="45"/>
      <c r="P1339" s="80" t="s">
        <v>494</v>
      </c>
      <c r="Q1339" s="48">
        <v>44854</v>
      </c>
      <c r="R1339" s="45"/>
      <c r="S1339" s="114"/>
      <c r="T1339" s="52"/>
      <c r="U1339" s="48"/>
      <c r="V1339" s="48"/>
      <c r="W1339" s="27"/>
    </row>
    <row r="1340" spans="1:23" ht="60" hidden="1" customHeight="1" x14ac:dyDescent="0.25">
      <c r="A1340" s="45" t="str">
        <f>CONCATENATE(Tabla2[[#This Row],[id_solicitud]],Tabla2[[#This Row],[tipo]])</f>
        <v>480Oficio_Solicitud</v>
      </c>
      <c r="B1340" s="45">
        <f>COUNTIF($A$2:A1340,A1340)</f>
        <v>1</v>
      </c>
      <c r="C1340" s="45" t="str">
        <f>Tabla2[[#This Row],[(id_solicitud-tipo_documento)]]&amp;B1340</f>
        <v>480Oficio_Solicitud1</v>
      </c>
      <c r="D1340" s="45">
        <v>1342</v>
      </c>
      <c r="E1340" s="45">
        <v>480</v>
      </c>
      <c r="F1340" s="45" t="s">
        <v>53</v>
      </c>
      <c r="G1340" s="45" t="s">
        <v>68</v>
      </c>
      <c r="H1340" s="50" t="s">
        <v>26</v>
      </c>
      <c r="I1340" s="51">
        <v>9909</v>
      </c>
      <c r="J1340" s="80"/>
      <c r="K13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9909 DV</v>
      </c>
      <c r="L1340" s="48">
        <v>44852</v>
      </c>
      <c r="M1340" s="48">
        <v>44853</v>
      </c>
      <c r="N1340" s="49" t="s">
        <v>448</v>
      </c>
      <c r="O1340" s="45">
        <v>837</v>
      </c>
      <c r="P1340" s="80" t="s">
        <v>525</v>
      </c>
      <c r="Q1340" s="48">
        <v>44861</v>
      </c>
      <c r="R1340" s="45"/>
      <c r="S1340" s="114"/>
      <c r="T1340" s="52"/>
      <c r="U1340" s="48"/>
      <c r="V1340" s="48"/>
      <c r="W1340" s="27"/>
    </row>
    <row r="1341" spans="1:23" ht="60" hidden="1" customHeight="1" x14ac:dyDescent="0.25">
      <c r="A1341" s="45" t="str">
        <f>CONCATENATE(Tabla2[[#This Row],[id_solicitud]],Tabla2[[#This Row],[tipo]])</f>
        <v>481Oficio_Solicitud</v>
      </c>
      <c r="B1341" s="45">
        <f>COUNTIF($A$2:A1341,A1341)</f>
        <v>1</v>
      </c>
      <c r="C1341" s="45" t="str">
        <f>Tabla2[[#This Row],[(id_solicitud-tipo_documento)]]&amp;B1341</f>
        <v>481Oficio_Solicitud1</v>
      </c>
      <c r="D1341" s="45">
        <v>1343</v>
      </c>
      <c r="E1341" s="45">
        <v>481</v>
      </c>
      <c r="F1341" s="45" t="s">
        <v>53</v>
      </c>
      <c r="G1341" s="45" t="s">
        <v>68</v>
      </c>
      <c r="H1341" s="50" t="s">
        <v>538</v>
      </c>
      <c r="I1341" s="51">
        <v>9909</v>
      </c>
      <c r="J1341" s="80"/>
      <c r="K13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9909 DV_FETCovid19</v>
      </c>
      <c r="L1341" s="48">
        <v>44852</v>
      </c>
      <c r="M1341" s="48">
        <v>44846</v>
      </c>
      <c r="N1341" s="49" t="s">
        <v>449</v>
      </c>
      <c r="O1341" s="45">
        <v>160</v>
      </c>
      <c r="P1341" s="80" t="s">
        <v>494</v>
      </c>
      <c r="Q1341" s="48">
        <v>44861</v>
      </c>
      <c r="R1341" s="45"/>
      <c r="S1341" s="114"/>
      <c r="T1341" s="52"/>
      <c r="U1341" s="48"/>
      <c r="V1341" s="48"/>
      <c r="W1341" s="27"/>
    </row>
    <row r="1342" spans="1:23" ht="60" hidden="1" customHeight="1" x14ac:dyDescent="0.25">
      <c r="A1342" s="45" t="str">
        <f>CONCATENATE(Tabla2[[#This Row],[id_solicitud]],Tabla2[[#This Row],[tipo]])</f>
        <v>510Oficio_Solicitud</v>
      </c>
      <c r="B1342" s="45">
        <f>COUNTIF($A$2:A1342,A1342)</f>
        <v>1</v>
      </c>
      <c r="C1342" s="45" t="str">
        <f>Tabla2[[#This Row],[(id_solicitud-tipo_documento)]]&amp;B1342</f>
        <v>510Oficio_Solicitud1</v>
      </c>
      <c r="D1342" s="45">
        <v>1344</v>
      </c>
      <c r="E1342" s="45">
        <v>510</v>
      </c>
      <c r="F1342" s="45" t="s">
        <v>53</v>
      </c>
      <c r="G1342" s="45" t="s">
        <v>40</v>
      </c>
      <c r="H1342" s="50" t="s">
        <v>26</v>
      </c>
      <c r="I1342" s="51">
        <v>10131</v>
      </c>
      <c r="J1342" s="80"/>
      <c r="K13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10131 DV</v>
      </c>
      <c r="L1342" s="48">
        <v>44858</v>
      </c>
      <c r="M1342" s="48">
        <v>44858</v>
      </c>
      <c r="N1342" s="49" t="s">
        <v>475</v>
      </c>
      <c r="O1342" s="45"/>
      <c r="P1342" s="80" t="s">
        <v>526</v>
      </c>
      <c r="Q1342" s="48"/>
      <c r="R1342" s="45"/>
      <c r="S1342" s="114"/>
      <c r="T1342" s="52"/>
      <c r="U1342" s="48"/>
      <c r="V1342" s="48"/>
      <c r="W1342" s="27"/>
    </row>
    <row r="1343" spans="1:23" ht="60" hidden="1" customHeight="1" x14ac:dyDescent="0.25">
      <c r="A1343" s="45" t="str">
        <f>CONCATENATE(Tabla2[[#This Row],[id_solicitud]],Tabla2[[#This Row],[tipo]])</f>
        <v>511Oficio_Solicitud</v>
      </c>
      <c r="B1343" s="45">
        <f>COUNTIF($A$2:A1343,A1343)</f>
        <v>1</v>
      </c>
      <c r="C1343" s="45" t="str">
        <f>Tabla2[[#This Row],[(id_solicitud-tipo_documento)]]&amp;B1343</f>
        <v>511Oficio_Solicitud1</v>
      </c>
      <c r="D1343" s="45">
        <v>1345</v>
      </c>
      <c r="E1343" s="45">
        <v>511</v>
      </c>
      <c r="F1343" s="45" t="s">
        <v>53</v>
      </c>
      <c r="G1343" s="45" t="s">
        <v>40</v>
      </c>
      <c r="H1343" s="50" t="s">
        <v>538</v>
      </c>
      <c r="I1343" s="51">
        <v>10131</v>
      </c>
      <c r="J1343" s="80"/>
      <c r="K13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10131 DV_FETCovid19</v>
      </c>
      <c r="L1343" s="48">
        <v>44858</v>
      </c>
      <c r="M1343" s="48">
        <v>44858</v>
      </c>
      <c r="N1343" s="49" t="s">
        <v>476</v>
      </c>
      <c r="O1343" s="45"/>
      <c r="P1343" s="80" t="s">
        <v>526</v>
      </c>
      <c r="Q1343" s="48"/>
      <c r="R1343" s="45"/>
      <c r="S1343" s="114"/>
      <c r="T1343" s="52"/>
      <c r="U1343" s="48"/>
      <c r="V1343" s="48"/>
      <c r="W1343" s="27"/>
    </row>
    <row r="1344" spans="1:23" ht="60" hidden="1" customHeight="1" x14ac:dyDescent="0.25">
      <c r="A1344" s="45" t="str">
        <f>CONCATENATE(Tabla2[[#This Row],[id_solicitud]],Tabla2[[#This Row],[tipo]])</f>
        <v>503Oficio_Solicitud</v>
      </c>
      <c r="B1344" s="45">
        <f>COUNTIF($A$2:A1344,A1344)</f>
        <v>1</v>
      </c>
      <c r="C1344" s="45" t="str">
        <f>Tabla2[[#This Row],[(id_solicitud-tipo_documento)]]&amp;B1344</f>
        <v>503Oficio_Solicitud1</v>
      </c>
      <c r="D1344" s="45">
        <v>1346</v>
      </c>
      <c r="E1344" s="45">
        <v>503</v>
      </c>
      <c r="F1344" s="45" t="s">
        <v>53</v>
      </c>
      <c r="G1344" s="45" t="s">
        <v>1258</v>
      </c>
      <c r="H1344" s="50" t="s">
        <v>26</v>
      </c>
      <c r="I1344" s="51">
        <v>10199</v>
      </c>
      <c r="J1344" s="80"/>
      <c r="K13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10199 DV</v>
      </c>
      <c r="L1344" s="48">
        <v>44859</v>
      </c>
      <c r="M1344" s="48">
        <v>44860</v>
      </c>
      <c r="N1344" s="49" t="s">
        <v>470</v>
      </c>
      <c r="O1344" s="45">
        <v>92</v>
      </c>
      <c r="P1344" s="80" t="s">
        <v>494</v>
      </c>
      <c r="Q1344" s="48">
        <v>44867</v>
      </c>
      <c r="R1344" s="45"/>
      <c r="S1344" s="114"/>
      <c r="T1344" s="52"/>
      <c r="U1344" s="48"/>
      <c r="V1344" s="48"/>
      <c r="W1344" s="27"/>
    </row>
    <row r="1345" spans="1:23" ht="60" hidden="1" customHeight="1" x14ac:dyDescent="0.25">
      <c r="A1345" s="45" t="str">
        <f>CONCATENATE(Tabla2[[#This Row],[id_solicitud]],Tabla2[[#This Row],[tipo]])</f>
        <v>504Oficio_Solicitud</v>
      </c>
      <c r="B1345" s="45">
        <f>COUNTIF($A$2:A1345,A1345)</f>
        <v>1</v>
      </c>
      <c r="C1345" s="45" t="str">
        <f>Tabla2[[#This Row],[(id_solicitud-tipo_documento)]]&amp;B1345</f>
        <v>504Oficio_Solicitud1</v>
      </c>
      <c r="D1345" s="45">
        <v>1347</v>
      </c>
      <c r="E1345" s="45">
        <v>504</v>
      </c>
      <c r="F1345" s="45" t="s">
        <v>53</v>
      </c>
      <c r="G1345" s="45" t="s">
        <v>1258</v>
      </c>
      <c r="H1345" s="50" t="s">
        <v>538</v>
      </c>
      <c r="I1345" s="51">
        <v>10199</v>
      </c>
      <c r="J1345" s="80"/>
      <c r="K13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10199 DV_FETCovid19</v>
      </c>
      <c r="L1345" s="48">
        <v>44859</v>
      </c>
      <c r="M1345" s="48">
        <v>44860</v>
      </c>
      <c r="N1345" s="49" t="s">
        <v>471</v>
      </c>
      <c r="O1345" s="45">
        <v>15</v>
      </c>
      <c r="P1345" s="80" t="s">
        <v>494</v>
      </c>
      <c r="Q1345" s="48">
        <v>44867</v>
      </c>
      <c r="R1345" s="45"/>
      <c r="S1345" s="114"/>
      <c r="T1345" s="52"/>
      <c r="U1345" s="48"/>
      <c r="V1345" s="48"/>
      <c r="W1345" s="27"/>
    </row>
    <row r="1346" spans="1:23" ht="60" hidden="1" customHeight="1" x14ac:dyDescent="0.25">
      <c r="A1346" s="45" t="str">
        <f>CONCATENATE(Tabla2[[#This Row],[id_solicitud]],Tabla2[[#This Row],[tipo]])</f>
        <v>505Oficio_Solicitud</v>
      </c>
      <c r="B1346" s="45">
        <f>COUNTIF($A$2:A1346,A1346)</f>
        <v>1</v>
      </c>
      <c r="C1346" s="45" t="str">
        <f>Tabla2[[#This Row],[(id_solicitud-tipo_documento)]]&amp;B1346</f>
        <v>505Oficio_Solicitud1</v>
      </c>
      <c r="D1346" s="45">
        <v>1348</v>
      </c>
      <c r="E1346" s="45">
        <v>505</v>
      </c>
      <c r="F1346" s="45" t="s">
        <v>53</v>
      </c>
      <c r="G1346" s="45" t="s">
        <v>67</v>
      </c>
      <c r="H1346" s="50" t="s">
        <v>26</v>
      </c>
      <c r="I1346" s="51">
        <v>10254</v>
      </c>
      <c r="J1346" s="80"/>
      <c r="K13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10254 DV</v>
      </c>
      <c r="L1346" s="48">
        <v>44860</v>
      </c>
      <c r="M1346" s="48">
        <v>44861</v>
      </c>
      <c r="N1346" s="49" t="s">
        <v>472</v>
      </c>
      <c r="O1346" s="45"/>
      <c r="P1346" s="80" t="s">
        <v>498</v>
      </c>
      <c r="Q1346" s="48">
        <v>44861</v>
      </c>
      <c r="R1346" s="45"/>
      <c r="S1346" s="114"/>
      <c r="T1346" s="52"/>
      <c r="U1346" s="48"/>
      <c r="V1346" s="48"/>
      <c r="W1346" s="27"/>
    </row>
    <row r="1347" spans="1:23" ht="60" hidden="1" customHeight="1" x14ac:dyDescent="0.25">
      <c r="A1347" s="45" t="str">
        <f>CONCATENATE(Tabla2[[#This Row],[id_solicitud]],Tabla2[[#This Row],[tipo]])</f>
        <v>525Oficio_Solicitud</v>
      </c>
      <c r="B1347" s="45">
        <f>COUNTIF($A$2:A1347,A1347)</f>
        <v>1</v>
      </c>
      <c r="C1347" s="45" t="str">
        <f>Tabla2[[#This Row],[(id_solicitud-tipo_documento)]]&amp;B1347</f>
        <v>525Oficio_Solicitud1</v>
      </c>
      <c r="D1347" s="45">
        <v>1349</v>
      </c>
      <c r="E1347" s="45">
        <v>525</v>
      </c>
      <c r="F1347" s="45" t="s">
        <v>53</v>
      </c>
      <c r="G1347" s="45" t="s">
        <v>60</v>
      </c>
      <c r="H1347" s="50" t="s">
        <v>26</v>
      </c>
      <c r="I1347" s="51">
        <v>10383</v>
      </c>
      <c r="J1347" s="80"/>
      <c r="K13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10383 DV</v>
      </c>
      <c r="L1347" s="48">
        <v>44867</v>
      </c>
      <c r="M1347" s="48">
        <v>44867</v>
      </c>
      <c r="N1347" s="49" t="s">
        <v>487</v>
      </c>
      <c r="O1347" s="45">
        <v>29</v>
      </c>
      <c r="P1347" s="80" t="s">
        <v>494</v>
      </c>
      <c r="Q1347" s="48">
        <v>44873</v>
      </c>
      <c r="R1347" s="45"/>
      <c r="S1347" s="114"/>
      <c r="T1347" s="52"/>
      <c r="U1347" s="48"/>
      <c r="V1347" s="48"/>
      <c r="W1347" s="27"/>
    </row>
    <row r="1348" spans="1:23" ht="60" hidden="1" customHeight="1" x14ac:dyDescent="0.25">
      <c r="A1348" s="45" t="str">
        <f>CONCATENATE(Tabla2[[#This Row],[id_solicitud]],Tabla2[[#This Row],[tipo]])</f>
        <v>531Oficio_Solicitud</v>
      </c>
      <c r="B1348" s="45">
        <f>COUNTIF($A$2:A1348,A1348)</f>
        <v>1</v>
      </c>
      <c r="C1348" s="45" t="str">
        <f>Tabla2[[#This Row],[(id_solicitud-tipo_documento)]]&amp;B1348</f>
        <v>531Oficio_Solicitud1</v>
      </c>
      <c r="D1348" s="45">
        <v>1350</v>
      </c>
      <c r="E1348" s="45">
        <v>531</v>
      </c>
      <c r="F1348" s="45" t="s">
        <v>53</v>
      </c>
      <c r="G1348" s="45" t="s">
        <v>44</v>
      </c>
      <c r="H1348" s="50" t="s">
        <v>26</v>
      </c>
      <c r="I1348" s="51">
        <v>10399</v>
      </c>
      <c r="J1348" s="80"/>
      <c r="K13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10399 DV</v>
      </c>
      <c r="L1348" s="48">
        <v>44867</v>
      </c>
      <c r="M1348" s="48">
        <v>44867</v>
      </c>
      <c r="N1348" s="49" t="s">
        <v>489</v>
      </c>
      <c r="O1348" s="45"/>
      <c r="P1348" s="80">
        <v>21</v>
      </c>
      <c r="Q1348" s="48"/>
      <c r="R1348" s="45"/>
      <c r="S1348" s="114"/>
      <c r="T1348" s="52"/>
      <c r="U1348" s="48"/>
      <c r="V1348" s="48"/>
      <c r="W1348" s="27"/>
    </row>
    <row r="1349" spans="1:23" ht="60" hidden="1" customHeight="1" x14ac:dyDescent="0.25">
      <c r="A1349" s="45" t="str">
        <f>CONCATENATE(Tabla2[[#This Row],[id_solicitud]],Tabla2[[#This Row],[tipo]])</f>
        <v>30Oficio_Solicitud</v>
      </c>
      <c r="B1349" s="45">
        <f>COUNTIF($A$2:A1349,A1349)</f>
        <v>1</v>
      </c>
      <c r="C1349" s="45" t="str">
        <f>Tabla2[[#This Row],[(id_solicitud-tipo_documento)]]&amp;B1349</f>
        <v>30Oficio_Solicitud1</v>
      </c>
      <c r="D1349" s="45">
        <v>1351</v>
      </c>
      <c r="E1349" s="45">
        <v>30</v>
      </c>
      <c r="F1349" s="45" t="s">
        <v>53</v>
      </c>
      <c r="G1349" s="45" t="s">
        <v>43</v>
      </c>
      <c r="H1349" s="50" t="s">
        <v>538</v>
      </c>
      <c r="I1349" s="51">
        <v>11734</v>
      </c>
      <c r="J1349" s="80"/>
      <c r="K13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11734 DV_FETCovid19</v>
      </c>
      <c r="L1349" s="48">
        <v>44533</v>
      </c>
      <c r="M1349" s="48">
        <v>44533</v>
      </c>
      <c r="N1349" s="49" t="s">
        <v>77</v>
      </c>
      <c r="O1349" s="45"/>
      <c r="P1349" s="80" t="s">
        <v>494</v>
      </c>
      <c r="Q1349" s="48">
        <v>44558</v>
      </c>
      <c r="R1349" s="45"/>
      <c r="S1349" s="114"/>
      <c r="T1349" s="52"/>
      <c r="U1349" s="48"/>
      <c r="V1349" s="48"/>
      <c r="W1349" s="27"/>
    </row>
    <row r="1350" spans="1:23" ht="60" hidden="1" customHeight="1" x14ac:dyDescent="0.25">
      <c r="A1350" s="45" t="str">
        <f>CONCATENATE(Tabla2[[#This Row],[id_solicitud]],Tabla2[[#This Row],[tipo]])</f>
        <v>29Proposicion</v>
      </c>
      <c r="B1350" s="45">
        <f>COUNTIF($A$2:A1350,A1350)</f>
        <v>1</v>
      </c>
      <c r="C1350" s="45" t="str">
        <f>Tabla2[[#This Row],[(id_solicitud-tipo_documento)]]&amp;B1350</f>
        <v>29Proposicion1</v>
      </c>
      <c r="D1350" s="45">
        <v>1352</v>
      </c>
      <c r="E1350" s="45">
        <v>29</v>
      </c>
      <c r="F1350" s="45" t="s">
        <v>46</v>
      </c>
      <c r="G1350" s="45" t="s">
        <v>43</v>
      </c>
      <c r="H1350" s="50" t="s">
        <v>26</v>
      </c>
      <c r="I1350" s="51">
        <v>865</v>
      </c>
      <c r="J1350" s="80"/>
      <c r="K13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865 DV</v>
      </c>
      <c r="L1350" s="48">
        <v>44559</v>
      </c>
      <c r="M1350" s="48">
        <v>44560</v>
      </c>
      <c r="N1350" s="49" t="s">
        <v>617</v>
      </c>
      <c r="O1350" s="45"/>
      <c r="P1350" s="80" t="s">
        <v>494</v>
      </c>
      <c r="Q1350" s="24"/>
      <c r="R1350" s="24" t="s">
        <v>24</v>
      </c>
      <c r="S1350" s="114"/>
      <c r="T1350" s="45"/>
      <c r="U1350" s="48"/>
      <c r="V1350" s="48"/>
      <c r="W1350" s="27"/>
    </row>
    <row r="1351" spans="1:23" ht="60" hidden="1" customHeight="1" x14ac:dyDescent="0.25">
      <c r="A1351" s="45" t="str">
        <f>CONCATENATE(Tabla2[[#This Row],[id_solicitud]],Tabla2[[#This Row],[tipo]])</f>
        <v>30Proposicion</v>
      </c>
      <c r="B1351" s="45">
        <f>COUNTIF($A$2:A1351,A1351)</f>
        <v>1</v>
      </c>
      <c r="C1351" s="45" t="str">
        <f>Tabla2[[#This Row],[(id_solicitud-tipo_documento)]]&amp;B1351</f>
        <v>30Proposicion1</v>
      </c>
      <c r="D1351" s="45">
        <v>1353</v>
      </c>
      <c r="E1351" s="45">
        <v>30</v>
      </c>
      <c r="F1351" s="45" t="s">
        <v>46</v>
      </c>
      <c r="G1351" s="45" t="s">
        <v>43</v>
      </c>
      <c r="H1351" s="50" t="s">
        <v>538</v>
      </c>
      <c r="I1351" s="51">
        <v>865</v>
      </c>
      <c r="J1351" s="80"/>
      <c r="K13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865 DV_FETCovid19</v>
      </c>
      <c r="L1351" s="48">
        <v>44559</v>
      </c>
      <c r="M1351" s="48">
        <v>44560</v>
      </c>
      <c r="N1351" s="49" t="s">
        <v>617</v>
      </c>
      <c r="O1351" s="45"/>
      <c r="P1351" s="80" t="s">
        <v>494</v>
      </c>
      <c r="Q1351" s="24"/>
      <c r="R1351" s="24" t="s">
        <v>24</v>
      </c>
      <c r="S1351" s="114"/>
      <c r="T1351" s="45"/>
      <c r="U1351" s="48"/>
      <c r="V1351" s="48"/>
      <c r="W1351" s="27"/>
    </row>
    <row r="1352" spans="1:23" ht="60" hidden="1" customHeight="1" x14ac:dyDescent="0.25">
      <c r="A1352" s="45" t="str">
        <f>CONCATENATE(Tabla2[[#This Row],[id_solicitud]],Tabla2[[#This Row],[tipo]])</f>
        <v>33Proposicion</v>
      </c>
      <c r="B1352" s="45">
        <f>COUNTIF($A$2:A1352,A1352)</f>
        <v>1</v>
      </c>
      <c r="C1352" s="45" t="str">
        <f>Tabla2[[#This Row],[(id_solicitud-tipo_documento)]]&amp;B1352</f>
        <v>33Proposicion1</v>
      </c>
      <c r="D1352" s="45">
        <v>1354</v>
      </c>
      <c r="E1352" s="45">
        <v>33</v>
      </c>
      <c r="F1352" s="45" t="s">
        <v>46</v>
      </c>
      <c r="G1352" s="45" t="s">
        <v>43</v>
      </c>
      <c r="H1352" s="50" t="s">
        <v>26</v>
      </c>
      <c r="I1352" s="51">
        <v>881</v>
      </c>
      <c r="J1352" s="80"/>
      <c r="K13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881 DV</v>
      </c>
      <c r="L1352" s="48">
        <v>44560</v>
      </c>
      <c r="M1352" s="48">
        <v>44561</v>
      </c>
      <c r="N1352" s="49" t="s">
        <v>620</v>
      </c>
      <c r="O1352" s="45">
        <v>1</v>
      </c>
      <c r="P1352" s="80" t="s">
        <v>494</v>
      </c>
      <c r="Q1352" s="24"/>
      <c r="R1352" s="24" t="s">
        <v>24</v>
      </c>
      <c r="S1352" s="114"/>
      <c r="T1352" s="45"/>
      <c r="U1352" s="48"/>
      <c r="V1352" s="48"/>
      <c r="W1352" s="27"/>
    </row>
    <row r="1353" spans="1:23" ht="60" hidden="1" customHeight="1" x14ac:dyDescent="0.25">
      <c r="A1353" s="45" t="str">
        <f>CONCATENATE(Tabla2[[#This Row],[id_solicitud]],Tabla2[[#This Row],[tipo]])</f>
        <v>29Proposicion</v>
      </c>
      <c r="B1353" s="45">
        <f>COUNTIF($A$2:A1353,A1353)</f>
        <v>2</v>
      </c>
      <c r="C1353" s="45" t="str">
        <f>Tabla2[[#This Row],[(id_solicitud-tipo_documento)]]&amp;B1353</f>
        <v>29Proposicion2</v>
      </c>
      <c r="D1353" s="45">
        <v>1355</v>
      </c>
      <c r="E1353" s="45">
        <v>29</v>
      </c>
      <c r="F1353" s="45" t="s">
        <v>46</v>
      </c>
      <c r="G1353" s="45" t="s">
        <v>43</v>
      </c>
      <c r="H1353" s="50" t="s">
        <v>26</v>
      </c>
      <c r="I1353" s="51">
        <v>866</v>
      </c>
      <c r="J1353" s="80"/>
      <c r="K13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866 DV</v>
      </c>
      <c r="L1353" s="48">
        <v>44559</v>
      </c>
      <c r="M1353" s="48">
        <v>44559</v>
      </c>
      <c r="N1353" s="49" t="s">
        <v>616</v>
      </c>
      <c r="O1353" s="45"/>
      <c r="P1353" s="80" t="s">
        <v>494</v>
      </c>
      <c r="Q1353" s="24"/>
      <c r="R1353" s="24" t="s">
        <v>24</v>
      </c>
      <c r="S1353" s="114"/>
      <c r="T1353" s="45"/>
      <c r="U1353" s="48"/>
      <c r="V1353" s="48"/>
      <c r="W1353" s="27"/>
    </row>
    <row r="1354" spans="1:23" ht="60" hidden="1" customHeight="1" x14ac:dyDescent="0.25">
      <c r="A1354" s="45" t="str">
        <f>CONCATENATE(Tabla2[[#This Row],[id_solicitud]],Tabla2[[#This Row],[tipo]])</f>
        <v>29Proposicion</v>
      </c>
      <c r="B1354" s="45">
        <f>COUNTIF($A$2:A1354,A1354)</f>
        <v>3</v>
      </c>
      <c r="C1354" s="45" t="str">
        <f>Tabla2[[#This Row],[(id_solicitud-tipo_documento)]]&amp;B1354</f>
        <v>29Proposicion3</v>
      </c>
      <c r="D1354" s="45">
        <v>1356</v>
      </c>
      <c r="E1354" s="45">
        <v>29</v>
      </c>
      <c r="F1354" s="45" t="s">
        <v>46</v>
      </c>
      <c r="G1354" s="45" t="s">
        <v>43</v>
      </c>
      <c r="H1354" s="50" t="s">
        <v>26</v>
      </c>
      <c r="I1354" s="51">
        <v>872</v>
      </c>
      <c r="J1354" s="80"/>
      <c r="K13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872 DV</v>
      </c>
      <c r="L1354" s="48">
        <v>44560</v>
      </c>
      <c r="M1354" s="48">
        <v>44560</v>
      </c>
      <c r="N1354" s="49" t="s">
        <v>618</v>
      </c>
      <c r="O1354" s="45"/>
      <c r="P1354" s="80" t="s">
        <v>494</v>
      </c>
      <c r="Q1354" s="24"/>
      <c r="R1354" s="24" t="s">
        <v>24</v>
      </c>
      <c r="S1354" s="114"/>
      <c r="T1354" s="45"/>
      <c r="U1354" s="48"/>
      <c r="V1354" s="48"/>
      <c r="W1354" s="27"/>
    </row>
    <row r="1355" spans="1:23" ht="60" hidden="1" customHeight="1" x14ac:dyDescent="0.25">
      <c r="A1355" s="45" t="str">
        <f>CONCATENATE(Tabla2[[#This Row],[id_solicitud]],Tabla2[[#This Row],[tipo]])</f>
        <v>29Resolucion</v>
      </c>
      <c r="B1355" s="45">
        <f>COUNTIF($A$2:A1355,A1355)</f>
        <v>1</v>
      </c>
      <c r="C1355" s="45" t="str">
        <f>Tabla2[[#This Row],[(id_solicitud-tipo_documento)]]&amp;B1355</f>
        <v>29Resolucion1</v>
      </c>
      <c r="D1355" s="45">
        <v>1357</v>
      </c>
      <c r="E1355" s="45">
        <v>29</v>
      </c>
      <c r="F1355" s="45" t="s">
        <v>48</v>
      </c>
      <c r="G1355" s="45"/>
      <c r="H1355" s="50" t="s">
        <v>26</v>
      </c>
      <c r="I1355" s="51">
        <v>347</v>
      </c>
      <c r="J1355" s="80"/>
      <c r="K13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55" s="48">
        <v>44608</v>
      </c>
      <c r="M1355" s="48"/>
      <c r="N1355" s="49"/>
      <c r="O1355" s="45"/>
      <c r="P1355" s="80"/>
      <c r="Q1355" s="48"/>
      <c r="R1355" s="45"/>
      <c r="S1355" s="114"/>
      <c r="T1355" s="45"/>
      <c r="U1355" s="48"/>
      <c r="V1355" s="48"/>
      <c r="W1355" s="27"/>
    </row>
    <row r="1356" spans="1:23" ht="60" hidden="1" customHeight="1" x14ac:dyDescent="0.25">
      <c r="A1356" s="45" t="str">
        <f>CONCATENATE(Tabla2[[#This Row],[id_solicitud]],Tabla2[[#This Row],[tipo]])</f>
        <v>438Proposicion</v>
      </c>
      <c r="B1356" s="45">
        <f>COUNTIF($A$2:A1356,A1356)</f>
        <v>1</v>
      </c>
      <c r="C1356" s="45" t="str">
        <f>Tabla2[[#This Row],[(id_solicitud-tipo_documento)]]&amp;B1356</f>
        <v>438Proposicion1</v>
      </c>
      <c r="D1356" s="45">
        <v>1358</v>
      </c>
      <c r="E1356" s="45">
        <v>438</v>
      </c>
      <c r="F1356" s="45" t="s">
        <v>46</v>
      </c>
      <c r="G1356" s="45" t="s">
        <v>60</v>
      </c>
      <c r="H1356" s="50" t="s">
        <v>532</v>
      </c>
      <c r="I1356" s="51">
        <v>727</v>
      </c>
      <c r="J1356" s="80"/>
      <c r="K13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727 DA_FETCovid19</v>
      </c>
      <c r="L1356" s="48">
        <v>44851</v>
      </c>
      <c r="M1356" s="48">
        <v>44852</v>
      </c>
      <c r="N1356" s="49" t="s">
        <v>1021</v>
      </c>
      <c r="O1356" s="45">
        <v>2</v>
      </c>
      <c r="P1356" s="80" t="s">
        <v>494</v>
      </c>
      <c r="Q1356" s="24"/>
      <c r="R1356" s="24" t="s">
        <v>24</v>
      </c>
      <c r="S1356" s="114"/>
      <c r="T1356" s="45"/>
      <c r="U1356" s="48"/>
      <c r="V1356" s="48"/>
      <c r="W1356" s="27"/>
    </row>
    <row r="1357" spans="1:23" ht="60" hidden="1" customHeight="1" x14ac:dyDescent="0.25">
      <c r="A1357" s="45" t="str">
        <f>CONCATENATE(Tabla2[[#This Row],[id_solicitud]],Tabla2[[#This Row],[tipo]])</f>
        <v>122Respuesta_Reasignacion_Interna</v>
      </c>
      <c r="B1357" s="45">
        <f>COUNTIF($A$2:A1357,A1357)</f>
        <v>1</v>
      </c>
      <c r="C1357" s="45" t="str">
        <f>Tabla2[[#This Row],[(id_solicitud-tipo_documento)]]&amp;B1357</f>
        <v>122Respuesta_Reasignacion_Interna1</v>
      </c>
      <c r="D1357" s="45">
        <v>1359</v>
      </c>
      <c r="E1357" s="45">
        <v>122</v>
      </c>
      <c r="F1357" s="45" t="s">
        <v>1279</v>
      </c>
      <c r="G1357" s="45" t="s">
        <v>1258</v>
      </c>
      <c r="H1357" s="50" t="s">
        <v>538</v>
      </c>
      <c r="I1357" s="51">
        <v>178254</v>
      </c>
      <c r="J1357" s="80"/>
      <c r="K13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57" s="48">
        <v>44657</v>
      </c>
      <c r="M1357" s="48"/>
      <c r="N1357" s="49">
        <f t="shared" ref="N1357:N1363" si="0">E1357</f>
        <v>122</v>
      </c>
      <c r="O1357" s="45"/>
      <c r="P1357" s="80"/>
      <c r="Q1357" s="48"/>
      <c r="R1357" s="45"/>
      <c r="S1357" s="115"/>
      <c r="T1357" s="20"/>
      <c r="U1357" s="20"/>
      <c r="V1357" s="20"/>
      <c r="W1357" s="27"/>
    </row>
    <row r="1358" spans="1:23" ht="60" hidden="1" customHeight="1" x14ac:dyDescent="0.25">
      <c r="A1358" s="45" t="str">
        <f>CONCATENATE(Tabla2[[#This Row],[id_solicitud]],Tabla2[[#This Row],[tipo]])</f>
        <v>133Respuesta_Reasignacion_Interna</v>
      </c>
      <c r="B1358" s="45">
        <f>COUNTIF($A$2:A1358,A1358)</f>
        <v>1</v>
      </c>
      <c r="C1358" s="45" t="str">
        <f>Tabla2[[#This Row],[(id_solicitud-tipo_documento)]]&amp;B1358</f>
        <v>133Respuesta_Reasignacion_Interna1</v>
      </c>
      <c r="D1358" s="45">
        <v>1360</v>
      </c>
      <c r="E1358" s="45">
        <v>133</v>
      </c>
      <c r="F1358" s="45" t="s">
        <v>1279</v>
      </c>
      <c r="G1358" s="45" t="s">
        <v>1258</v>
      </c>
      <c r="H1358" s="50" t="s">
        <v>26</v>
      </c>
      <c r="I1358" s="51">
        <v>179204</v>
      </c>
      <c r="J1358" s="80"/>
      <c r="K13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58" s="48">
        <v>44657</v>
      </c>
      <c r="M1358" s="48"/>
      <c r="N1358" s="49">
        <f t="shared" si="0"/>
        <v>133</v>
      </c>
      <c r="O1358" s="45"/>
      <c r="P1358" s="80"/>
      <c r="Q1358" s="48"/>
      <c r="R1358" s="45"/>
      <c r="S1358" s="115"/>
      <c r="T1358" s="20"/>
      <c r="U1358" s="20"/>
      <c r="V1358" s="20"/>
      <c r="W1358" s="27"/>
    </row>
    <row r="1359" spans="1:23" ht="60" hidden="1" customHeight="1" x14ac:dyDescent="0.25">
      <c r="A1359" s="45" t="str">
        <f>CONCATENATE(Tabla2[[#This Row],[id_solicitud]],Tabla2[[#This Row],[tipo]])</f>
        <v>137Respuesta_Reasignacion_Interna</v>
      </c>
      <c r="B1359" s="45">
        <f>COUNTIF($A$2:A1359,A1359)</f>
        <v>1</v>
      </c>
      <c r="C1359" s="45" t="str">
        <f>Tabla2[[#This Row],[(id_solicitud-tipo_documento)]]&amp;B1359</f>
        <v>137Respuesta_Reasignacion_Interna1</v>
      </c>
      <c r="D1359" s="45">
        <v>1361</v>
      </c>
      <c r="E1359" s="45">
        <v>137</v>
      </c>
      <c r="F1359" s="45" t="s">
        <v>1279</v>
      </c>
      <c r="G1359" s="45" t="s">
        <v>1258</v>
      </c>
      <c r="H1359" s="50" t="s">
        <v>26</v>
      </c>
      <c r="I1359" s="51">
        <v>183204</v>
      </c>
      <c r="J1359" s="80"/>
      <c r="K13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59" s="48">
        <v>44658</v>
      </c>
      <c r="M1359" s="48"/>
      <c r="N1359" s="49">
        <f t="shared" si="0"/>
        <v>137</v>
      </c>
      <c r="O1359" s="45"/>
      <c r="P1359" s="80"/>
      <c r="Q1359" s="48"/>
      <c r="R1359" s="45"/>
      <c r="S1359" s="115"/>
      <c r="T1359" s="20"/>
      <c r="U1359" s="20"/>
      <c r="V1359" s="20"/>
      <c r="W1359" s="27"/>
    </row>
    <row r="1360" spans="1:23" ht="60" hidden="1" customHeight="1" x14ac:dyDescent="0.25">
      <c r="A1360" s="45" t="str">
        <f>CONCATENATE(Tabla2[[#This Row],[id_solicitud]],Tabla2[[#This Row],[tipo]])</f>
        <v>143Respuesta_Reasignacion_Interna</v>
      </c>
      <c r="B1360" s="45">
        <f>COUNTIF($A$2:A1360,A1360)</f>
        <v>1</v>
      </c>
      <c r="C1360" s="45" t="str">
        <f>Tabla2[[#This Row],[(id_solicitud-tipo_documento)]]&amp;B1360</f>
        <v>143Respuesta_Reasignacion_Interna1</v>
      </c>
      <c r="D1360" s="45">
        <v>1362</v>
      </c>
      <c r="E1360" s="45">
        <v>143</v>
      </c>
      <c r="F1360" s="45" t="s">
        <v>1279</v>
      </c>
      <c r="G1360" s="45" t="s">
        <v>1258</v>
      </c>
      <c r="H1360" s="50" t="s">
        <v>538</v>
      </c>
      <c r="I1360" s="51">
        <v>185254</v>
      </c>
      <c r="J1360" s="80"/>
      <c r="K13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60" s="48">
        <v>44658</v>
      </c>
      <c r="M1360" s="48"/>
      <c r="N1360" s="49">
        <f t="shared" si="0"/>
        <v>143</v>
      </c>
      <c r="O1360" s="45"/>
      <c r="P1360" s="80"/>
      <c r="Q1360" s="48"/>
      <c r="R1360" s="45"/>
      <c r="S1360" s="115"/>
      <c r="T1360" s="20"/>
      <c r="U1360" s="20"/>
      <c r="V1360" s="20"/>
      <c r="W1360" s="27"/>
    </row>
    <row r="1361" spans="1:23" ht="60" hidden="1" customHeight="1" x14ac:dyDescent="0.25">
      <c r="A1361" s="45" t="str">
        <f>CONCATENATE(Tabla2[[#This Row],[id_solicitud]],Tabla2[[#This Row],[tipo]])</f>
        <v>138Respuesta_Reasignacion_Interna</v>
      </c>
      <c r="B1361" s="45">
        <f>COUNTIF($A$2:A1361,A1361)</f>
        <v>1</v>
      </c>
      <c r="C1361" s="45" t="str">
        <f>Tabla2[[#This Row],[(id_solicitud-tipo_documento)]]&amp;B1361</f>
        <v>138Respuesta_Reasignacion_Interna1</v>
      </c>
      <c r="D1361" s="45">
        <v>1363</v>
      </c>
      <c r="E1361" s="45">
        <v>138</v>
      </c>
      <c r="F1361" s="45" t="s">
        <v>1279</v>
      </c>
      <c r="G1361" s="45" t="s">
        <v>1258</v>
      </c>
      <c r="H1361" s="50" t="s">
        <v>8</v>
      </c>
      <c r="I1361" s="51">
        <v>218252</v>
      </c>
      <c r="J1361" s="80"/>
      <c r="K13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61" s="48">
        <v>44671</v>
      </c>
      <c r="M1361" s="48"/>
      <c r="N1361" s="49">
        <f t="shared" si="0"/>
        <v>138</v>
      </c>
      <c r="O1361" s="45"/>
      <c r="P1361" s="80"/>
      <c r="Q1361" s="48"/>
      <c r="R1361" s="45"/>
      <c r="S1361" s="115"/>
      <c r="T1361" s="20"/>
      <c r="U1361" s="20"/>
      <c r="V1361" s="20"/>
      <c r="W1361" s="27"/>
    </row>
    <row r="1362" spans="1:23" ht="60" hidden="1" customHeight="1" x14ac:dyDescent="0.25">
      <c r="A1362" s="45" t="str">
        <f>CONCATENATE(Tabla2[[#This Row],[id_solicitud]],Tabla2[[#This Row],[tipo]])</f>
        <v>272Respuesta_Reasignacion_Interna</v>
      </c>
      <c r="B1362" s="45">
        <f>COUNTIF($A$2:A1362,A1362)</f>
        <v>1</v>
      </c>
      <c r="C1362" s="45" t="str">
        <f>Tabla2[[#This Row],[(id_solicitud-tipo_documento)]]&amp;B1362</f>
        <v>272Respuesta_Reasignacion_Interna1</v>
      </c>
      <c r="D1362" s="45">
        <v>1364</v>
      </c>
      <c r="E1362" s="45">
        <v>272</v>
      </c>
      <c r="F1362" s="45" t="s">
        <v>1279</v>
      </c>
      <c r="G1362" s="45" t="s">
        <v>1258</v>
      </c>
      <c r="H1362" s="50" t="s">
        <v>16</v>
      </c>
      <c r="I1362" s="51">
        <v>408301</v>
      </c>
      <c r="J1362" s="80"/>
      <c r="K13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62" s="48">
        <v>44734</v>
      </c>
      <c r="M1362" s="48"/>
      <c r="N1362" s="49">
        <f t="shared" si="0"/>
        <v>272</v>
      </c>
      <c r="O1362" s="45"/>
      <c r="P1362" s="80"/>
      <c r="Q1362" s="48"/>
      <c r="R1362" s="45"/>
      <c r="S1362" s="115"/>
      <c r="T1362" s="20"/>
      <c r="U1362" s="20">
        <v>44734</v>
      </c>
      <c r="V1362" s="20">
        <v>44734</v>
      </c>
      <c r="W1362" s="27"/>
    </row>
    <row r="1363" spans="1:23" ht="60" hidden="1" customHeight="1" x14ac:dyDescent="0.25">
      <c r="A1363" s="45" t="str">
        <f>CONCATENATE(Tabla2[[#This Row],[id_solicitud]],Tabla2[[#This Row],[tipo]])</f>
        <v>326Respuesta_Reasignacion_Interna</v>
      </c>
      <c r="B1363" s="45">
        <f>COUNTIF($A$2:A1363,A1363)</f>
        <v>1</v>
      </c>
      <c r="C1363" s="45" t="str">
        <f>Tabla2[[#This Row],[(id_solicitud-tipo_documento)]]&amp;B1363</f>
        <v>326Respuesta_Reasignacion_Interna1</v>
      </c>
      <c r="D1363" s="45">
        <v>1365</v>
      </c>
      <c r="E1363" s="45">
        <v>326</v>
      </c>
      <c r="F1363" s="45" t="s">
        <v>1279</v>
      </c>
      <c r="G1363" s="45" t="s">
        <v>1258</v>
      </c>
      <c r="H1363" s="50" t="s">
        <v>16</v>
      </c>
      <c r="I1363" s="51">
        <v>533301</v>
      </c>
      <c r="J1363" s="80"/>
      <c r="K13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63" s="48">
        <v>44783</v>
      </c>
      <c r="M1363" s="48"/>
      <c r="N1363" s="49">
        <f t="shared" si="0"/>
        <v>326</v>
      </c>
      <c r="O1363" s="45"/>
      <c r="P1363" s="80"/>
      <c r="Q1363" s="48"/>
      <c r="R1363" s="45"/>
      <c r="S1363" s="115"/>
      <c r="T1363" s="20"/>
      <c r="U1363" s="20">
        <v>44783</v>
      </c>
      <c r="V1363" s="20">
        <v>44783</v>
      </c>
      <c r="W1363" s="27"/>
    </row>
    <row r="1364" spans="1:23" ht="60" customHeight="1" x14ac:dyDescent="0.25">
      <c r="A1364" s="45" t="str">
        <f>CONCATENATE(Tabla2[[#This Row],[id_solicitud]],Tabla2[[#This Row],[tipo]])</f>
        <v>409Oficio_Solicitud</v>
      </c>
      <c r="B1364" s="45">
        <f>COUNTIF($A$2:A1364,A1364)</f>
        <v>1</v>
      </c>
      <c r="C1364" s="45" t="str">
        <f>Tabla2[[#This Row],[(id_solicitud-tipo_documento)]]&amp;B1364</f>
        <v>409Oficio_Solicitud1</v>
      </c>
      <c r="D1364" s="45">
        <v>942</v>
      </c>
      <c r="E1364" s="45">
        <v>409</v>
      </c>
      <c r="F1364" s="45" t="s">
        <v>53</v>
      </c>
      <c r="G1364" s="45" t="s">
        <v>1258</v>
      </c>
      <c r="H1364" s="50" t="s">
        <v>8</v>
      </c>
      <c r="I1364" s="51">
        <v>1013</v>
      </c>
      <c r="J1364" s="80"/>
      <c r="K13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1013 DA</v>
      </c>
      <c r="L1364" s="48">
        <v>44810</v>
      </c>
      <c r="M1364" s="48">
        <v>44812</v>
      </c>
      <c r="N1364" s="49" t="s">
        <v>397</v>
      </c>
      <c r="O1364" s="45">
        <v>1</v>
      </c>
      <c r="P1364" s="80" t="s">
        <v>494</v>
      </c>
      <c r="Q1364" s="48"/>
      <c r="R1364" s="45"/>
      <c r="S1364" s="114"/>
      <c r="T1364" s="52"/>
      <c r="U1364" s="48"/>
      <c r="V1364" s="48"/>
      <c r="W1364" s="27"/>
    </row>
    <row r="1365" spans="1:23" ht="60" hidden="1" customHeight="1" x14ac:dyDescent="0.25">
      <c r="A1365" s="45" t="str">
        <f>CONCATENATE(Tabla2[[#This Row],[id_solicitud]],Tabla2[[#This Row],[tipo]])</f>
        <v>416Respuesta_Reasignacion_Interna</v>
      </c>
      <c r="B1365" s="45">
        <f>COUNTIF($A$2:A1365,A1365)</f>
        <v>1</v>
      </c>
      <c r="C1365" s="45" t="str">
        <f>Tabla2[[#This Row],[(id_solicitud-tipo_documento)]]&amp;B1365</f>
        <v>416Respuesta_Reasignacion_Interna1</v>
      </c>
      <c r="D1365" s="45">
        <v>1367</v>
      </c>
      <c r="E1365" s="45">
        <v>416</v>
      </c>
      <c r="F1365" s="45" t="s">
        <v>1279</v>
      </c>
      <c r="G1365" s="45" t="s">
        <v>1258</v>
      </c>
      <c r="H1365" s="50" t="s">
        <v>8</v>
      </c>
      <c r="I1365" s="51">
        <v>652202</v>
      </c>
      <c r="J1365" s="80"/>
      <c r="K13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65" s="48">
        <v>44830</v>
      </c>
      <c r="M1365" s="48"/>
      <c r="N1365" s="49" t="s">
        <v>973</v>
      </c>
      <c r="O1365" s="45"/>
      <c r="P1365" s="80"/>
      <c r="Q1365" s="48"/>
      <c r="R1365" s="45"/>
      <c r="S1365" s="115"/>
      <c r="T1365" s="20"/>
      <c r="U1365" s="20">
        <v>44830</v>
      </c>
      <c r="V1365" s="20">
        <v>44830</v>
      </c>
      <c r="W1365" s="27"/>
    </row>
    <row r="1366" spans="1:23" ht="60" hidden="1" customHeight="1" x14ac:dyDescent="0.25">
      <c r="A1366" s="45" t="str">
        <f>CONCATENATE(Tabla2[[#This Row],[id_solicitud]],Tabla2[[#This Row],[tipo]])</f>
        <v>164Respuesta_Reasignacion_Interna</v>
      </c>
      <c r="B1366" s="45">
        <f>COUNTIF($A$2:A1366,A1366)</f>
        <v>1</v>
      </c>
      <c r="C1366" s="45" t="str">
        <f>Tabla2[[#This Row],[(id_solicitud-tipo_documento)]]&amp;B1366</f>
        <v>164Respuesta_Reasignacion_Interna1</v>
      </c>
      <c r="D1366" s="45">
        <v>1368</v>
      </c>
      <c r="E1366" s="45">
        <v>164</v>
      </c>
      <c r="F1366" s="45" t="s">
        <v>1279</v>
      </c>
      <c r="G1366" s="45" t="s">
        <v>1258</v>
      </c>
      <c r="H1366" s="50" t="s">
        <v>26</v>
      </c>
      <c r="I1366" s="51">
        <v>3080204</v>
      </c>
      <c r="J1366" s="80"/>
      <c r="K13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66" s="48">
        <v>44687</v>
      </c>
      <c r="M1366" s="48"/>
      <c r="N1366" s="49">
        <f>E1366</f>
        <v>164</v>
      </c>
      <c r="O1366" s="45"/>
      <c r="P1366" s="80"/>
      <c r="Q1366" s="48"/>
      <c r="R1366" s="45"/>
      <c r="S1366" s="115"/>
      <c r="T1366" s="20"/>
      <c r="U1366" s="20"/>
      <c r="V1366" s="20"/>
      <c r="W1366" s="27"/>
    </row>
    <row r="1367" spans="1:23" ht="60" hidden="1" customHeight="1" x14ac:dyDescent="0.25">
      <c r="A1367" s="45" t="str">
        <f>CONCATENATE(Tabla2[[#This Row],[id_solicitud]],Tabla2[[#This Row],[tipo]])</f>
        <v>193Respuesta_Reasignacion_Interna</v>
      </c>
      <c r="B1367" s="45">
        <f>COUNTIF($A$2:A1367,A1367)</f>
        <v>1</v>
      </c>
      <c r="C1367" s="45" t="str">
        <f>Tabla2[[#This Row],[(id_solicitud-tipo_documento)]]&amp;B1367</f>
        <v>193Respuesta_Reasignacion_Interna1</v>
      </c>
      <c r="D1367" s="45">
        <v>1369</v>
      </c>
      <c r="E1367" s="45">
        <v>193</v>
      </c>
      <c r="F1367" s="45" t="s">
        <v>1279</v>
      </c>
      <c r="G1367" s="45" t="s">
        <v>1258</v>
      </c>
      <c r="H1367" s="50" t="s">
        <v>538</v>
      </c>
      <c r="I1367" s="51">
        <v>3090254</v>
      </c>
      <c r="J1367" s="80"/>
      <c r="K13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67" s="48">
        <v>44687</v>
      </c>
      <c r="M1367" s="48"/>
      <c r="N1367" s="49">
        <f>E1367</f>
        <v>193</v>
      </c>
      <c r="O1367" s="45"/>
      <c r="P1367" s="80"/>
      <c r="Q1367" s="48"/>
      <c r="R1367" s="45"/>
      <c r="S1367" s="115"/>
      <c r="T1367" s="20"/>
      <c r="U1367" s="20"/>
      <c r="V1367" s="20"/>
      <c r="W1367" s="27"/>
    </row>
    <row r="1368" spans="1:23" ht="60" hidden="1" customHeight="1" x14ac:dyDescent="0.25">
      <c r="A1368" s="45" t="str">
        <f>CONCATENATE(Tabla2[[#This Row],[id_solicitud]],Tabla2[[#This Row],[tipo]])</f>
        <v>263Proposicion</v>
      </c>
      <c r="B1368" s="45">
        <f>COUNTIF($A$2:A1368,A1368)</f>
        <v>1</v>
      </c>
      <c r="C1368" s="45" t="str">
        <f>Tabla2[[#This Row],[(id_solicitud-tipo_documento)]]&amp;B1368</f>
        <v>263Proposicion1</v>
      </c>
      <c r="D1368" s="45">
        <v>1370</v>
      </c>
      <c r="E1368" s="45">
        <v>263</v>
      </c>
      <c r="F1368" s="45" t="s">
        <v>46</v>
      </c>
      <c r="G1368" s="45" t="s">
        <v>1258</v>
      </c>
      <c r="H1368" s="50" t="s">
        <v>26</v>
      </c>
      <c r="I1368" s="51">
        <v>4200204</v>
      </c>
      <c r="J1368" s="80"/>
      <c r="K13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4200204 DV</v>
      </c>
      <c r="L1368" s="48">
        <v>44741</v>
      </c>
      <c r="M1368" s="48">
        <v>44741</v>
      </c>
      <c r="N1368" s="49" t="s">
        <v>673</v>
      </c>
      <c r="O1368" s="45">
        <v>36</v>
      </c>
      <c r="P1368" s="80" t="s">
        <v>494</v>
      </c>
      <c r="Q1368" s="24"/>
      <c r="R1368" s="24" t="s">
        <v>24</v>
      </c>
      <c r="S1368" s="114"/>
      <c r="T1368" s="45"/>
      <c r="U1368" s="48"/>
      <c r="V1368" s="48"/>
      <c r="W1368" s="27"/>
    </row>
    <row r="1369" spans="1:23" ht="60" hidden="1" customHeight="1" x14ac:dyDescent="0.25">
      <c r="A1369" s="45" t="str">
        <f>CONCATENATE(Tabla2[[#This Row],[id_solicitud]],Tabla2[[#This Row],[tipo]])</f>
        <v>263Respuesta_Reasignacion_Interna</v>
      </c>
      <c r="B1369" s="45">
        <f>COUNTIF($A$2:A1369,A1369)</f>
        <v>1</v>
      </c>
      <c r="C1369" s="45" t="str">
        <f>Tabla2[[#This Row],[(id_solicitud-tipo_documento)]]&amp;B1369</f>
        <v>263Respuesta_Reasignacion_Interna1</v>
      </c>
      <c r="D1369" s="45">
        <v>1371</v>
      </c>
      <c r="E1369" s="45">
        <v>263</v>
      </c>
      <c r="F1369" s="45" t="s">
        <v>1279</v>
      </c>
      <c r="G1369" s="45" t="s">
        <v>1258</v>
      </c>
      <c r="H1369" s="50" t="s">
        <v>26</v>
      </c>
      <c r="I1369" s="51">
        <v>4200204</v>
      </c>
      <c r="J1369" s="80"/>
      <c r="K13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69" s="48">
        <v>44741</v>
      </c>
      <c r="M1369" s="48"/>
      <c r="N1369" s="49" t="s">
        <v>673</v>
      </c>
      <c r="O1369" s="45"/>
      <c r="P1369" s="80"/>
      <c r="Q1369" s="48"/>
      <c r="R1369" s="45"/>
      <c r="S1369" s="115"/>
      <c r="T1369" s="20"/>
      <c r="U1369" s="20">
        <v>44741</v>
      </c>
      <c r="V1369" s="20">
        <v>44743</v>
      </c>
      <c r="W1369" s="27"/>
    </row>
    <row r="1370" spans="1:23" ht="60" hidden="1" customHeight="1" x14ac:dyDescent="0.25">
      <c r="A1370" s="45" t="str">
        <f>CONCATENATE(Tabla2[[#This Row],[id_solicitud]],Tabla2[[#This Row],[tipo]])</f>
        <v>264Proposicion</v>
      </c>
      <c r="B1370" s="45">
        <f>COUNTIF($A$2:A1370,A1370)</f>
        <v>1</v>
      </c>
      <c r="C1370" s="45" t="str">
        <f>Tabla2[[#This Row],[(id_solicitud-tipo_documento)]]&amp;B1370</f>
        <v>264Proposicion1</v>
      </c>
      <c r="D1370" s="45">
        <v>1372</v>
      </c>
      <c r="E1370" s="45">
        <v>264</v>
      </c>
      <c r="F1370" s="45" t="s">
        <v>46</v>
      </c>
      <c r="G1370" s="45" t="s">
        <v>1258</v>
      </c>
      <c r="H1370" s="50" t="s">
        <v>538</v>
      </c>
      <c r="I1370" s="51">
        <v>4210254</v>
      </c>
      <c r="J1370" s="80"/>
      <c r="K13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4210254 DV_FETCovid19</v>
      </c>
      <c r="L1370" s="48">
        <v>44741</v>
      </c>
      <c r="M1370" s="48">
        <v>44741</v>
      </c>
      <c r="N1370" s="49" t="s">
        <v>674</v>
      </c>
      <c r="O1370" s="45">
        <v>6</v>
      </c>
      <c r="P1370" s="80" t="s">
        <v>494</v>
      </c>
      <c r="Q1370" s="24"/>
      <c r="R1370" s="24" t="s">
        <v>24</v>
      </c>
      <c r="S1370" s="114"/>
      <c r="T1370" s="45"/>
      <c r="U1370" s="48"/>
      <c r="V1370" s="48"/>
      <c r="W1370" s="27"/>
    </row>
    <row r="1371" spans="1:23" ht="60" hidden="1" customHeight="1" x14ac:dyDescent="0.25">
      <c r="A1371" s="45" t="str">
        <f>CONCATENATE(Tabla2[[#This Row],[id_solicitud]],Tabla2[[#This Row],[tipo]])</f>
        <v>264Respuesta_Reasignacion_Interna</v>
      </c>
      <c r="B1371" s="45">
        <f>COUNTIF($A$2:A1371,A1371)</f>
        <v>1</v>
      </c>
      <c r="C1371" s="45" t="str">
        <f>Tabla2[[#This Row],[(id_solicitud-tipo_documento)]]&amp;B1371</f>
        <v>264Respuesta_Reasignacion_Interna1</v>
      </c>
      <c r="D1371" s="45">
        <v>1373</v>
      </c>
      <c r="E1371" s="45">
        <v>264</v>
      </c>
      <c r="F1371" s="45" t="s">
        <v>1279</v>
      </c>
      <c r="G1371" s="45" t="s">
        <v>1258</v>
      </c>
      <c r="H1371" s="50" t="s">
        <v>538</v>
      </c>
      <c r="I1371" s="51">
        <v>4210254</v>
      </c>
      <c r="J1371" s="80"/>
      <c r="K13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71" s="48">
        <v>44741</v>
      </c>
      <c r="M1371" s="48"/>
      <c r="N1371" s="49" t="s">
        <v>674</v>
      </c>
      <c r="O1371" s="45"/>
      <c r="P1371" s="80"/>
      <c r="Q1371" s="48"/>
      <c r="R1371" s="45"/>
      <c r="S1371" s="115"/>
      <c r="T1371" s="20"/>
      <c r="U1371" s="20">
        <v>44741</v>
      </c>
      <c r="V1371" s="20">
        <v>44743</v>
      </c>
      <c r="W1371" s="27"/>
    </row>
    <row r="1372" spans="1:23" ht="60" hidden="1" customHeight="1" x14ac:dyDescent="0.25">
      <c r="A1372" s="45" t="str">
        <f>CONCATENATE(Tabla2[[#This Row],[id_solicitud]],Tabla2[[#This Row],[tipo]])</f>
        <v>290Respuesta_Reasignacion_Interna</v>
      </c>
      <c r="B1372" s="45">
        <f>COUNTIF($A$2:A1372,A1372)</f>
        <v>1</v>
      </c>
      <c r="C1372" s="45" t="str">
        <f>Tabla2[[#This Row],[(id_solicitud-tipo_documento)]]&amp;B1372</f>
        <v>290Respuesta_Reasignacion_Interna1</v>
      </c>
      <c r="D1372" s="45">
        <v>1375</v>
      </c>
      <c r="E1372" s="45">
        <v>290</v>
      </c>
      <c r="F1372" s="45" t="s">
        <v>1279</v>
      </c>
      <c r="G1372" s="45" t="s">
        <v>1258</v>
      </c>
      <c r="H1372" s="50" t="s">
        <v>20</v>
      </c>
      <c r="I1372" s="51">
        <v>4520203</v>
      </c>
      <c r="J1372" s="80"/>
      <c r="K13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72" s="48">
        <v>44750</v>
      </c>
      <c r="M1372" s="48"/>
      <c r="N1372" s="49">
        <f>E1372</f>
        <v>290</v>
      </c>
      <c r="O1372" s="45"/>
      <c r="P1372" s="80"/>
      <c r="Q1372" s="48"/>
      <c r="R1372" s="45"/>
      <c r="S1372" s="115"/>
      <c r="T1372" s="20"/>
      <c r="U1372" s="20">
        <v>44750</v>
      </c>
      <c r="V1372" s="20">
        <v>44750</v>
      </c>
      <c r="W1372" s="27"/>
    </row>
    <row r="1373" spans="1:23" ht="60" hidden="1" customHeight="1" x14ac:dyDescent="0.25">
      <c r="A1373" s="45" t="str">
        <f>CONCATENATE(Tabla2[[#This Row],[id_solicitud]],Tabla2[[#This Row],[tipo]])</f>
        <v>273Respuesta_Reasignacion_Interna</v>
      </c>
      <c r="B1373" s="45">
        <f>COUNTIF($A$2:A1373,A1373)</f>
        <v>1</v>
      </c>
      <c r="C1373" s="45" t="str">
        <f>Tabla2[[#This Row],[(id_solicitud-tipo_documento)]]&amp;B1373</f>
        <v>273Respuesta_Reasignacion_Interna1</v>
      </c>
      <c r="D1373" s="45">
        <v>1376</v>
      </c>
      <c r="E1373" s="45">
        <v>273</v>
      </c>
      <c r="F1373" s="45" t="s">
        <v>1279</v>
      </c>
      <c r="G1373" s="45" t="s">
        <v>1258</v>
      </c>
      <c r="H1373" s="50" t="s">
        <v>20</v>
      </c>
      <c r="I1373" s="51">
        <v>4560203</v>
      </c>
      <c r="J1373" s="80"/>
      <c r="K13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73" s="48">
        <v>44750</v>
      </c>
      <c r="M1373" s="48"/>
      <c r="N1373" s="49">
        <f>E1373</f>
        <v>273</v>
      </c>
      <c r="O1373" s="45"/>
      <c r="P1373" s="80"/>
      <c r="Q1373" s="48"/>
      <c r="R1373" s="45"/>
      <c r="S1373" s="115"/>
      <c r="T1373" s="20"/>
      <c r="U1373" s="20">
        <v>44750</v>
      </c>
      <c r="V1373" s="20">
        <v>44750</v>
      </c>
      <c r="W1373" s="27"/>
    </row>
    <row r="1374" spans="1:23" ht="60" hidden="1" customHeight="1" x14ac:dyDescent="0.25">
      <c r="A1374" s="45" t="str">
        <f>CONCATENATE(Tabla2[[#This Row],[id_solicitud]],Tabla2[[#This Row],[tipo]])</f>
        <v>293Respuesta_Reasignacion_Interna</v>
      </c>
      <c r="B1374" s="45">
        <f>COUNTIF($A$2:A1374,A1374)</f>
        <v>1</v>
      </c>
      <c r="C1374" s="45" t="str">
        <f>Tabla2[[#This Row],[(id_solicitud-tipo_documento)]]&amp;B1374</f>
        <v>293Respuesta_Reasignacion_Interna1</v>
      </c>
      <c r="D1374" s="45">
        <v>1377</v>
      </c>
      <c r="E1374" s="45">
        <v>293</v>
      </c>
      <c r="F1374" s="45" t="s">
        <v>1279</v>
      </c>
      <c r="G1374" s="45" t="s">
        <v>1258</v>
      </c>
      <c r="H1374" s="50" t="s">
        <v>538</v>
      </c>
      <c r="I1374" s="51">
        <v>4810254</v>
      </c>
      <c r="J1374" s="80"/>
      <c r="K13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74" s="48">
        <v>44763</v>
      </c>
      <c r="M1374" s="48"/>
      <c r="N1374" s="49" t="s">
        <v>679</v>
      </c>
      <c r="O1374" s="45"/>
      <c r="P1374" s="80"/>
      <c r="Q1374" s="48"/>
      <c r="R1374" s="45"/>
      <c r="S1374" s="115"/>
      <c r="T1374" s="20"/>
      <c r="U1374" s="20">
        <v>44763</v>
      </c>
      <c r="V1374" s="20"/>
      <c r="W1374" s="27"/>
    </row>
    <row r="1375" spans="1:23" ht="60" hidden="1" customHeight="1" x14ac:dyDescent="0.25">
      <c r="A1375" s="45" t="str">
        <f>CONCATENATE(Tabla2[[#This Row],[id_solicitud]],Tabla2[[#This Row],[tipo]])</f>
        <v>299Respuesta_Reasignacion_Interna</v>
      </c>
      <c r="B1375" s="45">
        <f>COUNTIF($A$2:A1375,A1375)</f>
        <v>1</v>
      </c>
      <c r="C1375" s="45" t="str">
        <f>Tabla2[[#This Row],[(id_solicitud-tipo_documento)]]&amp;B1375</f>
        <v>299Respuesta_Reasignacion_Interna1</v>
      </c>
      <c r="D1375" s="45">
        <v>1378</v>
      </c>
      <c r="E1375" s="45">
        <v>299</v>
      </c>
      <c r="F1375" s="45" t="s">
        <v>1279</v>
      </c>
      <c r="G1375" s="45" t="s">
        <v>1258</v>
      </c>
      <c r="H1375" s="50" t="s">
        <v>10</v>
      </c>
      <c r="I1375" s="51">
        <v>4820207</v>
      </c>
      <c r="J1375" s="80"/>
      <c r="K13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75" s="48">
        <v>44763</v>
      </c>
      <c r="M1375" s="48"/>
      <c r="N1375" s="49">
        <f>E1375</f>
        <v>299</v>
      </c>
      <c r="O1375" s="45"/>
      <c r="P1375" s="80"/>
      <c r="Q1375" s="48"/>
      <c r="R1375" s="45"/>
      <c r="S1375" s="115"/>
      <c r="T1375" s="20"/>
      <c r="U1375" s="20"/>
      <c r="V1375" s="20"/>
      <c r="W1375" s="27"/>
    </row>
    <row r="1376" spans="1:23" ht="60" hidden="1" customHeight="1" x14ac:dyDescent="0.25">
      <c r="A1376" s="45" t="str">
        <f>CONCATENATE(Tabla2[[#This Row],[id_solicitud]],Tabla2[[#This Row],[tipo]])</f>
        <v>306Respuesta_Reasignacion_Interna</v>
      </c>
      <c r="B1376" s="45">
        <f>COUNTIF($A$2:A1376,A1376)</f>
        <v>1</v>
      </c>
      <c r="C1376" s="45" t="str">
        <f>Tabla2[[#This Row],[(id_solicitud-tipo_documento)]]&amp;B1376</f>
        <v>306Respuesta_Reasignacion_Interna1</v>
      </c>
      <c r="D1376" s="45">
        <v>1379</v>
      </c>
      <c r="E1376" s="45">
        <v>306</v>
      </c>
      <c r="F1376" s="45" t="s">
        <v>1279</v>
      </c>
      <c r="G1376" s="45" t="s">
        <v>1258</v>
      </c>
      <c r="H1376" s="50" t="s">
        <v>581</v>
      </c>
      <c r="I1376" s="51">
        <v>4830257</v>
      </c>
      <c r="J1376" s="80"/>
      <c r="K13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76" s="48">
        <v>44763</v>
      </c>
      <c r="M1376" s="48"/>
      <c r="N1376" s="49">
        <f>E1376</f>
        <v>306</v>
      </c>
      <c r="O1376" s="45"/>
      <c r="P1376" s="80"/>
      <c r="Q1376" s="48"/>
      <c r="R1376" s="45"/>
      <c r="S1376" s="115"/>
      <c r="T1376" s="20"/>
      <c r="U1376" s="20"/>
      <c r="V1376" s="20"/>
      <c r="W1376" s="27"/>
    </row>
    <row r="1377" spans="1:23" ht="60" hidden="1" customHeight="1" x14ac:dyDescent="0.25">
      <c r="A1377" s="45" t="str">
        <f>CONCATENATE(Tabla2[[#This Row],[id_solicitud]],Tabla2[[#This Row],[tipo]])</f>
        <v>292Respuesta_Reasignacion_Interna</v>
      </c>
      <c r="B1377" s="45">
        <f>COUNTIF($A$2:A1377,A1377)</f>
        <v>1</v>
      </c>
      <c r="C1377" s="45" t="str">
        <f>Tabla2[[#This Row],[(id_solicitud-tipo_documento)]]&amp;B1377</f>
        <v>292Respuesta_Reasignacion_Interna1</v>
      </c>
      <c r="D1377" s="45">
        <v>1380</v>
      </c>
      <c r="E1377" s="45">
        <v>292</v>
      </c>
      <c r="F1377" s="45" t="s">
        <v>1279</v>
      </c>
      <c r="G1377" s="45" t="s">
        <v>1258</v>
      </c>
      <c r="H1377" s="50" t="s">
        <v>26</v>
      </c>
      <c r="I1377" s="51">
        <v>4850204</v>
      </c>
      <c r="J1377" s="80"/>
      <c r="K13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77" s="48">
        <v>44764</v>
      </c>
      <c r="M1377" s="48"/>
      <c r="N1377" s="49" t="s">
        <v>903</v>
      </c>
      <c r="O1377" s="45"/>
      <c r="P1377" s="80"/>
      <c r="Q1377" s="48"/>
      <c r="R1377" s="45"/>
      <c r="S1377" s="115"/>
      <c r="T1377" s="20"/>
      <c r="U1377" s="20">
        <v>44764</v>
      </c>
      <c r="V1377" s="20"/>
      <c r="W1377" s="27"/>
    </row>
    <row r="1378" spans="1:23" ht="60" hidden="1" customHeight="1" x14ac:dyDescent="0.25">
      <c r="A1378" s="45" t="str">
        <f>CONCATENATE(Tabla2[[#This Row],[id_solicitud]],Tabla2[[#This Row],[tipo]])</f>
        <v>328Respuesta_Reasignacion_Interna</v>
      </c>
      <c r="B1378" s="45">
        <f>COUNTIF($A$2:A1378,A1378)</f>
        <v>1</v>
      </c>
      <c r="C1378" s="45" t="str">
        <f>Tabla2[[#This Row],[(id_solicitud-tipo_documento)]]&amp;B1378</f>
        <v>328Respuesta_Reasignacion_Interna1</v>
      </c>
      <c r="D1378" s="45">
        <v>1381</v>
      </c>
      <c r="E1378" s="45">
        <v>328</v>
      </c>
      <c r="F1378" s="45" t="s">
        <v>1279</v>
      </c>
      <c r="G1378" s="45" t="s">
        <v>1258</v>
      </c>
      <c r="H1378" s="50" t="s">
        <v>26</v>
      </c>
      <c r="I1378" s="51">
        <v>5550204</v>
      </c>
      <c r="J1378" s="80"/>
      <c r="K13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78" s="48">
        <v>44790</v>
      </c>
      <c r="M1378" s="48"/>
      <c r="N1378" s="49" t="s">
        <v>918</v>
      </c>
      <c r="O1378" s="45"/>
      <c r="P1378" s="80"/>
      <c r="Q1378" s="48"/>
      <c r="R1378" s="45"/>
      <c r="S1378" s="115"/>
      <c r="T1378" s="20"/>
      <c r="U1378" s="20">
        <v>44790</v>
      </c>
      <c r="V1378" s="20">
        <v>44795</v>
      </c>
      <c r="W1378" s="27"/>
    </row>
    <row r="1379" spans="1:23" ht="60" hidden="1" customHeight="1" x14ac:dyDescent="0.25">
      <c r="A1379" s="45" t="str">
        <f>CONCATENATE(Tabla2[[#This Row],[id_solicitud]],Tabla2[[#This Row],[tipo]])</f>
        <v>423Respuesta_Reasignacion_Interna</v>
      </c>
      <c r="B1379" s="45">
        <f>COUNTIF($A$2:A1379,A1379)</f>
        <v>1</v>
      </c>
      <c r="C1379" s="45" t="str">
        <f>Tabla2[[#This Row],[(id_solicitud-tipo_documento)]]&amp;B1379</f>
        <v>423Respuesta_Reasignacion_Interna1</v>
      </c>
      <c r="D1379" s="45">
        <v>1382</v>
      </c>
      <c r="E1379" s="45">
        <v>423</v>
      </c>
      <c r="F1379" s="45" t="s">
        <v>1279</v>
      </c>
      <c r="G1379" s="45" t="s">
        <v>1258</v>
      </c>
      <c r="H1379" s="50" t="s">
        <v>538</v>
      </c>
      <c r="I1379" s="51">
        <v>6820254</v>
      </c>
      <c r="J1379" s="80"/>
      <c r="K13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79" s="48">
        <v>44833</v>
      </c>
      <c r="M1379" s="48"/>
      <c r="N1379" s="49" t="s">
        <v>719</v>
      </c>
      <c r="O1379" s="45"/>
      <c r="P1379" s="80"/>
      <c r="Q1379" s="48"/>
      <c r="R1379" s="45"/>
      <c r="S1379" s="115"/>
      <c r="T1379" s="20"/>
      <c r="U1379" s="20">
        <v>44833</v>
      </c>
      <c r="V1379" s="20">
        <v>44839</v>
      </c>
      <c r="W1379" s="27"/>
    </row>
    <row r="1380" spans="1:23" ht="60" hidden="1" customHeight="1" x14ac:dyDescent="0.25">
      <c r="A1380" s="45" t="str">
        <f>CONCATENATE(Tabla2[[#This Row],[id_solicitud]],Tabla2[[#This Row],[tipo]])</f>
        <v>422Respuesta_Reasignacion_Interna</v>
      </c>
      <c r="B1380" s="45">
        <f>COUNTIF($A$2:A1380,A1380)</f>
        <v>1</v>
      </c>
      <c r="C1380" s="45" t="str">
        <f>Tabla2[[#This Row],[(id_solicitud-tipo_documento)]]&amp;B1380</f>
        <v>422Respuesta_Reasignacion_Interna1</v>
      </c>
      <c r="D1380" s="45">
        <v>1383</v>
      </c>
      <c r="E1380" s="45">
        <v>422</v>
      </c>
      <c r="F1380" s="45" t="s">
        <v>1279</v>
      </c>
      <c r="G1380" s="45" t="s">
        <v>1258</v>
      </c>
      <c r="H1380" s="50" t="s">
        <v>26</v>
      </c>
      <c r="I1380" s="51">
        <v>6830204</v>
      </c>
      <c r="J1380" s="80"/>
      <c r="K13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80" s="48">
        <v>44833</v>
      </c>
      <c r="M1380" s="48"/>
      <c r="N1380" s="49" t="s">
        <v>978</v>
      </c>
      <c r="O1380" s="45"/>
      <c r="P1380" s="80"/>
      <c r="Q1380" s="48"/>
      <c r="R1380" s="45"/>
      <c r="S1380" s="115"/>
      <c r="T1380" s="20"/>
      <c r="U1380" s="20">
        <v>44833</v>
      </c>
      <c r="V1380" s="20">
        <v>44839</v>
      </c>
      <c r="W1380" s="27"/>
    </row>
    <row r="1381" spans="1:23" ht="60" hidden="1" customHeight="1" x14ac:dyDescent="0.25">
      <c r="A1381" s="45" t="str">
        <f>CONCATENATE(Tabla2[[#This Row],[id_solicitud]],Tabla2[[#This Row],[tipo]])</f>
        <v>504Respuesta_Reasignacion_Interna</v>
      </c>
      <c r="B1381" s="45">
        <f>COUNTIF($A$2:A1381,A1381)</f>
        <v>1</v>
      </c>
      <c r="C1381" s="45" t="str">
        <f>Tabla2[[#This Row],[(id_solicitud-tipo_documento)]]&amp;B1381</f>
        <v>504Respuesta_Reasignacion_Interna1</v>
      </c>
      <c r="D1381" s="45">
        <v>1384</v>
      </c>
      <c r="E1381" s="45">
        <v>504</v>
      </c>
      <c r="F1381" s="45" t="s">
        <v>1279</v>
      </c>
      <c r="G1381" s="45" t="s">
        <v>1258</v>
      </c>
      <c r="H1381" s="50" t="s">
        <v>538</v>
      </c>
      <c r="I1381" s="51">
        <v>7940254</v>
      </c>
      <c r="J1381" s="80"/>
      <c r="K13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81" s="48">
        <v>44873</v>
      </c>
      <c r="M1381" s="48"/>
      <c r="N1381" s="49" t="s">
        <v>1001</v>
      </c>
      <c r="O1381" s="45"/>
      <c r="P1381" s="80"/>
      <c r="Q1381" s="48"/>
      <c r="R1381" s="45"/>
      <c r="S1381" s="115"/>
      <c r="T1381" s="20"/>
      <c r="U1381" s="20">
        <v>44873</v>
      </c>
      <c r="V1381" s="20"/>
      <c r="W1381" s="27"/>
    </row>
    <row r="1382" spans="1:23" ht="60" hidden="1" customHeight="1" x14ac:dyDescent="0.25">
      <c r="A1382" s="45" t="str">
        <f>CONCATENATE(Tabla2[[#This Row],[id_solicitud]],Tabla2[[#This Row],[tipo]])</f>
        <v>55Respuesta_Reasignacion_Interna</v>
      </c>
      <c r="B1382" s="45">
        <f>COUNTIF($A$2:A1382,A1382)</f>
        <v>1</v>
      </c>
      <c r="C1382" s="45" t="str">
        <f>Tabla2[[#This Row],[(id_solicitud-tipo_documento)]]&amp;B1382</f>
        <v>55Respuesta_Reasignacion_Interna1</v>
      </c>
      <c r="D1382" s="45">
        <v>1386</v>
      </c>
      <c r="E1382" s="45">
        <v>55</v>
      </c>
      <c r="F1382" s="45" t="s">
        <v>1279</v>
      </c>
      <c r="G1382" s="45" t="s">
        <v>1258</v>
      </c>
      <c r="H1382" s="50" t="s">
        <v>10</v>
      </c>
      <c r="I1382" s="51">
        <v>20700138</v>
      </c>
      <c r="J1382" s="80"/>
      <c r="K13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82" s="48">
        <v>44592</v>
      </c>
      <c r="M1382" s="48"/>
      <c r="N1382" s="49" t="s">
        <v>113</v>
      </c>
      <c r="O1382" s="45"/>
      <c r="P1382" s="80"/>
      <c r="Q1382" s="48"/>
      <c r="R1382" s="45"/>
      <c r="S1382" s="115"/>
      <c r="T1382" s="20"/>
      <c r="U1382" s="20"/>
      <c r="V1382" s="20"/>
      <c r="W1382" s="27"/>
    </row>
    <row r="1383" spans="1:23" ht="60" hidden="1" customHeight="1" x14ac:dyDescent="0.25">
      <c r="A1383" s="45" t="str">
        <f>CONCATENATE(Tabla2[[#This Row],[id_solicitud]],Tabla2[[#This Row],[tipo]])</f>
        <v>85Respuesta_Reasignacion_Interna</v>
      </c>
      <c r="B1383" s="45">
        <f>COUNTIF($A$2:A1383,A1383)</f>
        <v>1</v>
      </c>
      <c r="C1383" s="45" t="str">
        <f>Tabla2[[#This Row],[(id_solicitud-tipo_documento)]]&amp;B1383</f>
        <v>85Respuesta_Reasignacion_Interna1</v>
      </c>
      <c r="D1383" s="45">
        <v>1387</v>
      </c>
      <c r="E1383" s="45">
        <v>85</v>
      </c>
      <c r="F1383" s="45" t="s">
        <v>1279</v>
      </c>
      <c r="G1383" s="45" t="s">
        <v>1258</v>
      </c>
      <c r="H1383" s="50" t="s">
        <v>544</v>
      </c>
      <c r="I1383" s="51">
        <v>20700262</v>
      </c>
      <c r="J1383" s="80"/>
      <c r="K13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83" s="48">
        <v>44614</v>
      </c>
      <c r="M1383" s="48"/>
      <c r="N1383" s="49" t="s">
        <v>136</v>
      </c>
      <c r="O1383" s="45"/>
      <c r="P1383" s="80"/>
      <c r="Q1383" s="48"/>
      <c r="R1383" s="45"/>
      <c r="S1383" s="115"/>
      <c r="T1383" s="20"/>
      <c r="U1383" s="20"/>
      <c r="V1383" s="20"/>
      <c r="W1383" s="27"/>
    </row>
    <row r="1384" spans="1:23" ht="60" hidden="1" customHeight="1" x14ac:dyDescent="0.25">
      <c r="A1384" s="45" t="str">
        <f>CONCATENATE(Tabla2[[#This Row],[id_solicitud]],Tabla2[[#This Row],[tipo]])</f>
        <v>120Respuesta_Reasignacion_Interna</v>
      </c>
      <c r="B1384" s="45">
        <f>COUNTIF($A$2:A1384,A1384)</f>
        <v>1</v>
      </c>
      <c r="C1384" s="45" t="str">
        <f>Tabla2[[#This Row],[(id_solicitud-tipo_documento)]]&amp;B1384</f>
        <v>120Respuesta_Reasignacion_Interna1</v>
      </c>
      <c r="D1384" s="45">
        <v>1388</v>
      </c>
      <c r="E1384" s="45">
        <v>120</v>
      </c>
      <c r="F1384" s="45" t="s">
        <v>1279</v>
      </c>
      <c r="G1384" s="45" t="s">
        <v>1258</v>
      </c>
      <c r="H1384" s="50" t="s">
        <v>10</v>
      </c>
      <c r="I1384" s="51">
        <v>20700400</v>
      </c>
      <c r="J1384" s="80"/>
      <c r="K13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84" s="48">
        <v>44643</v>
      </c>
      <c r="M1384" s="48"/>
      <c r="N1384" s="49" t="s">
        <v>167</v>
      </c>
      <c r="O1384" s="45"/>
      <c r="P1384" s="80"/>
      <c r="Q1384" s="48"/>
      <c r="R1384" s="45"/>
      <c r="S1384" s="115"/>
      <c r="T1384" s="20"/>
      <c r="U1384" s="20"/>
      <c r="V1384" s="20"/>
      <c r="W1384" s="27"/>
    </row>
    <row r="1385" spans="1:23" ht="60" hidden="1" customHeight="1" x14ac:dyDescent="0.25">
      <c r="A1385" s="45" t="str">
        <f>CONCATENATE(Tabla2[[#This Row],[id_solicitud]],Tabla2[[#This Row],[tipo]])</f>
        <v>111Respuesta_Reasignacion_Interna</v>
      </c>
      <c r="B1385" s="45">
        <f>COUNTIF($A$2:A1385,A1385)</f>
        <v>1</v>
      </c>
      <c r="C1385" s="45" t="str">
        <f>Tabla2[[#This Row],[(id_solicitud-tipo_documento)]]&amp;B1385</f>
        <v>111Respuesta_Reasignacion_Interna1</v>
      </c>
      <c r="D1385" s="45">
        <v>1389</v>
      </c>
      <c r="E1385" s="45">
        <v>111</v>
      </c>
      <c r="F1385" s="45" t="s">
        <v>1279</v>
      </c>
      <c r="G1385" s="45" t="s">
        <v>1258</v>
      </c>
      <c r="H1385" s="50" t="s">
        <v>544</v>
      </c>
      <c r="I1385" s="51">
        <v>20700401</v>
      </c>
      <c r="J1385" s="80"/>
      <c r="K13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85" s="48">
        <v>44643</v>
      </c>
      <c r="M1385" s="48"/>
      <c r="N1385" s="49" t="s">
        <v>158</v>
      </c>
      <c r="O1385" s="45"/>
      <c r="P1385" s="80"/>
      <c r="Q1385" s="48"/>
      <c r="R1385" s="45"/>
      <c r="S1385" s="115"/>
      <c r="T1385" s="20"/>
      <c r="U1385" s="20"/>
      <c r="V1385" s="20"/>
      <c r="W1385" s="27"/>
    </row>
    <row r="1386" spans="1:23" ht="60" hidden="1" customHeight="1" x14ac:dyDescent="0.25">
      <c r="A1386" s="45" t="str">
        <f>CONCATENATE(Tabla2[[#This Row],[id_solicitud]],Tabla2[[#This Row],[tipo]])</f>
        <v>148Respuesta_Reasignacion_Interna</v>
      </c>
      <c r="B1386" s="45">
        <f>COUNTIF($A$2:A1386,A1386)</f>
        <v>1</v>
      </c>
      <c r="C1386" s="45" t="str">
        <f>Tabla2[[#This Row],[(id_solicitud-tipo_documento)]]&amp;B1386</f>
        <v>148Respuesta_Reasignacion_Interna1</v>
      </c>
      <c r="D1386" s="45">
        <v>1390</v>
      </c>
      <c r="E1386" s="45">
        <v>148</v>
      </c>
      <c r="F1386" s="45" t="s">
        <v>1279</v>
      </c>
      <c r="G1386" s="45" t="s">
        <v>1258</v>
      </c>
      <c r="H1386" s="50" t="s">
        <v>544</v>
      </c>
      <c r="I1386" s="51">
        <v>20700504</v>
      </c>
      <c r="J1386" s="80"/>
      <c r="K13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86" s="48">
        <v>44662</v>
      </c>
      <c r="M1386" s="48"/>
      <c r="N1386" s="49" t="s">
        <v>647</v>
      </c>
      <c r="O1386" s="45"/>
      <c r="P1386" s="80"/>
      <c r="Q1386" s="48"/>
      <c r="R1386" s="45"/>
      <c r="S1386" s="115"/>
      <c r="T1386" s="20"/>
      <c r="U1386" s="20"/>
      <c r="V1386" s="20"/>
      <c r="W1386" s="27"/>
    </row>
    <row r="1387" spans="1:23" ht="60" hidden="1" customHeight="1" x14ac:dyDescent="0.25">
      <c r="A1387" s="45" t="str">
        <f>CONCATENATE(Tabla2[[#This Row],[id_solicitud]],Tabla2[[#This Row],[tipo]])</f>
        <v>167Respuesta_Reasignacion_Interna</v>
      </c>
      <c r="B1387" s="45">
        <f>COUNTIF($A$2:A1387,A1387)</f>
        <v>1</v>
      </c>
      <c r="C1387" s="45" t="str">
        <f>Tabla2[[#This Row],[(id_solicitud-tipo_documento)]]&amp;B1387</f>
        <v>167Respuesta_Reasignacion_Interna1</v>
      </c>
      <c r="D1387" s="45">
        <v>1391</v>
      </c>
      <c r="E1387" s="45">
        <v>167</v>
      </c>
      <c r="F1387" s="45" t="s">
        <v>1279</v>
      </c>
      <c r="G1387" s="45" t="s">
        <v>1258</v>
      </c>
      <c r="H1387" s="50" t="s">
        <v>10</v>
      </c>
      <c r="I1387" s="51">
        <v>20700575</v>
      </c>
      <c r="J1387" s="80"/>
      <c r="K13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87" s="48">
        <v>44676</v>
      </c>
      <c r="M1387" s="48"/>
      <c r="N1387" s="49" t="s">
        <v>208</v>
      </c>
      <c r="O1387" s="45"/>
      <c r="P1387" s="80"/>
      <c r="Q1387" s="48"/>
      <c r="R1387" s="45"/>
      <c r="S1387" s="115"/>
      <c r="T1387" s="20"/>
      <c r="U1387" s="20"/>
      <c r="V1387" s="20"/>
      <c r="W1387" s="27"/>
    </row>
    <row r="1388" spans="1:23" ht="60" hidden="1" customHeight="1" x14ac:dyDescent="0.25">
      <c r="A1388" s="45" t="str">
        <f>CONCATENATE(Tabla2[[#This Row],[id_solicitud]],Tabla2[[#This Row],[tipo]])</f>
        <v>166Respuesta_Reasignacion_Interna</v>
      </c>
      <c r="B1388" s="45">
        <f>COUNTIF($A$2:A1388,A1388)</f>
        <v>1</v>
      </c>
      <c r="C1388" s="45" t="str">
        <f>Tabla2[[#This Row],[(id_solicitud-tipo_documento)]]&amp;B1388</f>
        <v>166Respuesta_Reasignacion_Interna1</v>
      </c>
      <c r="D1388" s="45">
        <v>1392</v>
      </c>
      <c r="E1388" s="45">
        <v>166</v>
      </c>
      <c r="F1388" s="45" t="s">
        <v>1279</v>
      </c>
      <c r="G1388" s="45" t="s">
        <v>1258</v>
      </c>
      <c r="H1388" s="50" t="s">
        <v>544</v>
      </c>
      <c r="I1388" s="51">
        <v>20700576</v>
      </c>
      <c r="J1388" s="80"/>
      <c r="K13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88" s="48">
        <v>44676</v>
      </c>
      <c r="M1388" s="48"/>
      <c r="N1388" s="49" t="s">
        <v>207</v>
      </c>
      <c r="O1388" s="45"/>
      <c r="P1388" s="80"/>
      <c r="Q1388" s="48"/>
      <c r="R1388" s="45"/>
      <c r="S1388" s="115"/>
      <c r="T1388" s="20"/>
      <c r="U1388" s="20"/>
      <c r="V1388" s="20"/>
      <c r="W1388" s="27"/>
    </row>
    <row r="1389" spans="1:23" ht="60" hidden="1" customHeight="1" x14ac:dyDescent="0.25">
      <c r="A1389" s="45" t="str">
        <f>CONCATENATE(Tabla2[[#This Row],[id_solicitud]],Tabla2[[#This Row],[tipo]])</f>
        <v>204Respuesta_Reasignacion_Interna</v>
      </c>
      <c r="B1389" s="45">
        <f>COUNTIF($A$2:A1389,A1389)</f>
        <v>1</v>
      </c>
      <c r="C1389" s="45" t="str">
        <f>Tabla2[[#This Row],[(id_solicitud-tipo_documento)]]&amp;B1389</f>
        <v>204Respuesta_Reasignacion_Interna1</v>
      </c>
      <c r="D1389" s="45">
        <v>1393</v>
      </c>
      <c r="E1389" s="45">
        <v>204</v>
      </c>
      <c r="F1389" s="45" t="s">
        <v>1279</v>
      </c>
      <c r="G1389" s="45" t="s">
        <v>1258</v>
      </c>
      <c r="H1389" s="50" t="s">
        <v>544</v>
      </c>
      <c r="I1389" s="51">
        <v>20700735</v>
      </c>
      <c r="J1389" s="80"/>
      <c r="K13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89" s="48">
        <v>44699</v>
      </c>
      <c r="M1389" s="48"/>
      <c r="N1389" s="49" t="s">
        <v>233</v>
      </c>
      <c r="O1389" s="45"/>
      <c r="P1389" s="80"/>
      <c r="Q1389" s="48"/>
      <c r="R1389" s="45"/>
      <c r="S1389" s="115"/>
      <c r="T1389" s="20"/>
      <c r="U1389" s="20"/>
      <c r="V1389" s="20"/>
      <c r="W1389" s="27"/>
    </row>
    <row r="1390" spans="1:23" ht="60" hidden="1" customHeight="1" x14ac:dyDescent="0.25">
      <c r="A1390" s="45" t="str">
        <f>CONCATENATE(Tabla2[[#This Row],[id_solicitud]],Tabla2[[#This Row],[tipo]])</f>
        <v>220Respuesta_Reasignacion_Interna</v>
      </c>
      <c r="B1390" s="45">
        <f>COUNTIF($A$2:A1390,A1390)</f>
        <v>1</v>
      </c>
      <c r="C1390" s="45" t="str">
        <f>Tabla2[[#This Row],[(id_solicitud-tipo_documento)]]&amp;B1390</f>
        <v>220Respuesta_Reasignacion_Interna1</v>
      </c>
      <c r="D1390" s="45">
        <v>1394</v>
      </c>
      <c r="E1390" s="45">
        <v>220</v>
      </c>
      <c r="F1390" s="45" t="s">
        <v>1279</v>
      </c>
      <c r="G1390" s="45" t="s">
        <v>1258</v>
      </c>
      <c r="H1390" s="50" t="s">
        <v>544</v>
      </c>
      <c r="I1390" s="51">
        <v>20700788</v>
      </c>
      <c r="J1390" s="80"/>
      <c r="K13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90" s="48">
        <v>44706</v>
      </c>
      <c r="M1390" s="48"/>
      <c r="N1390" s="49" t="s">
        <v>248</v>
      </c>
      <c r="O1390" s="45"/>
      <c r="P1390" s="80"/>
      <c r="Q1390" s="48"/>
      <c r="R1390" s="45"/>
      <c r="S1390" s="115"/>
      <c r="T1390" s="20"/>
      <c r="U1390" s="20"/>
      <c r="V1390" s="20"/>
      <c r="W1390" s="27"/>
    </row>
    <row r="1391" spans="1:23" ht="60" hidden="1" customHeight="1" x14ac:dyDescent="0.25">
      <c r="A1391" s="45" t="str">
        <f>CONCATENATE(Tabla2[[#This Row],[id_solicitud]],Tabla2[[#This Row],[tipo]])</f>
        <v>267Respuesta_Reasignacion_Interna</v>
      </c>
      <c r="B1391" s="45">
        <f>COUNTIF($A$2:A1391,A1391)</f>
        <v>1</v>
      </c>
      <c r="C1391" s="45" t="str">
        <f>Tabla2[[#This Row],[(id_solicitud-tipo_documento)]]&amp;B1391</f>
        <v>267Respuesta_Reasignacion_Interna1</v>
      </c>
      <c r="D1391" s="45">
        <v>1395</v>
      </c>
      <c r="E1391" s="45">
        <v>267</v>
      </c>
      <c r="F1391" s="45" t="s">
        <v>1279</v>
      </c>
      <c r="G1391" s="45" t="s">
        <v>1258</v>
      </c>
      <c r="H1391" s="50" t="s">
        <v>10</v>
      </c>
      <c r="I1391" s="51">
        <v>20700952</v>
      </c>
      <c r="J1391" s="80"/>
      <c r="K13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91" s="48">
        <v>44734</v>
      </c>
      <c r="M1391" s="48"/>
      <c r="N1391" s="49" t="s">
        <v>289</v>
      </c>
      <c r="O1391" s="45"/>
      <c r="P1391" s="80"/>
      <c r="Q1391" s="48"/>
      <c r="R1391" s="45"/>
      <c r="S1391" s="115"/>
      <c r="T1391" s="20"/>
      <c r="U1391" s="20"/>
      <c r="V1391" s="20"/>
      <c r="W1391" s="27"/>
    </row>
    <row r="1392" spans="1:23" ht="60" hidden="1" customHeight="1" x14ac:dyDescent="0.25">
      <c r="A1392" s="45" t="str">
        <f>CONCATENATE(Tabla2[[#This Row],[id_solicitud]],Tabla2[[#This Row],[tipo]])</f>
        <v>117Respuesta_Reasignacion_Interna</v>
      </c>
      <c r="B1392" s="45">
        <f>COUNTIF($A$2:A1392,A1392)</f>
        <v>1</v>
      </c>
      <c r="C1392" s="45" t="str">
        <f>Tabla2[[#This Row],[(id_solicitud-tipo_documento)]]&amp;B1392</f>
        <v>117Respuesta_Reasignacion_Interna1</v>
      </c>
      <c r="D1392" s="45">
        <v>1396</v>
      </c>
      <c r="E1392" s="45">
        <v>117</v>
      </c>
      <c r="F1392" s="45" t="s">
        <v>1279</v>
      </c>
      <c r="G1392" s="45" t="s">
        <v>1258</v>
      </c>
      <c r="H1392" s="50" t="s">
        <v>559</v>
      </c>
      <c r="I1392" s="51">
        <v>26200161</v>
      </c>
      <c r="J1392" s="80"/>
      <c r="K13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92" s="48">
        <v>44650</v>
      </c>
      <c r="M1392" s="48"/>
      <c r="N1392" s="49" t="s">
        <v>825</v>
      </c>
      <c r="O1392" s="45"/>
      <c r="P1392" s="80"/>
      <c r="Q1392" s="48"/>
      <c r="R1392" s="45"/>
      <c r="S1392" s="115"/>
      <c r="T1392" s="20"/>
      <c r="U1392" s="20">
        <v>44650</v>
      </c>
      <c r="V1392" s="20">
        <v>44650</v>
      </c>
      <c r="W1392" s="27"/>
    </row>
    <row r="1393" spans="1:23" ht="60" hidden="1" customHeight="1" x14ac:dyDescent="0.25">
      <c r="A1393" s="45" t="str">
        <f>CONCATENATE(Tabla2[[#This Row],[id_solicitud]],Tabla2[[#This Row],[tipo]])</f>
        <v>468Respuesta_Reasignacion_Interna</v>
      </c>
      <c r="B1393" s="45">
        <f>COUNTIF($A$2:A1393,A1393)</f>
        <v>1</v>
      </c>
      <c r="C1393" s="45" t="str">
        <f>Tabla2[[#This Row],[(id_solicitud-tipo_documento)]]&amp;B1393</f>
        <v>468Respuesta_Reasignacion_Interna1</v>
      </c>
      <c r="D1393" s="45">
        <v>1397</v>
      </c>
      <c r="E1393" s="45">
        <v>468</v>
      </c>
      <c r="F1393" s="45" t="s">
        <v>1279</v>
      </c>
      <c r="G1393" s="45" t="s">
        <v>1258</v>
      </c>
      <c r="H1393" s="50" t="s">
        <v>14</v>
      </c>
      <c r="I1393" s="51">
        <v>40100434</v>
      </c>
      <c r="J1393" s="80"/>
      <c r="K13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93" s="48">
        <v>44792</v>
      </c>
      <c r="M1393" s="48"/>
      <c r="N1393" s="49">
        <f>E1393</f>
        <v>468</v>
      </c>
      <c r="O1393" s="45"/>
      <c r="P1393" s="80"/>
      <c r="Q1393" s="48"/>
      <c r="R1393" s="45"/>
      <c r="S1393" s="115"/>
      <c r="T1393" s="20"/>
      <c r="U1393" s="20"/>
      <c r="V1393" s="20"/>
      <c r="W1393" s="27"/>
    </row>
    <row r="1394" spans="1:23" ht="60" hidden="1" customHeight="1" x14ac:dyDescent="0.25">
      <c r="A1394" s="45" t="str">
        <f>CONCATENATE(Tabla2[[#This Row],[id_solicitud]],Tabla2[[#This Row],[tipo]])</f>
        <v>294Respuesta_Reasignacion_Interna</v>
      </c>
      <c r="B1394" s="45">
        <f>COUNTIF($A$2:A1394,A1394)</f>
        <v>1</v>
      </c>
      <c r="C1394" s="45" t="str">
        <f>Tabla2[[#This Row],[(id_solicitud-tipo_documento)]]&amp;B1394</f>
        <v>294Respuesta_Reasignacion_Interna1</v>
      </c>
      <c r="D1394" s="45">
        <v>1398</v>
      </c>
      <c r="E1394" s="45">
        <v>294</v>
      </c>
      <c r="F1394" s="45" t="s">
        <v>1279</v>
      </c>
      <c r="G1394" s="45" t="s">
        <v>1258</v>
      </c>
      <c r="H1394" s="50" t="s">
        <v>565</v>
      </c>
      <c r="I1394" s="51">
        <v>48900451</v>
      </c>
      <c r="J1394" s="80"/>
      <c r="K13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94" s="48">
        <v>44768</v>
      </c>
      <c r="M1394" s="48"/>
      <c r="N1394" s="49">
        <f>E1394</f>
        <v>294</v>
      </c>
      <c r="O1394" s="45"/>
      <c r="P1394" s="80"/>
      <c r="Q1394" s="48"/>
      <c r="R1394" s="45"/>
      <c r="S1394" s="115"/>
      <c r="T1394" s="20"/>
      <c r="U1394" s="20"/>
      <c r="V1394" s="20"/>
      <c r="W1394" s="27"/>
    </row>
    <row r="1395" spans="1:23" ht="60" hidden="1" customHeight="1" x14ac:dyDescent="0.25">
      <c r="A1395" s="45" t="str">
        <f>CONCATENATE(Tabla2[[#This Row],[id_solicitud]],Tabla2[[#This Row],[tipo]])</f>
        <v>329Respuesta_Reasignacion_Interna</v>
      </c>
      <c r="B1395" s="45">
        <f>COUNTIF($A$2:A1395,A1395)</f>
        <v>1</v>
      </c>
      <c r="C1395" s="45" t="str">
        <f>Tabla2[[#This Row],[(id_solicitud-tipo_documento)]]&amp;B1395</f>
        <v>329Respuesta_Reasignacion_Interna1</v>
      </c>
      <c r="D1395" s="45">
        <v>1399</v>
      </c>
      <c r="E1395" s="45">
        <v>329</v>
      </c>
      <c r="F1395" s="45" t="s">
        <v>1279</v>
      </c>
      <c r="G1395" s="45" t="s">
        <v>1258</v>
      </c>
      <c r="H1395" s="50" t="s">
        <v>538</v>
      </c>
      <c r="I1395" s="51">
        <v>55602054</v>
      </c>
      <c r="J1395" s="80"/>
      <c r="K13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95" s="48">
        <v>44790</v>
      </c>
      <c r="M1395" s="48"/>
      <c r="N1395" s="49" t="s">
        <v>919</v>
      </c>
      <c r="O1395" s="45"/>
      <c r="P1395" s="80"/>
      <c r="Q1395" s="48"/>
      <c r="R1395" s="45"/>
      <c r="S1395" s="115"/>
      <c r="T1395" s="20"/>
      <c r="U1395" s="20">
        <v>44790</v>
      </c>
      <c r="V1395" s="20">
        <v>44797</v>
      </c>
      <c r="W1395" s="27"/>
    </row>
    <row r="1396" spans="1:23" ht="60" hidden="1" customHeight="1" x14ac:dyDescent="0.25">
      <c r="A1396" s="45" t="str">
        <f>CONCATENATE(Tabla2[[#This Row],[id_solicitud]],Tabla2[[#This Row],[tipo]])</f>
        <v>156Respuesta_Reasignacion_Interna</v>
      </c>
      <c r="B1396" s="45">
        <f>COUNTIF($A$2:A1396,A1396)</f>
        <v>1</v>
      </c>
      <c r="C1396" s="45" t="str">
        <f>Tabla2[[#This Row],[(id_solicitud-tipo_documento)]]&amp;B1396</f>
        <v>156Respuesta_Reasignacion_Interna1</v>
      </c>
      <c r="D1396" s="45">
        <v>1400</v>
      </c>
      <c r="E1396" s="45">
        <v>156</v>
      </c>
      <c r="F1396" s="45" t="s">
        <v>1279</v>
      </c>
      <c r="G1396" s="45" t="s">
        <v>1258</v>
      </c>
      <c r="H1396" s="50" t="s">
        <v>20</v>
      </c>
      <c r="I1396" s="51">
        <v>203001556</v>
      </c>
      <c r="J1396" s="80"/>
      <c r="K13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96" s="48">
        <v>44676</v>
      </c>
      <c r="M1396" s="48"/>
      <c r="N1396" s="49" t="s">
        <v>649</v>
      </c>
      <c r="O1396" s="45"/>
      <c r="P1396" s="80"/>
      <c r="Q1396" s="48"/>
      <c r="R1396" s="45"/>
      <c r="S1396" s="115"/>
      <c r="T1396" s="20"/>
      <c r="U1396" s="20"/>
      <c r="V1396" s="20"/>
      <c r="W1396" s="27"/>
    </row>
    <row r="1397" spans="1:23" ht="60" hidden="1" customHeight="1" x14ac:dyDescent="0.25">
      <c r="A1397" s="45" t="str">
        <f>CONCATENATE(Tabla2[[#This Row],[id_solicitud]],Tabla2[[#This Row],[tipo]])</f>
        <v>311Respuesta_Reasignacion_Interna</v>
      </c>
      <c r="B1397" s="45">
        <f>COUNTIF($A$2:A1397,A1397)</f>
        <v>1</v>
      </c>
      <c r="C1397" s="45" t="str">
        <f>Tabla2[[#This Row],[(id_solicitud-tipo_documento)]]&amp;B1397</f>
        <v>311Respuesta_Reasignacion_Interna1</v>
      </c>
      <c r="D1397" s="45">
        <v>1401</v>
      </c>
      <c r="E1397" s="45">
        <v>311</v>
      </c>
      <c r="F1397" s="45" t="s">
        <v>1279</v>
      </c>
      <c r="G1397" s="45" t="s">
        <v>1258</v>
      </c>
      <c r="H1397" s="50" t="s">
        <v>20</v>
      </c>
      <c r="I1397" s="51">
        <v>203003070</v>
      </c>
      <c r="J1397" s="80"/>
      <c r="K13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97" s="48">
        <v>44771</v>
      </c>
      <c r="M1397" s="48"/>
      <c r="N1397" s="49"/>
      <c r="O1397" s="45"/>
      <c r="P1397" s="80"/>
      <c r="Q1397" s="48"/>
      <c r="R1397" s="45"/>
      <c r="S1397" s="115"/>
      <c r="T1397" s="20"/>
      <c r="U1397" s="20"/>
      <c r="V1397" s="20"/>
      <c r="W1397" s="27"/>
    </row>
    <row r="1398" spans="1:23" ht="60" hidden="1" customHeight="1" x14ac:dyDescent="0.25">
      <c r="A1398" s="45" t="str">
        <f>CONCATENATE(Tabla2[[#This Row],[id_solicitud]],Tabla2[[#This Row],[tipo]])</f>
        <v>309Respuesta_Reasignacion_Interna</v>
      </c>
      <c r="B1398" s="45">
        <f>COUNTIF($A$2:A1398,A1398)</f>
        <v>1</v>
      </c>
      <c r="C1398" s="45" t="str">
        <f>Tabla2[[#This Row],[(id_solicitud-tipo_documento)]]&amp;B1398</f>
        <v>309Respuesta_Reasignacion_Interna1</v>
      </c>
      <c r="D1398" s="45">
        <v>1402</v>
      </c>
      <c r="E1398" s="45">
        <v>309</v>
      </c>
      <c r="F1398" s="45" t="s">
        <v>1279</v>
      </c>
      <c r="G1398" s="45" t="s">
        <v>1258</v>
      </c>
      <c r="H1398" s="50" t="s">
        <v>20</v>
      </c>
      <c r="I1398" s="51">
        <v>203003073</v>
      </c>
      <c r="J1398" s="80"/>
      <c r="K13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98" s="48">
        <v>44774</v>
      </c>
      <c r="M1398" s="48"/>
      <c r="N1398" s="49"/>
      <c r="O1398" s="45"/>
      <c r="P1398" s="80"/>
      <c r="Q1398" s="48"/>
      <c r="R1398" s="45"/>
      <c r="S1398" s="115"/>
      <c r="T1398" s="20"/>
      <c r="U1398" s="20"/>
      <c r="V1398" s="20"/>
      <c r="W1398" s="27"/>
    </row>
    <row r="1399" spans="1:23" ht="60" hidden="1" customHeight="1" x14ac:dyDescent="0.25">
      <c r="A1399" s="45" t="str">
        <f>CONCATENATE(Tabla2[[#This Row],[id_solicitud]],Tabla2[[#This Row],[tipo]])</f>
        <v>336Respuesta_Reasignacion_Interna</v>
      </c>
      <c r="B1399" s="45">
        <f>COUNTIF($A$2:A1399,A1399)</f>
        <v>1</v>
      </c>
      <c r="C1399" s="45" t="str">
        <f>Tabla2[[#This Row],[(id_solicitud-tipo_documento)]]&amp;B1399</f>
        <v>336Respuesta_Reasignacion_Interna1</v>
      </c>
      <c r="D1399" s="45">
        <v>1403</v>
      </c>
      <c r="E1399" s="45">
        <v>336</v>
      </c>
      <c r="F1399" s="45" t="s">
        <v>1279</v>
      </c>
      <c r="G1399" s="45" t="s">
        <v>1258</v>
      </c>
      <c r="H1399" s="50" t="s">
        <v>20</v>
      </c>
      <c r="I1399" s="51">
        <v>203003468</v>
      </c>
      <c r="J1399" s="80"/>
      <c r="K13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399" s="48">
        <v>44797</v>
      </c>
      <c r="M1399" s="48"/>
      <c r="N1399" s="49"/>
      <c r="O1399" s="45"/>
      <c r="P1399" s="80"/>
      <c r="Q1399" s="48"/>
      <c r="R1399" s="45"/>
      <c r="S1399" s="115"/>
      <c r="T1399" s="20"/>
      <c r="U1399" s="20"/>
      <c r="V1399" s="20"/>
      <c r="W1399" s="27"/>
    </row>
    <row r="1400" spans="1:23" ht="60" hidden="1" customHeight="1" x14ac:dyDescent="0.25">
      <c r="A1400" s="45" t="str">
        <f>CONCATENATE(Tabla2[[#This Row],[id_solicitud]],Tabla2[[#This Row],[tipo]])</f>
        <v>99Respuesta_Reasignacion_Interna</v>
      </c>
      <c r="B1400" s="45">
        <f>COUNTIF($A$2:A1400,A1400)</f>
        <v>1</v>
      </c>
      <c r="C1400" s="45" t="str">
        <f>Tabla2[[#This Row],[(id_solicitud-tipo_documento)]]&amp;B1400</f>
        <v>99Respuesta_Reasignacion_Interna1</v>
      </c>
      <c r="D1400" s="45">
        <v>1404</v>
      </c>
      <c r="E1400" s="45">
        <v>99</v>
      </c>
      <c r="F1400" s="45" t="s">
        <v>1279</v>
      </c>
      <c r="G1400" s="45" t="s">
        <v>1258</v>
      </c>
      <c r="H1400" s="50" t="s">
        <v>22</v>
      </c>
      <c r="I1400" s="51">
        <v>206012022</v>
      </c>
      <c r="J1400" s="80"/>
      <c r="K14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00" s="48">
        <v>44628</v>
      </c>
      <c r="M1400" s="48"/>
      <c r="N1400" s="49">
        <f>E1400</f>
        <v>99</v>
      </c>
      <c r="O1400" s="45"/>
      <c r="P1400" s="80"/>
      <c r="Q1400" s="48"/>
      <c r="R1400" s="45"/>
      <c r="S1400" s="115"/>
      <c r="T1400" s="20"/>
      <c r="U1400" s="20"/>
      <c r="V1400" s="20"/>
      <c r="W1400" s="27"/>
    </row>
    <row r="1401" spans="1:23" ht="60" hidden="1" customHeight="1" x14ac:dyDescent="0.25">
      <c r="A1401" s="45" t="str">
        <f>CONCATENATE(Tabla2[[#This Row],[id_solicitud]],Tabla2[[#This Row],[tipo]])</f>
        <v>114Respuesta_Reasignacion_Interna</v>
      </c>
      <c r="B1401" s="45">
        <f>COUNTIF($A$2:A1401,A1401)</f>
        <v>1</v>
      </c>
      <c r="C1401" s="45" t="str">
        <f>Tabla2[[#This Row],[(id_solicitud-tipo_documento)]]&amp;B1401</f>
        <v>114Respuesta_Reasignacion_Interna1</v>
      </c>
      <c r="D1401" s="45">
        <v>1405</v>
      </c>
      <c r="E1401" s="45">
        <v>114</v>
      </c>
      <c r="F1401" s="45" t="s">
        <v>1279</v>
      </c>
      <c r="G1401" s="45" t="s">
        <v>1258</v>
      </c>
      <c r="H1401" s="50" t="s">
        <v>22</v>
      </c>
      <c r="I1401" s="51">
        <v>206022022</v>
      </c>
      <c r="J1401" s="80"/>
      <c r="K14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01" s="48">
        <v>44637</v>
      </c>
      <c r="M1401" s="48"/>
      <c r="N1401" s="49" t="s">
        <v>823</v>
      </c>
      <c r="O1401" s="45"/>
      <c r="P1401" s="80"/>
      <c r="Q1401" s="48"/>
      <c r="R1401" s="45"/>
      <c r="S1401" s="115"/>
      <c r="T1401" s="20"/>
      <c r="U1401" s="20"/>
      <c r="V1401" s="20"/>
      <c r="W1401" s="27"/>
    </row>
    <row r="1402" spans="1:23" ht="60" hidden="1" customHeight="1" x14ac:dyDescent="0.25">
      <c r="A1402" s="45" t="str">
        <f>CONCATENATE(Tabla2[[#This Row],[id_solicitud]],Tabla2[[#This Row],[tipo]])</f>
        <v>116Respuesta_Reasignacion_Interna</v>
      </c>
      <c r="B1402" s="45">
        <f>COUNTIF($A$2:A1402,A1402)</f>
        <v>1</v>
      </c>
      <c r="C1402" s="45" t="str">
        <f>Tabla2[[#This Row],[(id_solicitud-tipo_documento)]]&amp;B1402</f>
        <v>116Respuesta_Reasignacion_Interna1</v>
      </c>
      <c r="D1402" s="45">
        <v>1406</v>
      </c>
      <c r="E1402" s="45">
        <v>116</v>
      </c>
      <c r="F1402" s="45" t="s">
        <v>1279</v>
      </c>
      <c r="G1402" s="45" t="s">
        <v>1258</v>
      </c>
      <c r="H1402" s="50" t="s">
        <v>22</v>
      </c>
      <c r="I1402" s="51">
        <v>206042022</v>
      </c>
      <c r="J1402" s="80"/>
      <c r="K14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02" s="48">
        <v>44637</v>
      </c>
      <c r="M1402" s="48"/>
      <c r="N1402" s="49" t="s">
        <v>824</v>
      </c>
      <c r="O1402" s="45"/>
      <c r="P1402" s="80"/>
      <c r="Q1402" s="48"/>
      <c r="R1402" s="45"/>
      <c r="S1402" s="115"/>
      <c r="T1402" s="20"/>
      <c r="U1402" s="20"/>
      <c r="V1402" s="20"/>
      <c r="W1402" s="27"/>
    </row>
    <row r="1403" spans="1:23" ht="60" hidden="1" customHeight="1" x14ac:dyDescent="0.25">
      <c r="A1403" s="45" t="str">
        <f>CONCATENATE(Tabla2[[#This Row],[id_solicitud]],Tabla2[[#This Row],[tipo]])</f>
        <v>121Respuesta_Reasignacion_Interna</v>
      </c>
      <c r="B1403" s="45">
        <f>COUNTIF($A$2:A1403,A1403)</f>
        <v>1</v>
      </c>
      <c r="C1403" s="45" t="str">
        <f>Tabla2[[#This Row],[(id_solicitud-tipo_documento)]]&amp;B1403</f>
        <v>121Respuesta_Reasignacion_Interna1</v>
      </c>
      <c r="D1403" s="45">
        <v>1407</v>
      </c>
      <c r="E1403" s="45">
        <v>121</v>
      </c>
      <c r="F1403" s="45" t="s">
        <v>1279</v>
      </c>
      <c r="G1403" s="45" t="s">
        <v>1258</v>
      </c>
      <c r="H1403" s="50" t="s">
        <v>22</v>
      </c>
      <c r="I1403" s="51">
        <v>206052022</v>
      </c>
      <c r="J1403" s="80"/>
      <c r="K14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03" s="48">
        <v>44637</v>
      </c>
      <c r="M1403" s="48"/>
      <c r="N1403" s="49" t="s">
        <v>168</v>
      </c>
      <c r="O1403" s="45"/>
      <c r="P1403" s="80"/>
      <c r="Q1403" s="48"/>
      <c r="R1403" s="45"/>
      <c r="S1403" s="115"/>
      <c r="T1403" s="20"/>
      <c r="U1403" s="20"/>
      <c r="V1403" s="20"/>
      <c r="W1403" s="27"/>
    </row>
    <row r="1404" spans="1:23" ht="60" hidden="1" customHeight="1" x14ac:dyDescent="0.25">
      <c r="A1404" s="45" t="str">
        <f>CONCATENATE(Tabla2[[#This Row],[id_solicitud]],Tabla2[[#This Row],[tipo]])</f>
        <v>149Respuesta_Reasignacion_Interna</v>
      </c>
      <c r="B1404" s="45">
        <f>COUNTIF($A$2:A1404,A1404)</f>
        <v>1</v>
      </c>
      <c r="C1404" s="45" t="str">
        <f>Tabla2[[#This Row],[(id_solicitud-tipo_documento)]]&amp;B1404</f>
        <v>149Respuesta_Reasignacion_Interna1</v>
      </c>
      <c r="D1404" s="45">
        <v>1408</v>
      </c>
      <c r="E1404" s="45">
        <v>149</v>
      </c>
      <c r="F1404" s="45" t="s">
        <v>1279</v>
      </c>
      <c r="G1404" s="45" t="s">
        <v>1258</v>
      </c>
      <c r="H1404" s="50" t="s">
        <v>22</v>
      </c>
      <c r="I1404" s="51">
        <v>206062022</v>
      </c>
      <c r="J1404" s="80"/>
      <c r="K14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04" s="48">
        <v>44659</v>
      </c>
      <c r="M1404" s="48"/>
      <c r="N1404" s="49">
        <f>E1404</f>
        <v>149</v>
      </c>
      <c r="O1404" s="45"/>
      <c r="P1404" s="80"/>
      <c r="Q1404" s="48"/>
      <c r="R1404" s="45"/>
      <c r="S1404" s="115"/>
      <c r="T1404" s="20"/>
      <c r="U1404" s="20"/>
      <c r="V1404" s="20"/>
      <c r="W1404" s="27"/>
    </row>
    <row r="1405" spans="1:23" ht="60" hidden="1" customHeight="1" x14ac:dyDescent="0.25">
      <c r="A1405" s="45" t="str">
        <f>CONCATENATE(Tabla2[[#This Row],[id_solicitud]],Tabla2[[#This Row],[tipo]])</f>
        <v>158Respuesta_Reasignacion_Interna</v>
      </c>
      <c r="B1405" s="45">
        <f>COUNTIF($A$2:A1405,A1405)</f>
        <v>1</v>
      </c>
      <c r="C1405" s="45" t="str">
        <f>Tabla2[[#This Row],[(id_solicitud-tipo_documento)]]&amp;B1405</f>
        <v>158Respuesta_Reasignacion_Interna1</v>
      </c>
      <c r="D1405" s="45">
        <v>1409</v>
      </c>
      <c r="E1405" s="45">
        <v>158</v>
      </c>
      <c r="F1405" s="45" t="s">
        <v>1279</v>
      </c>
      <c r="G1405" s="45" t="s">
        <v>1258</v>
      </c>
      <c r="H1405" s="50" t="s">
        <v>22</v>
      </c>
      <c r="I1405" s="51">
        <v>206072022</v>
      </c>
      <c r="J1405" s="80"/>
      <c r="K14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05" s="48">
        <v>44671</v>
      </c>
      <c r="M1405" s="48"/>
      <c r="N1405" s="49">
        <f>E1405</f>
        <v>158</v>
      </c>
      <c r="O1405" s="45"/>
      <c r="P1405" s="80"/>
      <c r="Q1405" s="48"/>
      <c r="R1405" s="45"/>
      <c r="S1405" s="115"/>
      <c r="T1405" s="20"/>
      <c r="U1405" s="20"/>
      <c r="V1405" s="20"/>
      <c r="W1405" s="27"/>
    </row>
    <row r="1406" spans="1:23" ht="60" hidden="1" customHeight="1" x14ac:dyDescent="0.25">
      <c r="A1406" s="45" t="str">
        <f>CONCATENATE(Tabla2[[#This Row],[id_solicitud]],Tabla2[[#This Row],[tipo]])</f>
        <v>265Respuesta_Reasignacion_Interna</v>
      </c>
      <c r="B1406" s="45">
        <f>COUNTIF($A$2:A1406,A1406)</f>
        <v>1</v>
      </c>
      <c r="C1406" s="45" t="str">
        <f>Tabla2[[#This Row],[(id_solicitud-tipo_documento)]]&amp;B1406</f>
        <v>265Respuesta_Reasignacion_Interna1</v>
      </c>
      <c r="D1406" s="45">
        <v>1410</v>
      </c>
      <c r="E1406" s="45">
        <v>265</v>
      </c>
      <c r="F1406" s="45" t="s">
        <v>1279</v>
      </c>
      <c r="G1406" s="45" t="s">
        <v>1258</v>
      </c>
      <c r="H1406" s="50" t="s">
        <v>22</v>
      </c>
      <c r="I1406" s="51">
        <v>206082022</v>
      </c>
      <c r="J1406" s="80"/>
      <c r="K14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06" s="48">
        <v>44732</v>
      </c>
      <c r="M1406" s="48"/>
      <c r="N1406" s="49">
        <f>E1406</f>
        <v>265</v>
      </c>
      <c r="O1406" s="45"/>
      <c r="P1406" s="80"/>
      <c r="Q1406" s="48"/>
      <c r="R1406" s="45"/>
      <c r="S1406" s="115"/>
      <c r="T1406" s="20"/>
      <c r="U1406" s="20"/>
      <c r="V1406" s="20"/>
      <c r="W1406" s="27"/>
    </row>
    <row r="1407" spans="1:23" ht="60" hidden="1" customHeight="1" x14ac:dyDescent="0.25">
      <c r="A1407" s="45" t="str">
        <f>CONCATENATE(Tabla2[[#This Row],[id_solicitud]],Tabla2[[#This Row],[tipo]])</f>
        <v>344Respuesta_Reasignacion_Interna</v>
      </c>
      <c r="B1407" s="45">
        <f>COUNTIF($A$2:A1407,A1407)</f>
        <v>1</v>
      </c>
      <c r="C1407" s="45" t="str">
        <f>Tabla2[[#This Row],[(id_solicitud-tipo_documento)]]&amp;B1407</f>
        <v>344Respuesta_Reasignacion_Interna1</v>
      </c>
      <c r="D1407" s="45">
        <v>1412</v>
      </c>
      <c r="E1407" s="45">
        <v>344</v>
      </c>
      <c r="F1407" s="45" t="s">
        <v>1279</v>
      </c>
      <c r="G1407" s="45" t="s">
        <v>1258</v>
      </c>
      <c r="H1407" s="50" t="s">
        <v>22</v>
      </c>
      <c r="I1407" s="51">
        <v>206102022</v>
      </c>
      <c r="J1407" s="80"/>
      <c r="K14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07" s="48">
        <v>44784</v>
      </c>
      <c r="M1407" s="48"/>
      <c r="N1407" s="49">
        <f>E1407</f>
        <v>344</v>
      </c>
      <c r="O1407" s="45"/>
      <c r="P1407" s="80"/>
      <c r="Q1407" s="48"/>
      <c r="R1407" s="45"/>
      <c r="S1407" s="115"/>
      <c r="T1407" s="20"/>
      <c r="U1407" s="20"/>
      <c r="V1407" s="20"/>
      <c r="W1407" s="27"/>
    </row>
    <row r="1408" spans="1:23" ht="60" hidden="1" customHeight="1" x14ac:dyDescent="0.25">
      <c r="A1408" s="45" t="str">
        <f>CONCATENATE(Tabla2[[#This Row],[id_solicitud]],Tabla2[[#This Row],[tipo]])</f>
        <v>351Respuesta_Reasignacion_Interna</v>
      </c>
      <c r="B1408" s="45">
        <f>COUNTIF($A$2:A1408,A1408)</f>
        <v>1</v>
      </c>
      <c r="C1408" s="45" t="str">
        <f>Tabla2[[#This Row],[(id_solicitud-tipo_documento)]]&amp;B1408</f>
        <v>351Respuesta_Reasignacion_Interna1</v>
      </c>
      <c r="D1408" s="45">
        <v>1413</v>
      </c>
      <c r="E1408" s="45">
        <v>351</v>
      </c>
      <c r="F1408" s="45" t="s">
        <v>1279</v>
      </c>
      <c r="G1408" s="45" t="s">
        <v>1258</v>
      </c>
      <c r="H1408" s="50" t="s">
        <v>544</v>
      </c>
      <c r="I1408" s="51">
        <v>207001420</v>
      </c>
      <c r="J1408" s="80"/>
      <c r="K14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08" s="48">
        <v>44791</v>
      </c>
      <c r="M1408" s="48"/>
      <c r="N1408" s="49">
        <f>+E1408</f>
        <v>351</v>
      </c>
      <c r="O1408" s="45"/>
      <c r="P1408" s="80"/>
      <c r="Q1408" s="48"/>
      <c r="R1408" s="45"/>
      <c r="S1408" s="115"/>
      <c r="T1408" s="20"/>
      <c r="U1408" s="20"/>
      <c r="V1408" s="20"/>
      <c r="W1408" s="27"/>
    </row>
    <row r="1409" spans="1:23" ht="60" hidden="1" customHeight="1" x14ac:dyDescent="0.25">
      <c r="A1409" s="45" t="str">
        <f>CONCATENATE(Tabla2[[#This Row],[id_solicitud]],Tabla2[[#This Row],[tipo]])</f>
        <v>358Respuesta_Reasignacion_Interna</v>
      </c>
      <c r="B1409" s="45">
        <f>COUNTIF($A$2:A1409,A1409)</f>
        <v>1</v>
      </c>
      <c r="C1409" s="45" t="str">
        <f>Tabla2[[#This Row],[(id_solicitud-tipo_documento)]]&amp;B1409</f>
        <v>358Respuesta_Reasignacion_Interna1</v>
      </c>
      <c r="D1409" s="45">
        <v>1414</v>
      </c>
      <c r="E1409" s="45">
        <v>358</v>
      </c>
      <c r="F1409" s="45" t="s">
        <v>1279</v>
      </c>
      <c r="G1409" s="45" t="s">
        <v>1258</v>
      </c>
      <c r="H1409" s="50" t="s">
        <v>10</v>
      </c>
      <c r="I1409" s="51">
        <v>207001431</v>
      </c>
      <c r="J1409" s="80"/>
      <c r="K14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09" s="48">
        <v>44792</v>
      </c>
      <c r="M1409" s="48"/>
      <c r="N1409" s="49">
        <f>E1409</f>
        <v>358</v>
      </c>
      <c r="O1409" s="45"/>
      <c r="P1409" s="80"/>
      <c r="Q1409" s="48"/>
      <c r="R1409" s="45"/>
      <c r="S1409" s="115"/>
      <c r="T1409" s="20"/>
      <c r="U1409" s="20"/>
      <c r="V1409" s="20"/>
      <c r="W1409" s="27"/>
    </row>
    <row r="1410" spans="1:23" ht="60" hidden="1" customHeight="1" x14ac:dyDescent="0.25">
      <c r="A1410" s="45" t="str">
        <f>CONCATENATE(Tabla2[[#This Row],[id_solicitud]],Tabla2[[#This Row],[tipo]])</f>
        <v>375Respuesta_Reasignacion_Interna</v>
      </c>
      <c r="B1410" s="45">
        <f>COUNTIF($A$2:A1410,A1410)</f>
        <v>1</v>
      </c>
      <c r="C1410" s="45" t="str">
        <f>Tabla2[[#This Row],[(id_solicitud-tipo_documento)]]&amp;B1410</f>
        <v>375Respuesta_Reasignacion_Interna1</v>
      </c>
      <c r="D1410" s="45">
        <v>1415</v>
      </c>
      <c r="E1410" s="45">
        <v>375</v>
      </c>
      <c r="F1410" s="45" t="s">
        <v>1279</v>
      </c>
      <c r="G1410" s="45" t="s">
        <v>1258</v>
      </c>
      <c r="H1410" s="50" t="s">
        <v>10</v>
      </c>
      <c r="I1410" s="51">
        <v>207001517</v>
      </c>
      <c r="J1410" s="80"/>
      <c r="K14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10" s="48">
        <v>44803</v>
      </c>
      <c r="M1410" s="48"/>
      <c r="N1410" s="49">
        <f>+E1410</f>
        <v>375</v>
      </c>
      <c r="O1410" s="45"/>
      <c r="P1410" s="80"/>
      <c r="Q1410" s="48"/>
      <c r="R1410" s="45"/>
      <c r="S1410" s="115"/>
      <c r="T1410" s="20"/>
      <c r="U1410" s="20"/>
      <c r="V1410" s="20"/>
      <c r="W1410" s="27"/>
    </row>
    <row r="1411" spans="1:23" ht="60" hidden="1" customHeight="1" x14ac:dyDescent="0.25">
      <c r="A1411" s="45" t="str">
        <f>CONCATENATE(Tabla2[[#This Row],[id_solicitud]],Tabla2[[#This Row],[tipo]])</f>
        <v>385Respuesta_Reasignacion_Interna</v>
      </c>
      <c r="B1411" s="45">
        <f>COUNTIF($A$2:A1411,A1411)</f>
        <v>1</v>
      </c>
      <c r="C1411" s="45" t="str">
        <f>Tabla2[[#This Row],[(id_solicitud-tipo_documento)]]&amp;B1411</f>
        <v>385Respuesta_Reasignacion_Interna1</v>
      </c>
      <c r="D1411" s="45">
        <v>1416</v>
      </c>
      <c r="E1411" s="45">
        <v>385</v>
      </c>
      <c r="F1411" s="45" t="s">
        <v>1279</v>
      </c>
      <c r="G1411" s="45" t="s">
        <v>1258</v>
      </c>
      <c r="H1411" s="50" t="s">
        <v>544</v>
      </c>
      <c r="I1411" s="51">
        <v>207001523</v>
      </c>
      <c r="J1411" s="80"/>
      <c r="K14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11" s="48">
        <v>44803</v>
      </c>
      <c r="M1411" s="48"/>
      <c r="N1411" s="49">
        <f>+E1411</f>
        <v>385</v>
      </c>
      <c r="O1411" s="45"/>
      <c r="P1411" s="80"/>
      <c r="Q1411" s="48"/>
      <c r="R1411" s="45"/>
      <c r="S1411" s="115"/>
      <c r="T1411" s="20"/>
      <c r="U1411" s="20"/>
      <c r="V1411" s="20"/>
      <c r="W1411" s="27"/>
    </row>
    <row r="1412" spans="1:23" ht="60" hidden="1" customHeight="1" x14ac:dyDescent="0.25">
      <c r="A1412" s="45" t="str">
        <f>CONCATENATE(Tabla2[[#This Row],[id_solicitud]],Tabla2[[#This Row],[tipo]])</f>
        <v>393Respuesta_Reasignacion_Interna</v>
      </c>
      <c r="B1412" s="45">
        <f>COUNTIF($A$2:A1412,A1412)</f>
        <v>1</v>
      </c>
      <c r="C1412" s="45" t="str">
        <f>Tabla2[[#This Row],[(id_solicitud-tipo_documento)]]&amp;B1412</f>
        <v>393Respuesta_Reasignacion_Interna1</v>
      </c>
      <c r="D1412" s="45">
        <v>1417</v>
      </c>
      <c r="E1412" s="45">
        <v>393</v>
      </c>
      <c r="F1412" s="45" t="s">
        <v>1279</v>
      </c>
      <c r="G1412" s="45" t="s">
        <v>1258</v>
      </c>
      <c r="H1412" s="50" t="s">
        <v>10</v>
      </c>
      <c r="I1412" s="51">
        <v>207001592</v>
      </c>
      <c r="J1412" s="80"/>
      <c r="K14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12" s="48">
        <v>44811</v>
      </c>
      <c r="M1412" s="48"/>
      <c r="N1412" s="49">
        <f>+E1412</f>
        <v>393</v>
      </c>
      <c r="O1412" s="45"/>
      <c r="P1412" s="80"/>
      <c r="Q1412" s="48"/>
      <c r="R1412" s="45"/>
      <c r="S1412" s="115"/>
      <c r="T1412" s="20"/>
      <c r="U1412" s="20"/>
      <c r="V1412" s="20"/>
      <c r="W1412" s="27"/>
    </row>
    <row r="1413" spans="1:23" ht="60" customHeight="1" x14ac:dyDescent="0.25">
      <c r="A1413" s="45" t="str">
        <f>CONCATENATE(Tabla2[[#This Row],[id_solicitud]],Tabla2[[#This Row],[tipo]])</f>
        <v>409Respuesta_Reasignacion_Interna</v>
      </c>
      <c r="B1413" s="45">
        <f>COUNTIF($A$2:A1413,A1413)</f>
        <v>1</v>
      </c>
      <c r="C1413" s="45" t="str">
        <f>Tabla2[[#This Row],[(id_solicitud-tipo_documento)]]&amp;B1413</f>
        <v>409Respuesta_Reasignacion_Interna1</v>
      </c>
      <c r="D1413" s="45">
        <v>1366</v>
      </c>
      <c r="E1413" s="45">
        <v>409</v>
      </c>
      <c r="F1413" s="45" t="s">
        <v>1279</v>
      </c>
      <c r="G1413" s="45" t="s">
        <v>1258</v>
      </c>
      <c r="H1413" s="50" t="s">
        <v>8</v>
      </c>
      <c r="I1413" s="51">
        <v>633202</v>
      </c>
      <c r="J1413" s="80"/>
      <c r="K14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13" s="48">
        <v>44817</v>
      </c>
      <c r="M1413" s="48"/>
      <c r="N1413" s="49">
        <f>E1413</f>
        <v>409</v>
      </c>
      <c r="O1413" s="45"/>
      <c r="P1413" s="80"/>
      <c r="Q1413" s="48"/>
      <c r="R1413" s="45"/>
      <c r="S1413" s="115"/>
      <c r="T1413" s="20"/>
      <c r="U1413" s="20">
        <v>44817</v>
      </c>
      <c r="V1413" s="20">
        <v>44817</v>
      </c>
      <c r="W1413" s="27"/>
    </row>
    <row r="1414" spans="1:23" ht="60" hidden="1" customHeight="1" x14ac:dyDescent="0.25">
      <c r="A1414" s="45" t="str">
        <f>CONCATENATE(Tabla2[[#This Row],[id_solicitud]],Tabla2[[#This Row],[tipo]])</f>
        <v>430Respuesta_Reasignacion_Interna</v>
      </c>
      <c r="B1414" s="45">
        <f>COUNTIF($A$2:A1414,A1414)</f>
        <v>1</v>
      </c>
      <c r="C1414" s="45" t="str">
        <f>Tabla2[[#This Row],[(id_solicitud-tipo_documento)]]&amp;B1414</f>
        <v>430Respuesta_Reasignacion_Interna1</v>
      </c>
      <c r="D1414" s="45">
        <v>1419</v>
      </c>
      <c r="E1414" s="45">
        <v>430</v>
      </c>
      <c r="F1414" s="45" t="s">
        <v>1279</v>
      </c>
      <c r="G1414" s="45" t="s">
        <v>1258</v>
      </c>
      <c r="H1414" s="50" t="s">
        <v>544</v>
      </c>
      <c r="I1414" s="51">
        <v>207001720</v>
      </c>
      <c r="J1414" s="80"/>
      <c r="K14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14" s="48">
        <v>44831</v>
      </c>
      <c r="M1414" s="48"/>
      <c r="N1414" s="49">
        <f>+E1414</f>
        <v>430</v>
      </c>
      <c r="O1414" s="45"/>
      <c r="P1414" s="80"/>
      <c r="Q1414" s="48"/>
      <c r="R1414" s="45"/>
      <c r="S1414" s="115"/>
      <c r="T1414" s="20"/>
      <c r="U1414" s="20"/>
      <c r="V1414" s="20"/>
      <c r="W1414" s="27"/>
    </row>
    <row r="1415" spans="1:23" ht="60" hidden="1" customHeight="1" x14ac:dyDescent="0.25">
      <c r="A1415" s="45" t="str">
        <f>CONCATENATE(Tabla2[[#This Row],[id_solicitud]],Tabla2[[#This Row],[tipo]])</f>
        <v>419Respuesta_Reasignacion_Interna</v>
      </c>
      <c r="B1415" s="45">
        <f>COUNTIF($A$2:A1415,A1415)</f>
        <v>1</v>
      </c>
      <c r="C1415" s="45" t="str">
        <f>Tabla2[[#This Row],[(id_solicitud-tipo_documento)]]&amp;B1415</f>
        <v>419Respuesta_Reasignacion_Interna1</v>
      </c>
      <c r="D1415" s="45">
        <v>1420</v>
      </c>
      <c r="E1415" s="45">
        <v>419</v>
      </c>
      <c r="F1415" s="45" t="s">
        <v>1279</v>
      </c>
      <c r="G1415" s="45" t="s">
        <v>1258</v>
      </c>
      <c r="H1415" s="50" t="s">
        <v>10</v>
      </c>
      <c r="I1415" s="51">
        <v>207001721</v>
      </c>
      <c r="J1415" s="80"/>
      <c r="K14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15" s="48">
        <v>44831</v>
      </c>
      <c r="M1415" s="48"/>
      <c r="N1415" s="49">
        <f>+E1415</f>
        <v>419</v>
      </c>
      <c r="O1415" s="45"/>
      <c r="P1415" s="80"/>
      <c r="Q1415" s="48"/>
      <c r="R1415" s="45"/>
      <c r="S1415" s="115"/>
      <c r="T1415" s="20"/>
      <c r="U1415" s="20"/>
      <c r="V1415" s="20"/>
      <c r="W1415" s="27"/>
    </row>
    <row r="1416" spans="1:23" ht="60" hidden="1" customHeight="1" x14ac:dyDescent="0.25">
      <c r="A1416" s="45" t="str">
        <f>CONCATENATE(Tabla2[[#This Row],[id_solicitud]],Tabla2[[#This Row],[tipo]])</f>
        <v>498Respuesta_Reasignacion_Interna</v>
      </c>
      <c r="B1416" s="45">
        <f>COUNTIF($A$2:A1416,A1416)</f>
        <v>1</v>
      </c>
      <c r="C1416" s="45" t="str">
        <f>Tabla2[[#This Row],[(id_solicitud-tipo_documento)]]&amp;B1416</f>
        <v>498Respuesta_Reasignacion_Interna1</v>
      </c>
      <c r="D1416" s="45">
        <v>1421</v>
      </c>
      <c r="E1416" s="45">
        <v>498</v>
      </c>
      <c r="F1416" s="45" t="s">
        <v>1279</v>
      </c>
      <c r="G1416" s="45" t="s">
        <v>1258</v>
      </c>
      <c r="H1416" s="50" t="s">
        <v>10</v>
      </c>
      <c r="I1416" s="51">
        <v>207001980</v>
      </c>
      <c r="J1416" s="80"/>
      <c r="K14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16" s="48">
        <v>44869</v>
      </c>
      <c r="M1416" s="48"/>
      <c r="N1416" s="49">
        <f>+E1416</f>
        <v>498</v>
      </c>
      <c r="O1416" s="45"/>
      <c r="P1416" s="80"/>
      <c r="Q1416" s="48"/>
      <c r="R1416" s="45"/>
      <c r="S1416" s="115"/>
      <c r="T1416" s="20"/>
      <c r="U1416" s="20"/>
      <c r="V1416" s="20"/>
      <c r="W1416" s="27"/>
    </row>
    <row r="1417" spans="1:23" ht="60" hidden="1" customHeight="1" x14ac:dyDescent="0.25">
      <c r="A1417" s="45" t="str">
        <f>CONCATENATE(Tabla2[[#This Row],[id_solicitud]],Tabla2[[#This Row],[tipo]])</f>
        <v>496Respuesta_Reasignacion_Interna</v>
      </c>
      <c r="B1417" s="45">
        <f>COUNTIF($A$2:A1417,A1417)</f>
        <v>1</v>
      </c>
      <c r="C1417" s="45" t="str">
        <f>Tabla2[[#This Row],[(id_solicitud-tipo_documento)]]&amp;B1417</f>
        <v>496Respuesta_Reasignacion_Interna1</v>
      </c>
      <c r="D1417" s="45">
        <v>1422</v>
      </c>
      <c r="E1417" s="45">
        <v>496</v>
      </c>
      <c r="F1417" s="45" t="s">
        <v>1279</v>
      </c>
      <c r="G1417" s="45" t="s">
        <v>1258</v>
      </c>
      <c r="H1417" s="50" t="s">
        <v>544</v>
      </c>
      <c r="I1417" s="51">
        <v>207002011</v>
      </c>
      <c r="J1417" s="80"/>
      <c r="K14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17" s="48">
        <v>44873</v>
      </c>
      <c r="M1417" s="48"/>
      <c r="N1417" s="49">
        <f>+E1417</f>
        <v>496</v>
      </c>
      <c r="O1417" s="45"/>
      <c r="P1417" s="80"/>
      <c r="Q1417" s="48"/>
      <c r="R1417" s="45"/>
      <c r="S1417" s="115"/>
      <c r="T1417" s="20"/>
      <c r="U1417" s="20"/>
      <c r="V1417" s="20"/>
      <c r="W1417" s="27"/>
    </row>
    <row r="1418" spans="1:23" ht="60" hidden="1" customHeight="1" x14ac:dyDescent="0.25">
      <c r="A1418" s="45" t="str">
        <f>CONCATENATE(Tabla2[[#This Row],[id_solicitud]],Tabla2[[#This Row],[tipo]])</f>
        <v>307Respuesta_Reasignacion_Interna</v>
      </c>
      <c r="B1418" s="45">
        <f>COUNTIF($A$2:A1418,A1418)</f>
        <v>1</v>
      </c>
      <c r="C1418" s="45" t="str">
        <f>Tabla2[[#This Row],[(id_solicitud-tipo_documento)]]&amp;B1418</f>
        <v>307Respuesta_Reasignacion_Interna1</v>
      </c>
      <c r="D1418" s="45">
        <v>1423</v>
      </c>
      <c r="E1418" s="45">
        <v>307</v>
      </c>
      <c r="F1418" s="45" t="s">
        <v>1279</v>
      </c>
      <c r="G1418" s="45" t="s">
        <v>1258</v>
      </c>
      <c r="H1418" s="50" t="s">
        <v>6</v>
      </c>
      <c r="I1418" s="51">
        <v>212003074</v>
      </c>
      <c r="J1418" s="80"/>
      <c r="K14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18" s="48">
        <v>44774</v>
      </c>
      <c r="M1418" s="48"/>
      <c r="N1418" s="49"/>
      <c r="O1418" s="45"/>
      <c r="P1418" s="80"/>
      <c r="Q1418" s="48"/>
      <c r="R1418" s="45"/>
      <c r="S1418" s="115"/>
      <c r="T1418" s="20"/>
      <c r="U1418" s="20"/>
      <c r="V1418" s="20"/>
      <c r="W1418" s="27"/>
    </row>
    <row r="1419" spans="1:23" ht="60" hidden="1" customHeight="1" x14ac:dyDescent="0.25">
      <c r="A1419" s="45" t="str">
        <f>CONCATENATE(Tabla2[[#This Row],[id_solicitud]],Tabla2[[#This Row],[tipo]])</f>
        <v>357Respuesta_Reasignacion_Interna</v>
      </c>
      <c r="B1419" s="45">
        <f>COUNTIF($A$2:A1419,A1419)</f>
        <v>1</v>
      </c>
      <c r="C1419" s="45" t="str">
        <f>Tabla2[[#This Row],[(id_solicitud-tipo_documento)]]&amp;B1419</f>
        <v>357Respuesta_Reasignacion_Interna1</v>
      </c>
      <c r="D1419" s="45">
        <v>1424</v>
      </c>
      <c r="E1419" s="45">
        <v>357</v>
      </c>
      <c r="F1419" s="45" t="s">
        <v>1279</v>
      </c>
      <c r="G1419" s="45" t="s">
        <v>1258</v>
      </c>
      <c r="H1419" s="50" t="s">
        <v>6</v>
      </c>
      <c r="I1419" s="51">
        <v>212003431</v>
      </c>
      <c r="J1419" s="80"/>
      <c r="K14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19" s="48">
        <v>44795</v>
      </c>
      <c r="M1419" s="48"/>
      <c r="N1419" s="49"/>
      <c r="O1419" s="45"/>
      <c r="P1419" s="80"/>
      <c r="Q1419" s="48"/>
      <c r="R1419" s="45"/>
      <c r="S1419" s="115"/>
      <c r="T1419" s="20"/>
      <c r="U1419" s="20"/>
      <c r="V1419" s="20"/>
      <c r="W1419" s="27"/>
    </row>
    <row r="1420" spans="1:23" ht="60" hidden="1" customHeight="1" x14ac:dyDescent="0.25">
      <c r="A1420" s="45" t="str">
        <f>CONCATENATE(Tabla2[[#This Row],[id_solicitud]],Tabla2[[#This Row],[tipo]])</f>
        <v>410Respuesta_Reasignacion_Interna</v>
      </c>
      <c r="B1420" s="45">
        <f>COUNTIF($A$2:A1420,A1420)</f>
        <v>1</v>
      </c>
      <c r="C1420" s="45" t="str">
        <f>Tabla2[[#This Row],[(id_solicitud-tipo_documento)]]&amp;B1420</f>
        <v>410Respuesta_Reasignacion_Interna1</v>
      </c>
      <c r="D1420" s="45">
        <v>1426</v>
      </c>
      <c r="E1420" s="45">
        <v>410</v>
      </c>
      <c r="F1420" s="45" t="s">
        <v>1279</v>
      </c>
      <c r="G1420" s="45" t="s">
        <v>1258</v>
      </c>
      <c r="H1420" s="50" t="s">
        <v>20</v>
      </c>
      <c r="I1420" s="51">
        <v>230003912</v>
      </c>
      <c r="J1420" s="80"/>
      <c r="K14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20" s="48">
        <v>44827</v>
      </c>
      <c r="M1420" s="48"/>
      <c r="N1420" s="49"/>
      <c r="O1420" s="45"/>
      <c r="P1420" s="80"/>
      <c r="Q1420" s="48"/>
      <c r="R1420" s="45"/>
      <c r="S1420" s="115"/>
      <c r="T1420" s="20"/>
      <c r="U1420" s="20"/>
      <c r="V1420" s="20"/>
      <c r="W1420" s="27"/>
    </row>
    <row r="1421" spans="1:23" ht="60" hidden="1" customHeight="1" x14ac:dyDescent="0.25">
      <c r="A1421" s="45" t="str">
        <f>CONCATENATE(Tabla2[[#This Row],[id_solicitud]],Tabla2[[#This Row],[tipo]])</f>
        <v>252Respuesta_Reasignacion_Interna</v>
      </c>
      <c r="B1421" s="45">
        <f>COUNTIF($A$2:A1421,A1421)</f>
        <v>1</v>
      </c>
      <c r="C1421" s="45" t="str">
        <f>Tabla2[[#This Row],[(id_solicitud-tipo_documento)]]&amp;B1421</f>
        <v>252Respuesta_Reasignacion_Interna1</v>
      </c>
      <c r="D1421" s="45">
        <v>1427</v>
      </c>
      <c r="E1421" s="45">
        <v>252</v>
      </c>
      <c r="F1421" s="45" t="s">
        <v>1279</v>
      </c>
      <c r="G1421" s="45" t="s">
        <v>1258</v>
      </c>
      <c r="H1421" s="50" t="s">
        <v>535</v>
      </c>
      <c r="I1421" s="51">
        <v>253002602</v>
      </c>
      <c r="J1421" s="80"/>
      <c r="K14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21" s="48">
        <v>44747</v>
      </c>
      <c r="M1421" s="48"/>
      <c r="N1421" s="49"/>
      <c r="O1421" s="45"/>
      <c r="P1421" s="80"/>
      <c r="Q1421" s="48"/>
      <c r="R1421" s="45"/>
      <c r="S1421" s="115"/>
      <c r="T1421" s="20"/>
      <c r="U1421" s="20"/>
      <c r="V1421" s="20"/>
      <c r="W1421" s="27"/>
    </row>
    <row r="1422" spans="1:23" ht="60" hidden="1" customHeight="1" x14ac:dyDescent="0.25">
      <c r="A1422" s="45" t="str">
        <f>CONCATENATE(Tabla2[[#This Row],[id_solicitud]],Tabla2[[#This Row],[tipo]])</f>
        <v>517Respuesta_Reasignacion_Interna</v>
      </c>
      <c r="B1422" s="45">
        <f>COUNTIF($A$2:A1422,A1422)</f>
        <v>1</v>
      </c>
      <c r="C1422" s="45" t="str">
        <f>Tabla2[[#This Row],[(id_solicitud-tipo_documento)]]&amp;B1422</f>
        <v>517Respuesta_Reasignacion_Interna1</v>
      </c>
      <c r="D1422" s="45">
        <v>1428</v>
      </c>
      <c r="E1422" s="45">
        <v>517</v>
      </c>
      <c r="F1422" s="45" t="s">
        <v>1279</v>
      </c>
      <c r="G1422" s="45" t="s">
        <v>1258</v>
      </c>
      <c r="H1422" s="50" t="s">
        <v>535</v>
      </c>
      <c r="I1422" s="51">
        <v>253004522</v>
      </c>
      <c r="J1422" s="80"/>
      <c r="K14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22" s="48">
        <v>44868</v>
      </c>
      <c r="M1422" s="48"/>
      <c r="N1422" s="49"/>
      <c r="O1422" s="45"/>
      <c r="P1422" s="80"/>
      <c r="Q1422" s="48"/>
      <c r="R1422" s="45"/>
      <c r="S1422" s="115"/>
      <c r="T1422" s="20"/>
      <c r="U1422" s="20"/>
      <c r="V1422" s="20"/>
      <c r="W1422" s="27"/>
    </row>
    <row r="1423" spans="1:23" ht="60" hidden="1" customHeight="1" x14ac:dyDescent="0.25">
      <c r="A1423" s="45" t="str">
        <f>CONCATENATE(Tabla2[[#This Row],[id_solicitud]],Tabla2[[#This Row],[tipo]])</f>
        <v>170Respuesta_Reasignacion_Interna</v>
      </c>
      <c r="B1423" s="45">
        <f>COUNTIF($A$2:A1423,A1423)</f>
        <v>1</v>
      </c>
      <c r="C1423" s="45" t="str">
        <f>Tabla2[[#This Row],[(id_solicitud-tipo_documento)]]&amp;B1423</f>
        <v>170Respuesta_Reasignacion_Interna1</v>
      </c>
      <c r="D1423" s="45">
        <v>1429</v>
      </c>
      <c r="E1423" s="45">
        <v>170</v>
      </c>
      <c r="F1423" s="45" t="s">
        <v>1279</v>
      </c>
      <c r="G1423" s="45" t="s">
        <v>1258</v>
      </c>
      <c r="H1423" s="50" t="s">
        <v>541</v>
      </c>
      <c r="I1423" s="51">
        <v>256012022</v>
      </c>
      <c r="J1423" s="80"/>
      <c r="K14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23" s="48">
        <v>44676</v>
      </c>
      <c r="M1423" s="48"/>
      <c r="N1423" s="49">
        <f>E1423</f>
        <v>170</v>
      </c>
      <c r="O1423" s="45"/>
      <c r="P1423" s="80"/>
      <c r="Q1423" s="48"/>
      <c r="R1423" s="45"/>
      <c r="S1423" s="115"/>
      <c r="T1423" s="20"/>
      <c r="U1423" s="20"/>
      <c r="V1423" s="20"/>
      <c r="W1423" s="27"/>
    </row>
    <row r="1424" spans="1:23" ht="60" hidden="1" customHeight="1" x14ac:dyDescent="0.25">
      <c r="A1424" s="45" t="str">
        <f>CONCATENATE(Tabla2[[#This Row],[id_solicitud]],Tabla2[[#This Row],[tipo]])</f>
        <v>242Respuesta_Reasignacion_Interna</v>
      </c>
      <c r="B1424" s="45">
        <f>COUNTIF($A$2:A1424,A1424)</f>
        <v>1</v>
      </c>
      <c r="C1424" s="45" t="str">
        <f>Tabla2[[#This Row],[(id_solicitud-tipo_documento)]]&amp;B1424</f>
        <v>242Respuesta_Reasignacion_Interna1</v>
      </c>
      <c r="D1424" s="45">
        <v>1430</v>
      </c>
      <c r="E1424" s="45">
        <v>242</v>
      </c>
      <c r="F1424" s="45" t="s">
        <v>1279</v>
      </c>
      <c r="G1424" s="45" t="s">
        <v>1258</v>
      </c>
      <c r="H1424" s="50" t="s">
        <v>541</v>
      </c>
      <c r="I1424" s="51">
        <v>256022022</v>
      </c>
      <c r="J1424" s="80"/>
      <c r="K14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24" s="48">
        <v>44718</v>
      </c>
      <c r="M1424" s="48"/>
      <c r="N1424" s="49">
        <f>E1424</f>
        <v>242</v>
      </c>
      <c r="O1424" s="45"/>
      <c r="P1424" s="80"/>
      <c r="Q1424" s="48"/>
      <c r="R1424" s="45"/>
      <c r="S1424" s="115"/>
      <c r="T1424" s="20"/>
      <c r="U1424" s="20"/>
      <c r="V1424" s="20"/>
      <c r="W1424" s="27"/>
    </row>
    <row r="1425" spans="1:23" ht="60" hidden="1" customHeight="1" x14ac:dyDescent="0.25">
      <c r="A1425" s="45" t="str">
        <f>CONCATENATE(Tabla2[[#This Row],[id_solicitud]],Tabla2[[#This Row],[tipo]])</f>
        <v>287Respuesta_Reasignacion_Interna</v>
      </c>
      <c r="B1425" s="45">
        <f>COUNTIF($A$2:A1425,A1425)</f>
        <v>1</v>
      </c>
      <c r="C1425" s="45" t="str">
        <f>Tabla2[[#This Row],[(id_solicitud-tipo_documento)]]&amp;B1425</f>
        <v>287Respuesta_Reasignacion_Interna1</v>
      </c>
      <c r="D1425" s="45">
        <v>1431</v>
      </c>
      <c r="E1425" s="45">
        <v>287</v>
      </c>
      <c r="F1425" s="45" t="s">
        <v>1279</v>
      </c>
      <c r="G1425" s="45" t="s">
        <v>1258</v>
      </c>
      <c r="H1425" s="50" t="s">
        <v>541</v>
      </c>
      <c r="I1425" s="51">
        <v>256032022</v>
      </c>
      <c r="J1425" s="80"/>
      <c r="K14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25" s="48">
        <v>44749</v>
      </c>
      <c r="M1425" s="48"/>
      <c r="N1425" s="49" t="s">
        <v>900</v>
      </c>
      <c r="O1425" s="45"/>
      <c r="P1425" s="80"/>
      <c r="Q1425" s="48"/>
      <c r="R1425" s="45"/>
      <c r="S1425" s="115"/>
      <c r="T1425" s="20"/>
      <c r="U1425" s="20"/>
      <c r="V1425" s="20"/>
      <c r="W1425" s="27"/>
    </row>
    <row r="1426" spans="1:23" ht="60" hidden="1" customHeight="1" x14ac:dyDescent="0.25">
      <c r="A1426" s="45" t="str">
        <f>CONCATENATE(Tabla2[[#This Row],[id_solicitud]],Tabla2[[#This Row],[tipo]])</f>
        <v>214Respuesta_Reasignacion_Interna</v>
      </c>
      <c r="B1426" s="45">
        <f>COUNTIF($A$2:A1426,A1426)</f>
        <v>1</v>
      </c>
      <c r="C1426" s="45" t="str">
        <f>Tabla2[[#This Row],[(id_solicitud-tipo_documento)]]&amp;B1426</f>
        <v>214Respuesta_Reasignacion_Interna1</v>
      </c>
      <c r="D1426" s="45">
        <v>1432</v>
      </c>
      <c r="E1426" s="45">
        <v>214</v>
      </c>
      <c r="F1426" s="45" t="s">
        <v>1279</v>
      </c>
      <c r="G1426" s="45" t="s">
        <v>1258</v>
      </c>
      <c r="H1426" s="50" t="s">
        <v>559</v>
      </c>
      <c r="I1426" s="51">
        <v>262000371</v>
      </c>
      <c r="J1426" s="80"/>
      <c r="K14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26" s="48">
        <v>44714</v>
      </c>
      <c r="M1426" s="48"/>
      <c r="N1426" s="49" t="s">
        <v>873</v>
      </c>
      <c r="O1426" s="45"/>
      <c r="P1426" s="80"/>
      <c r="Q1426" s="48"/>
      <c r="R1426" s="45"/>
      <c r="S1426" s="115"/>
      <c r="T1426" s="20"/>
      <c r="U1426" s="20"/>
      <c r="V1426" s="20"/>
      <c r="W1426" s="27"/>
    </row>
    <row r="1427" spans="1:23" ht="60" hidden="1" customHeight="1" x14ac:dyDescent="0.25">
      <c r="A1427" s="45" t="str">
        <f>CONCATENATE(Tabla2[[#This Row],[id_solicitud]],Tabla2[[#This Row],[tipo]])</f>
        <v>286Respuesta_Reasignacion_Interna</v>
      </c>
      <c r="B1427" s="45">
        <f>COUNTIF($A$2:A1427,A1427)</f>
        <v>1</v>
      </c>
      <c r="C1427" s="45" t="str">
        <f>Tabla2[[#This Row],[(id_solicitud-tipo_documento)]]&amp;B1427</f>
        <v>286Respuesta_Reasignacion_Interna1</v>
      </c>
      <c r="D1427" s="45">
        <v>1433</v>
      </c>
      <c r="E1427" s="45">
        <v>286</v>
      </c>
      <c r="F1427" s="45" t="s">
        <v>1279</v>
      </c>
      <c r="G1427" s="45" t="s">
        <v>1258</v>
      </c>
      <c r="H1427" s="50" t="s">
        <v>6</v>
      </c>
      <c r="I1427" s="51">
        <v>262000435</v>
      </c>
      <c r="J1427" s="80"/>
      <c r="K14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27" s="48">
        <v>44742</v>
      </c>
      <c r="M1427" s="48"/>
      <c r="N1427" s="49" t="s">
        <v>676</v>
      </c>
      <c r="O1427" s="45"/>
      <c r="P1427" s="80"/>
      <c r="Q1427" s="48"/>
      <c r="R1427" s="45"/>
      <c r="S1427" s="115"/>
      <c r="T1427" s="20"/>
      <c r="U1427" s="20"/>
      <c r="V1427" s="20"/>
      <c r="W1427" s="27"/>
    </row>
    <row r="1428" spans="1:23" ht="60" hidden="1" customHeight="1" x14ac:dyDescent="0.25">
      <c r="A1428" s="45" t="str">
        <f>CONCATENATE(Tabla2[[#This Row],[id_solicitud]],Tabla2[[#This Row],[tipo]])</f>
        <v>308Respuesta_Reasignacion_Interna</v>
      </c>
      <c r="B1428" s="45">
        <f>COUNTIF($A$2:A1428,A1428)</f>
        <v>1</v>
      </c>
      <c r="C1428" s="45" t="str">
        <f>Tabla2[[#This Row],[(id_solicitud-tipo_documento)]]&amp;B1428</f>
        <v>308Respuesta_Reasignacion_Interna1</v>
      </c>
      <c r="D1428" s="45">
        <v>1434</v>
      </c>
      <c r="E1428" s="45">
        <v>308</v>
      </c>
      <c r="F1428" s="45" t="s">
        <v>1279</v>
      </c>
      <c r="G1428" s="45" t="s">
        <v>1258</v>
      </c>
      <c r="H1428" s="50" t="s">
        <v>559</v>
      </c>
      <c r="I1428" s="51">
        <v>262003075</v>
      </c>
      <c r="J1428" s="80"/>
      <c r="K14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28" s="48">
        <v>44774</v>
      </c>
      <c r="M1428" s="48"/>
      <c r="N1428" s="49"/>
      <c r="O1428" s="45"/>
      <c r="P1428" s="80"/>
      <c r="Q1428" s="48"/>
      <c r="R1428" s="45"/>
      <c r="S1428" s="115"/>
      <c r="T1428" s="20"/>
      <c r="U1428" s="20"/>
      <c r="V1428" s="20"/>
      <c r="W1428" s="27"/>
    </row>
    <row r="1429" spans="1:23" ht="60" hidden="1" customHeight="1" x14ac:dyDescent="0.25">
      <c r="A1429" s="45" t="str">
        <f>CONCATENATE(Tabla2[[#This Row],[id_solicitud]],Tabla2[[#This Row],[tipo]])</f>
        <v>352Respuesta_Reasignacion_Interna</v>
      </c>
      <c r="B1429" s="45">
        <f>COUNTIF($A$2:A1429,A1429)</f>
        <v>1</v>
      </c>
      <c r="C1429" s="45" t="str">
        <f>Tabla2[[#This Row],[(id_solicitud-tipo_documento)]]&amp;B1429</f>
        <v>352Respuesta_Reasignacion_Interna1</v>
      </c>
      <c r="D1429" s="45">
        <v>1435</v>
      </c>
      <c r="E1429" s="45">
        <v>352</v>
      </c>
      <c r="F1429" s="45" t="s">
        <v>1279</v>
      </c>
      <c r="G1429" s="45" t="s">
        <v>1258</v>
      </c>
      <c r="H1429" s="50" t="s">
        <v>559</v>
      </c>
      <c r="I1429" s="51">
        <v>262003429</v>
      </c>
      <c r="J1429" s="80"/>
      <c r="K14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29" s="48">
        <v>44795</v>
      </c>
      <c r="M1429" s="48"/>
      <c r="N1429" s="49"/>
      <c r="O1429" s="45"/>
      <c r="P1429" s="80"/>
      <c r="Q1429" s="48"/>
      <c r="R1429" s="45"/>
      <c r="S1429" s="115"/>
      <c r="T1429" s="20"/>
      <c r="U1429" s="20"/>
      <c r="V1429" s="20"/>
      <c r="W1429" s="27"/>
    </row>
    <row r="1430" spans="1:23" ht="60" hidden="1" customHeight="1" x14ac:dyDescent="0.25">
      <c r="A1430" s="45" t="str">
        <f>CONCATENATE(Tabla2[[#This Row],[id_solicitud]],Tabla2[[#This Row],[tipo]])</f>
        <v>411Respuesta_Reasignacion_Interna</v>
      </c>
      <c r="B1430" s="45">
        <f>COUNTIF($A$2:A1430,A1430)</f>
        <v>1</v>
      </c>
      <c r="C1430" s="45" t="str">
        <f>Tabla2[[#This Row],[(id_solicitud-tipo_documento)]]&amp;B1430</f>
        <v>411Respuesta_Reasignacion_Interna1</v>
      </c>
      <c r="D1430" s="45">
        <v>1436</v>
      </c>
      <c r="E1430" s="45">
        <v>411</v>
      </c>
      <c r="F1430" s="45" t="s">
        <v>1279</v>
      </c>
      <c r="G1430" s="45" t="s">
        <v>1258</v>
      </c>
      <c r="H1430" s="50" t="s">
        <v>559</v>
      </c>
      <c r="I1430" s="51">
        <v>262003910</v>
      </c>
      <c r="J1430" s="80"/>
      <c r="K14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430" s="48">
        <v>44827</v>
      </c>
      <c r="M1430" s="48"/>
      <c r="N1430" s="49"/>
      <c r="O1430" s="45"/>
      <c r="P1430" s="80"/>
      <c r="Q1430" s="48"/>
      <c r="R1430" s="45"/>
      <c r="S1430" s="115"/>
      <c r="T1430" s="20"/>
      <c r="U1430" s="20"/>
      <c r="V1430" s="20"/>
      <c r="W1430" s="27"/>
    </row>
    <row r="1431" spans="1:23" ht="60" hidden="1" customHeight="1" x14ac:dyDescent="0.25">
      <c r="A1431" s="45" t="str">
        <f>CONCATENATE(Tabla2[[#This Row],[id_solicitud]],Tabla2[[#This Row],[tipo]])</f>
        <v>108Proposicion</v>
      </c>
      <c r="B1431" s="45">
        <f>COUNTIF($A$2:A1431,A1431)</f>
        <v>1</v>
      </c>
      <c r="C1431" s="45" t="str">
        <f>Tabla2[[#This Row],[(id_solicitud-tipo_documento)]]&amp;B1431</f>
        <v>108Proposicion1</v>
      </c>
      <c r="D1431" s="45">
        <v>1437</v>
      </c>
      <c r="E1431" s="45">
        <v>108</v>
      </c>
      <c r="F1431" s="45" t="s">
        <v>46</v>
      </c>
      <c r="G1431" s="45" t="s">
        <v>40</v>
      </c>
      <c r="H1431" s="50" t="s">
        <v>562</v>
      </c>
      <c r="I1431" s="51">
        <v>107</v>
      </c>
      <c r="J1431" s="80"/>
      <c r="K14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107 DGC_FETCovid19</v>
      </c>
      <c r="L1431" s="48">
        <v>44658</v>
      </c>
      <c r="M1431" s="48">
        <v>44659</v>
      </c>
      <c r="N1431" s="49" t="s">
        <v>157</v>
      </c>
      <c r="O1431" s="45"/>
      <c r="P1431" s="80" t="s">
        <v>500</v>
      </c>
      <c r="Q1431" s="24"/>
      <c r="R1431" s="24" t="s">
        <v>24</v>
      </c>
      <c r="S1431" s="114"/>
      <c r="T1431" s="45"/>
      <c r="U1431" s="48"/>
      <c r="V1431" s="48"/>
      <c r="W1431" s="27"/>
    </row>
    <row r="1432" spans="1:23" ht="60" hidden="1" customHeight="1" x14ac:dyDescent="0.25">
      <c r="A1432" s="45" t="str">
        <f>CONCATENATE(Tabla2[[#This Row],[id_solicitud]],Tabla2[[#This Row],[tipo]])</f>
        <v>524Oficio_Solicitud</v>
      </c>
      <c r="B1432" s="45">
        <f>COUNTIF($A$2:A1432,A1432)</f>
        <v>1</v>
      </c>
      <c r="C1432" s="45" t="str">
        <f>Tabla2[[#This Row],[(id_solicitud-tipo_documento)]]&amp;B1432</f>
        <v>524Oficio_Solicitud1</v>
      </c>
      <c r="D1432" s="45">
        <v>1438</v>
      </c>
      <c r="E1432" s="45">
        <v>524</v>
      </c>
      <c r="F1432" s="45" t="s">
        <v>53</v>
      </c>
      <c r="G1432" s="45" t="s">
        <v>40</v>
      </c>
      <c r="H1432" s="50" t="s">
        <v>8</v>
      </c>
      <c r="I1432" s="51">
        <v>1087</v>
      </c>
      <c r="J1432" s="80"/>
      <c r="K14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1087 DA</v>
      </c>
      <c r="L1432" s="48">
        <v>44832</v>
      </c>
      <c r="M1432" s="48">
        <v>44832</v>
      </c>
      <c r="N1432" s="49" t="s">
        <v>486</v>
      </c>
      <c r="O1432" s="45"/>
      <c r="P1432" s="80" t="s">
        <v>494</v>
      </c>
      <c r="Q1432" s="48"/>
      <c r="R1432" s="45"/>
      <c r="S1432" s="114"/>
      <c r="T1432" s="52"/>
      <c r="U1432" s="48"/>
      <c r="V1432" s="48"/>
      <c r="W1432" s="27"/>
    </row>
    <row r="1433" spans="1:23" ht="60" hidden="1" customHeight="1" x14ac:dyDescent="0.25">
      <c r="A1433" s="45" t="str">
        <f>CONCATENATE(Tabla2[[#This Row],[id_solicitud]],Tabla2[[#This Row],[tipo]])</f>
        <v>524Oficio_Solicitud</v>
      </c>
      <c r="B1433" s="45">
        <f>COUNTIF($A$2:A1433,A1433)</f>
        <v>2</v>
      </c>
      <c r="C1433" s="45" t="str">
        <f>Tabla2[[#This Row],[(id_solicitud-tipo_documento)]]&amp;B1433</f>
        <v>524Oficio_Solicitud2</v>
      </c>
      <c r="D1433" s="45">
        <v>1439</v>
      </c>
      <c r="E1433" s="45">
        <v>524</v>
      </c>
      <c r="F1433" s="45" t="s">
        <v>53</v>
      </c>
      <c r="G1433" s="45" t="s">
        <v>40</v>
      </c>
      <c r="H1433" s="50" t="s">
        <v>8</v>
      </c>
      <c r="I1433" s="51">
        <v>1093</v>
      </c>
      <c r="J1433" s="80"/>
      <c r="K14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1093 DA</v>
      </c>
      <c r="L1433" s="48">
        <v>44832</v>
      </c>
      <c r="M1433" s="48">
        <v>44832</v>
      </c>
      <c r="N1433" s="49" t="s">
        <v>486</v>
      </c>
      <c r="O1433" s="45"/>
      <c r="P1433" s="80" t="s">
        <v>494</v>
      </c>
      <c r="Q1433" s="48"/>
      <c r="R1433" s="45"/>
      <c r="S1433" s="114"/>
      <c r="T1433" s="52"/>
      <c r="U1433" s="48"/>
      <c r="V1433" s="48"/>
      <c r="W1433" s="27"/>
    </row>
    <row r="1434" spans="1:23" ht="60" hidden="1" customHeight="1" x14ac:dyDescent="0.25">
      <c r="A1434" s="45" t="str">
        <f>CONCATENATE(Tabla2[[#This Row],[id_solicitud]],Tabla2[[#This Row],[tipo]])</f>
        <v>215Oficio_Solicitud</v>
      </c>
      <c r="B1434" s="45">
        <f>COUNTIF($A$2:A1434,A1434)</f>
        <v>1</v>
      </c>
      <c r="C1434" s="45" t="str">
        <f>Tabla2[[#This Row],[(id_solicitud-tipo_documento)]]&amp;B1434</f>
        <v>215Oficio_Solicitud1</v>
      </c>
      <c r="D1434" s="45">
        <v>1440</v>
      </c>
      <c r="E1434" s="45">
        <v>215</v>
      </c>
      <c r="F1434" s="45" t="s">
        <v>53</v>
      </c>
      <c r="G1434" s="45" t="s">
        <v>60</v>
      </c>
      <c r="H1434" s="50" t="s">
        <v>559</v>
      </c>
      <c r="I1434" s="51">
        <v>1141</v>
      </c>
      <c r="J1434" s="80" t="s">
        <v>1241</v>
      </c>
      <c r="K14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1141 APR_FETCovid19correo</v>
      </c>
      <c r="L1434" s="48">
        <v>44693</v>
      </c>
      <c r="M1434" s="48">
        <v>44694</v>
      </c>
      <c r="N1434" s="49" t="s">
        <v>243</v>
      </c>
      <c r="O1434" s="45">
        <v>11</v>
      </c>
      <c r="P1434" s="80" t="s">
        <v>494</v>
      </c>
      <c r="Q1434" s="48">
        <v>44714</v>
      </c>
      <c r="R1434" s="45"/>
      <c r="S1434" s="114"/>
      <c r="T1434" s="52"/>
      <c r="U1434" s="48"/>
      <c r="V1434" s="48"/>
      <c r="W1434" s="27"/>
    </row>
    <row r="1435" spans="1:23" ht="60" hidden="1" customHeight="1" x14ac:dyDescent="0.25">
      <c r="A1435" s="45" t="str">
        <f>CONCATENATE(Tabla2[[#This Row],[id_solicitud]],Tabla2[[#This Row],[tipo]])</f>
        <v>274Oficio_Solicitud</v>
      </c>
      <c r="B1435" s="45">
        <f>COUNTIF($A$2:A1435,A1435)</f>
        <v>1</v>
      </c>
      <c r="C1435" s="45" t="str">
        <f>Tabla2[[#This Row],[(id_solicitud-tipo_documento)]]&amp;B1435</f>
        <v>274Oficio_Solicitud1</v>
      </c>
      <c r="D1435" s="45">
        <v>1441</v>
      </c>
      <c r="E1435" s="45">
        <v>274</v>
      </c>
      <c r="F1435" s="45" t="s">
        <v>53</v>
      </c>
      <c r="G1435" s="45" t="s">
        <v>60</v>
      </c>
      <c r="H1435" s="50" t="s">
        <v>6</v>
      </c>
      <c r="I1435" s="51">
        <v>1141</v>
      </c>
      <c r="J1435" s="80" t="s">
        <v>1241</v>
      </c>
      <c r="K14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1141 APRcorreo</v>
      </c>
      <c r="L1435" s="48">
        <v>44693</v>
      </c>
      <c r="M1435" s="48">
        <v>44694</v>
      </c>
      <c r="N1435" s="49" t="s">
        <v>296</v>
      </c>
      <c r="O1435" s="45">
        <v>11</v>
      </c>
      <c r="P1435" s="80" t="s">
        <v>494</v>
      </c>
      <c r="Q1435" s="48">
        <v>44714</v>
      </c>
      <c r="R1435" s="45"/>
      <c r="S1435" s="114"/>
      <c r="T1435" s="52"/>
      <c r="U1435" s="48"/>
      <c r="V1435" s="48"/>
      <c r="W1435" s="27"/>
    </row>
    <row r="1436" spans="1:23" ht="60" hidden="1" customHeight="1" x14ac:dyDescent="0.25">
      <c r="A1436" s="45" t="str">
        <f>CONCATENATE(Tabla2[[#This Row],[id_solicitud]],Tabla2[[#This Row],[tipo]])</f>
        <v>32Oficio_Solicitud</v>
      </c>
      <c r="B1436" s="45">
        <f>COUNTIF($A$2:A1436,A1436)</f>
        <v>1</v>
      </c>
      <c r="C1436" s="45" t="str">
        <f>Tabla2[[#This Row],[(id_solicitud-tipo_documento)]]&amp;B1436</f>
        <v>32Oficio_Solicitud1</v>
      </c>
      <c r="D1436" s="45">
        <v>1442</v>
      </c>
      <c r="E1436" s="45">
        <v>32</v>
      </c>
      <c r="F1436" s="45" t="s">
        <v>53</v>
      </c>
      <c r="G1436" s="45" t="s">
        <v>43</v>
      </c>
      <c r="H1436" s="50" t="s">
        <v>26</v>
      </c>
      <c r="I1436" s="51">
        <v>12535</v>
      </c>
      <c r="J1436" s="80" t="s">
        <v>1241</v>
      </c>
      <c r="K14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12535 DVcorreo</v>
      </c>
      <c r="L1436" s="48">
        <v>44586</v>
      </c>
      <c r="M1436" s="48">
        <v>44586</v>
      </c>
      <c r="N1436" s="49" t="s">
        <v>97</v>
      </c>
      <c r="O1436" s="45">
        <v>93</v>
      </c>
      <c r="P1436" s="80" t="s">
        <v>494</v>
      </c>
      <c r="Q1436" s="48">
        <v>44586</v>
      </c>
      <c r="R1436" s="45"/>
      <c r="S1436" s="114"/>
      <c r="T1436" s="52"/>
      <c r="U1436" s="48"/>
      <c r="V1436" s="48"/>
      <c r="W1436" s="27"/>
    </row>
    <row r="1437" spans="1:23" ht="60" hidden="1" customHeight="1" x14ac:dyDescent="0.25">
      <c r="A1437" s="45" t="str">
        <f>CONCATENATE(Tabla2[[#This Row],[id_solicitud]],Tabla2[[#This Row],[tipo]])</f>
        <v>247Oficio_Solicitud</v>
      </c>
      <c r="B1437" s="45">
        <f>COUNTIF($A$2:A1437,A1437)</f>
        <v>1</v>
      </c>
      <c r="C1437" s="45" t="str">
        <f>Tabla2[[#This Row],[(id_solicitud-tipo_documento)]]&amp;B1437</f>
        <v>247Oficio_Solicitud1</v>
      </c>
      <c r="D1437" s="45">
        <v>1443</v>
      </c>
      <c r="E1437" s="45">
        <v>247</v>
      </c>
      <c r="F1437" s="45" t="s">
        <v>53</v>
      </c>
      <c r="G1437" s="45" t="s">
        <v>60</v>
      </c>
      <c r="H1437" s="50" t="s">
        <v>6</v>
      </c>
      <c r="I1437" s="51">
        <v>1294</v>
      </c>
      <c r="J1437" s="80" t="s">
        <v>1241</v>
      </c>
      <c r="K14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1294 APRcorreo</v>
      </c>
      <c r="L1437" s="48">
        <v>44708</v>
      </c>
      <c r="M1437" s="48">
        <v>44708</v>
      </c>
      <c r="N1437" s="49" t="s">
        <v>274</v>
      </c>
      <c r="O1437" s="45">
        <v>1</v>
      </c>
      <c r="P1437" s="80" t="s">
        <v>494</v>
      </c>
      <c r="Q1437" s="48">
        <v>44719</v>
      </c>
      <c r="R1437" s="45"/>
      <c r="S1437" s="114"/>
      <c r="T1437" s="52"/>
      <c r="U1437" s="48"/>
      <c r="V1437" s="48"/>
      <c r="W1437" s="27"/>
    </row>
    <row r="1438" spans="1:23" ht="60" hidden="1" customHeight="1" x14ac:dyDescent="0.25">
      <c r="A1438" s="45" t="str">
        <f>CONCATENATE(Tabla2[[#This Row],[id_solicitud]],Tabla2[[#This Row],[tipo]])</f>
        <v>254Oficio_Solicitud</v>
      </c>
      <c r="B1438" s="45">
        <f>COUNTIF($A$2:A1438,A1438)</f>
        <v>1</v>
      </c>
      <c r="C1438" s="45" t="str">
        <f>Tabla2[[#This Row],[(id_solicitud-tipo_documento)]]&amp;B1438</f>
        <v>254Oficio_Solicitud1</v>
      </c>
      <c r="D1438" s="45">
        <v>1444</v>
      </c>
      <c r="E1438" s="45">
        <v>254</v>
      </c>
      <c r="F1438" s="45" t="s">
        <v>53</v>
      </c>
      <c r="G1438" s="45" t="s">
        <v>60</v>
      </c>
      <c r="H1438" s="50" t="s">
        <v>559</v>
      </c>
      <c r="I1438" s="51">
        <v>1359</v>
      </c>
      <c r="J1438" s="80" t="s">
        <v>1241</v>
      </c>
      <c r="K14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1359 APR_FETCovid19correo</v>
      </c>
      <c r="L1438" s="48">
        <v>44718</v>
      </c>
      <c r="M1438" s="48">
        <v>44719</v>
      </c>
      <c r="N1438" s="49" t="s">
        <v>281</v>
      </c>
      <c r="O1438" s="45">
        <v>36</v>
      </c>
      <c r="P1438" s="80" t="s">
        <v>494</v>
      </c>
      <c r="Q1438" s="48">
        <v>44735</v>
      </c>
      <c r="R1438" s="45"/>
      <c r="S1438" s="114"/>
      <c r="T1438" s="52"/>
      <c r="U1438" s="48"/>
      <c r="V1438" s="48"/>
      <c r="W1438" s="27"/>
    </row>
    <row r="1439" spans="1:23" ht="60" hidden="1" customHeight="1" x14ac:dyDescent="0.25">
      <c r="A1439" s="45" t="str">
        <f>CONCATENATE(Tabla2[[#This Row],[id_solicitud]],Tabla2[[#This Row],[tipo]])</f>
        <v>305Oficio_Solicitud</v>
      </c>
      <c r="B1439" s="45">
        <f>COUNTIF($A$2:A1439,A1439)</f>
        <v>1</v>
      </c>
      <c r="C1439" s="45" t="str">
        <f>Tabla2[[#This Row],[(id_solicitud-tipo_documento)]]&amp;B1439</f>
        <v>305Oficio_Solicitud1</v>
      </c>
      <c r="D1439" s="45">
        <v>1445</v>
      </c>
      <c r="E1439" s="45">
        <v>305</v>
      </c>
      <c r="F1439" s="45" t="s">
        <v>53</v>
      </c>
      <c r="G1439" s="45" t="s">
        <v>60</v>
      </c>
      <c r="H1439" s="50" t="s">
        <v>6</v>
      </c>
      <c r="I1439" s="51">
        <v>1359</v>
      </c>
      <c r="J1439" s="80" t="s">
        <v>1241</v>
      </c>
      <c r="K14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1359 APRcorreo</v>
      </c>
      <c r="L1439" s="48">
        <v>44718</v>
      </c>
      <c r="M1439" s="48">
        <v>44719</v>
      </c>
      <c r="N1439" s="49" t="s">
        <v>281</v>
      </c>
      <c r="O1439" s="45">
        <v>36</v>
      </c>
      <c r="P1439" s="80" t="s">
        <v>494</v>
      </c>
      <c r="Q1439" s="48">
        <v>44735</v>
      </c>
      <c r="R1439" s="45"/>
      <c r="S1439" s="114"/>
      <c r="T1439" s="52"/>
      <c r="U1439" s="48"/>
      <c r="V1439" s="48"/>
      <c r="W1439" s="27"/>
    </row>
    <row r="1440" spans="1:23" ht="60" hidden="1" customHeight="1" x14ac:dyDescent="0.25">
      <c r="A1440" s="45" t="str">
        <f>CONCATENATE(Tabla2[[#This Row],[id_solicitud]],Tabla2[[#This Row],[tipo]])</f>
        <v>255Oficio_Solicitud</v>
      </c>
      <c r="B1440" s="45">
        <f>COUNTIF($A$2:A1440,A1440)</f>
        <v>1</v>
      </c>
      <c r="C1440" s="45" t="str">
        <f>Tabla2[[#This Row],[(id_solicitud-tipo_documento)]]&amp;B1440</f>
        <v>255Oficio_Solicitud1</v>
      </c>
      <c r="D1440" s="45">
        <v>1446</v>
      </c>
      <c r="E1440" s="45">
        <v>255</v>
      </c>
      <c r="F1440" s="45" t="s">
        <v>53</v>
      </c>
      <c r="G1440" s="45" t="s">
        <v>60</v>
      </c>
      <c r="H1440" s="50" t="s">
        <v>6</v>
      </c>
      <c r="I1440" s="51">
        <v>1362</v>
      </c>
      <c r="J1440" s="80" t="s">
        <v>1241</v>
      </c>
      <c r="K14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1362 APRcorreo</v>
      </c>
      <c r="L1440" s="48">
        <v>44718</v>
      </c>
      <c r="M1440" s="48">
        <v>44719</v>
      </c>
      <c r="N1440" s="49" t="s">
        <v>282</v>
      </c>
      <c r="O1440" s="45">
        <v>18</v>
      </c>
      <c r="P1440" s="80" t="s">
        <v>494</v>
      </c>
      <c r="Q1440" s="48">
        <v>44725</v>
      </c>
      <c r="R1440" s="45"/>
      <c r="S1440" s="114"/>
      <c r="T1440" s="52"/>
      <c r="U1440" s="48"/>
      <c r="V1440" s="48"/>
      <c r="W1440" s="27"/>
    </row>
    <row r="1441" spans="1:23" ht="60" hidden="1" customHeight="1" x14ac:dyDescent="0.25">
      <c r="A1441" s="45" t="str">
        <f>CONCATENATE(Tabla2[[#This Row],[id_solicitud]],Tabla2[[#This Row],[tipo]])</f>
        <v>253Oficio_Solicitud</v>
      </c>
      <c r="B1441" s="45">
        <f>COUNTIF($A$2:A1441,A1441)</f>
        <v>1</v>
      </c>
      <c r="C1441" s="45" t="str">
        <f>Tabla2[[#This Row],[(id_solicitud-tipo_documento)]]&amp;B1441</f>
        <v>253Oficio_Solicitud1</v>
      </c>
      <c r="D1441" s="45">
        <v>1447</v>
      </c>
      <c r="E1441" s="45">
        <v>253</v>
      </c>
      <c r="F1441" s="45" t="s">
        <v>53</v>
      </c>
      <c r="G1441" s="45" t="s">
        <v>60</v>
      </c>
      <c r="H1441" s="50" t="s">
        <v>535</v>
      </c>
      <c r="I1441" s="51">
        <v>1377</v>
      </c>
      <c r="J1441" s="80" t="s">
        <v>1241</v>
      </c>
      <c r="K14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1377 DOH_FETCovid19correo</v>
      </c>
      <c r="L1441" s="48">
        <v>44718</v>
      </c>
      <c r="M1441" s="48">
        <v>44719</v>
      </c>
      <c r="N1441" s="49" t="s">
        <v>280</v>
      </c>
      <c r="O1441" s="45">
        <f>3+1+33</f>
        <v>37</v>
      </c>
      <c r="P1441" s="80" t="s">
        <v>494</v>
      </c>
      <c r="Q1441" s="48">
        <v>44741</v>
      </c>
      <c r="R1441" s="45"/>
      <c r="S1441" s="114"/>
      <c r="T1441" s="52"/>
      <c r="U1441" s="48"/>
      <c r="V1441" s="48"/>
      <c r="W1441" s="27"/>
    </row>
    <row r="1442" spans="1:23" ht="60" hidden="1" customHeight="1" x14ac:dyDescent="0.25">
      <c r="A1442" s="45" t="str">
        <f>CONCATENATE(Tabla2[[#This Row],[id_solicitud]],Tabla2[[#This Row],[tipo]])</f>
        <v>124Oficio_Solicitud</v>
      </c>
      <c r="B1442" s="45">
        <f>COUNTIF($A$2:A1442,A1442)</f>
        <v>1</v>
      </c>
      <c r="C1442" s="45" t="str">
        <f>Tabla2[[#This Row],[(id_solicitud-tipo_documento)]]&amp;B1442</f>
        <v>124Oficio_Solicitud1</v>
      </c>
      <c r="D1442" s="45">
        <v>1448</v>
      </c>
      <c r="E1442" s="45">
        <v>124</v>
      </c>
      <c r="F1442" s="45" t="s">
        <v>53</v>
      </c>
      <c r="G1442" s="45" t="s">
        <v>60</v>
      </c>
      <c r="H1442" s="50" t="s">
        <v>544</v>
      </c>
      <c r="I1442" s="51">
        <v>145</v>
      </c>
      <c r="J1442" s="80" t="s">
        <v>1241</v>
      </c>
      <c r="K14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145 DAP_FETCovid19correo</v>
      </c>
      <c r="L1442" s="48">
        <v>44637</v>
      </c>
      <c r="M1442" s="48">
        <v>44637</v>
      </c>
      <c r="N1442" s="49" t="s">
        <v>171</v>
      </c>
      <c r="O1442" s="45">
        <v>5</v>
      </c>
      <c r="P1442" s="80" t="s">
        <v>494</v>
      </c>
      <c r="Q1442" s="48">
        <v>44650</v>
      </c>
      <c r="R1442" s="45"/>
      <c r="S1442" s="114"/>
      <c r="T1442" s="52"/>
      <c r="U1442" s="48"/>
      <c r="V1442" s="48"/>
      <c r="W1442" s="27"/>
    </row>
    <row r="1443" spans="1:23" ht="60" hidden="1" customHeight="1" x14ac:dyDescent="0.25">
      <c r="A1443" s="45" t="str">
        <f>CONCATENATE(Tabla2[[#This Row],[id_solicitud]],Tabla2[[#This Row],[tipo]])</f>
        <v>155Proposicion</v>
      </c>
      <c r="B1443" s="45">
        <f>COUNTIF($A$2:A1443,A1443)</f>
        <v>1</v>
      </c>
      <c r="C1443" s="45" t="str">
        <f>Tabla2[[#This Row],[(id_solicitud-tipo_documento)]]&amp;B1443</f>
        <v>155Proposicion1</v>
      </c>
      <c r="D1443" s="45">
        <v>1449</v>
      </c>
      <c r="E1443" s="45">
        <v>155</v>
      </c>
      <c r="F1443" s="45" t="s">
        <v>46</v>
      </c>
      <c r="G1443" s="45" t="s">
        <v>60</v>
      </c>
      <c r="H1443" s="50" t="s">
        <v>14</v>
      </c>
      <c r="I1443" s="51">
        <v>272</v>
      </c>
      <c r="J1443" s="80"/>
      <c r="K14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272 DGA</v>
      </c>
      <c r="L1443" s="48">
        <v>44677</v>
      </c>
      <c r="M1443" s="48">
        <v>44678</v>
      </c>
      <c r="N1443" s="49" t="s">
        <v>1022</v>
      </c>
      <c r="O1443" s="45">
        <v>1</v>
      </c>
      <c r="P1443" s="80" t="s">
        <v>494</v>
      </c>
      <c r="Q1443" s="24"/>
      <c r="R1443" s="24" t="s">
        <v>24</v>
      </c>
      <c r="S1443" s="114"/>
      <c r="T1443" s="45"/>
      <c r="U1443" s="48"/>
      <c r="V1443" s="48"/>
      <c r="W1443" s="27"/>
    </row>
    <row r="1444" spans="1:23" ht="60" hidden="1" customHeight="1" x14ac:dyDescent="0.25">
      <c r="A1444" s="45" t="str">
        <f>CONCATENATE(Tabla2[[#This Row],[id_solicitud]],Tabla2[[#This Row],[tipo]])</f>
        <v>286Oficio_Solicitud</v>
      </c>
      <c r="B1444" s="45">
        <f>COUNTIF($A$2:A1444,A1444)</f>
        <v>1</v>
      </c>
      <c r="C1444" s="45" t="str">
        <f>Tabla2[[#This Row],[(id_solicitud-tipo_documento)]]&amp;B1444</f>
        <v>286Oficio_Solicitud1</v>
      </c>
      <c r="D1444" s="45">
        <v>1450</v>
      </c>
      <c r="E1444" s="45">
        <v>286</v>
      </c>
      <c r="F1444" s="45" t="s">
        <v>53</v>
      </c>
      <c r="G1444" s="45" t="s">
        <v>1258</v>
      </c>
      <c r="H1444" s="50" t="s">
        <v>6</v>
      </c>
      <c r="I1444" s="51">
        <v>1543</v>
      </c>
      <c r="J1444" s="80"/>
      <c r="K14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1543 APR</v>
      </c>
      <c r="L1444" s="48">
        <v>44740</v>
      </c>
      <c r="M1444" s="48">
        <v>44740</v>
      </c>
      <c r="N1444" s="49" t="s">
        <v>303</v>
      </c>
      <c r="O1444" s="45">
        <v>2</v>
      </c>
      <c r="P1444" s="80" t="s">
        <v>494</v>
      </c>
      <c r="Q1444" s="48">
        <v>44740</v>
      </c>
      <c r="R1444" s="45"/>
      <c r="S1444" s="114"/>
      <c r="T1444" s="52"/>
      <c r="U1444" s="48"/>
      <c r="V1444" s="48"/>
      <c r="W1444" s="27"/>
    </row>
    <row r="1445" spans="1:23" ht="60" hidden="1" customHeight="1" x14ac:dyDescent="0.25">
      <c r="A1445" s="45" t="str">
        <f>CONCATENATE(Tabla2[[#This Row],[id_solicitud]],Tabla2[[#This Row],[tipo]])</f>
        <v>284Oficio_Solicitud</v>
      </c>
      <c r="B1445" s="45">
        <f>COUNTIF($A$2:A1445,A1445)</f>
        <v>2</v>
      </c>
      <c r="C1445" s="45" t="str">
        <f>Tabla2[[#This Row],[(id_solicitud-tipo_documento)]]&amp;B1445</f>
        <v>284Oficio_Solicitud2</v>
      </c>
      <c r="D1445" s="45">
        <v>1451</v>
      </c>
      <c r="E1445" s="45">
        <v>284</v>
      </c>
      <c r="F1445" s="45" t="s">
        <v>53</v>
      </c>
      <c r="G1445" s="45" t="s">
        <v>60</v>
      </c>
      <c r="H1445" s="50" t="s">
        <v>20</v>
      </c>
      <c r="I1445" s="51">
        <v>1714</v>
      </c>
      <c r="J1445" s="80"/>
      <c r="K14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1714 DOH</v>
      </c>
      <c r="L1445" s="48">
        <v>44735</v>
      </c>
      <c r="M1445" s="48">
        <v>44736</v>
      </c>
      <c r="N1445" s="49"/>
      <c r="O1445" s="45"/>
      <c r="P1445" s="80"/>
      <c r="Q1445" s="48"/>
      <c r="R1445" s="45"/>
      <c r="S1445" s="114"/>
      <c r="T1445" s="52"/>
      <c r="U1445" s="48"/>
      <c r="V1445" s="48"/>
      <c r="W1445" s="27"/>
    </row>
    <row r="1446" spans="1:23" ht="60" hidden="1" customHeight="1" x14ac:dyDescent="0.25">
      <c r="A1446" s="45" t="str">
        <f>CONCATENATE(Tabla2[[#This Row],[id_solicitud]],Tabla2[[#This Row],[tipo]])</f>
        <v>284Oficio_Solicitud</v>
      </c>
      <c r="B1446" s="45">
        <f>COUNTIF($A$2:A1446,A1446)</f>
        <v>3</v>
      </c>
      <c r="C1446" s="45" t="str">
        <f>Tabla2[[#This Row],[(id_solicitud-tipo_documento)]]&amp;B1446</f>
        <v>284Oficio_Solicitud3</v>
      </c>
      <c r="D1446" s="45">
        <v>1452</v>
      </c>
      <c r="E1446" s="45">
        <v>284</v>
      </c>
      <c r="F1446" s="45" t="s">
        <v>53</v>
      </c>
      <c r="G1446" s="45" t="s">
        <v>60</v>
      </c>
      <c r="H1446" s="50" t="s">
        <v>20</v>
      </c>
      <c r="I1446" s="51">
        <v>1899</v>
      </c>
      <c r="J1446" s="80"/>
      <c r="K14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1899 DOH</v>
      </c>
      <c r="L1446" s="48">
        <v>44735</v>
      </c>
      <c r="M1446" s="48">
        <v>44736</v>
      </c>
      <c r="N1446" s="49"/>
      <c r="O1446" s="45"/>
      <c r="P1446" s="80"/>
      <c r="Q1446" s="48"/>
      <c r="R1446" s="45"/>
      <c r="S1446" s="114"/>
      <c r="T1446" s="52"/>
      <c r="U1446" s="48"/>
      <c r="V1446" s="48"/>
      <c r="W1446" s="27"/>
    </row>
    <row r="1447" spans="1:23" ht="60" hidden="1" customHeight="1" x14ac:dyDescent="0.25">
      <c r="A1447" s="45" t="str">
        <f>CONCATENATE(Tabla2[[#This Row],[id_solicitud]],Tabla2[[#This Row],[tipo]])</f>
        <v>284Proposicion</v>
      </c>
      <c r="B1447" s="45">
        <f>COUNTIF($A$2:A1447,A1447)</f>
        <v>1</v>
      </c>
      <c r="C1447" s="45" t="str">
        <f>Tabla2[[#This Row],[(id_solicitud-tipo_documento)]]&amp;B1447</f>
        <v>284Proposicion1</v>
      </c>
      <c r="D1447" s="45">
        <v>1453</v>
      </c>
      <c r="E1447" s="45">
        <v>284</v>
      </c>
      <c r="F1447" s="45" t="s">
        <v>46</v>
      </c>
      <c r="G1447" s="45" t="s">
        <v>60</v>
      </c>
      <c r="H1447" s="50" t="s">
        <v>20</v>
      </c>
      <c r="I1447" s="51">
        <v>460</v>
      </c>
      <c r="J1447" s="80"/>
      <c r="K14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460 DOH</v>
      </c>
      <c r="L1447" s="48">
        <v>44754</v>
      </c>
      <c r="M1447" s="48">
        <v>44750</v>
      </c>
      <c r="N1447" s="49" t="s">
        <v>301</v>
      </c>
      <c r="O1447" s="45">
        <f>1+1+10+27</f>
        <v>39</v>
      </c>
      <c r="P1447" s="80" t="s">
        <v>494</v>
      </c>
      <c r="Q1447" s="24"/>
      <c r="R1447" s="24" t="s">
        <v>24</v>
      </c>
      <c r="S1447" s="114"/>
      <c r="T1447" s="45"/>
      <c r="U1447" s="48"/>
      <c r="V1447" s="48"/>
      <c r="W1447" s="27"/>
    </row>
    <row r="1448" spans="1:23" ht="60" hidden="1" customHeight="1" x14ac:dyDescent="0.25">
      <c r="A1448" s="45" t="str">
        <f>CONCATENATE(Tabla2[[#This Row],[id_solicitud]],Tabla2[[#This Row],[tipo]])</f>
        <v>108Oficio_Solicitud</v>
      </c>
      <c r="B1448" s="45">
        <f>COUNTIF($A$2:A1448,A1448)</f>
        <v>1</v>
      </c>
      <c r="C1448" s="45" t="str">
        <f>Tabla2[[#This Row],[(id_solicitud-tipo_documento)]]&amp;B1448</f>
        <v>108Oficio_Solicitud1</v>
      </c>
      <c r="D1448" s="45">
        <v>1454</v>
      </c>
      <c r="E1448" s="45">
        <v>108</v>
      </c>
      <c r="F1448" s="45" t="s">
        <v>53</v>
      </c>
      <c r="G1448" s="45" t="s">
        <v>40</v>
      </c>
      <c r="H1448" s="50" t="s">
        <v>562</v>
      </c>
      <c r="I1448" s="51">
        <v>155</v>
      </c>
      <c r="J1448" s="80"/>
      <c r="K14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155 DGC_FETCovid19</v>
      </c>
      <c r="L1448" s="48">
        <v>44596</v>
      </c>
      <c r="M1448" s="48">
        <v>44630</v>
      </c>
      <c r="N1448" s="49" t="s">
        <v>157</v>
      </c>
      <c r="O1448" s="45"/>
      <c r="P1448" s="80" t="s">
        <v>500</v>
      </c>
      <c r="Q1448" s="48"/>
      <c r="R1448" s="45"/>
      <c r="S1448" s="114"/>
      <c r="T1448" s="52"/>
      <c r="U1448" s="48"/>
      <c r="V1448" s="48"/>
      <c r="W1448" s="27"/>
    </row>
    <row r="1449" spans="1:23" ht="60" hidden="1" customHeight="1" x14ac:dyDescent="0.25">
      <c r="A1449" s="45" t="str">
        <f>CONCATENATE(Tabla2[[#This Row],[id_solicitud]],Tabla2[[#This Row],[tipo]])</f>
        <v>108Oficio_Solicitud</v>
      </c>
      <c r="B1449" s="45">
        <f>COUNTIF($A$2:A1449,A1449)</f>
        <v>2</v>
      </c>
      <c r="C1449" s="45" t="str">
        <f>Tabla2[[#This Row],[(id_solicitud-tipo_documento)]]&amp;B1449</f>
        <v>108Oficio_Solicitud2</v>
      </c>
      <c r="D1449" s="45">
        <v>1455</v>
      </c>
      <c r="E1449" s="45">
        <v>108</v>
      </c>
      <c r="F1449" s="45" t="s">
        <v>53</v>
      </c>
      <c r="G1449" s="45" t="s">
        <v>40</v>
      </c>
      <c r="H1449" s="50" t="s">
        <v>562</v>
      </c>
      <c r="I1449" s="51">
        <v>265</v>
      </c>
      <c r="J1449" s="80"/>
      <c r="K14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265 DGC_FETCovid19</v>
      </c>
      <c r="L1449" s="48">
        <v>44596</v>
      </c>
      <c r="M1449" s="48">
        <v>44630</v>
      </c>
      <c r="N1449" s="49" t="s">
        <v>157</v>
      </c>
      <c r="O1449" s="45"/>
      <c r="P1449" s="80" t="s">
        <v>500</v>
      </c>
      <c r="Q1449" s="48"/>
      <c r="R1449" s="45"/>
      <c r="S1449" s="114"/>
      <c r="T1449" s="52"/>
      <c r="U1449" s="48"/>
      <c r="V1449" s="48"/>
      <c r="W1449" s="27"/>
    </row>
    <row r="1450" spans="1:23" ht="60" hidden="1" customHeight="1" x14ac:dyDescent="0.25">
      <c r="A1450" s="45" t="str">
        <f>CONCATENATE(Tabla2[[#This Row],[id_solicitud]],Tabla2[[#This Row],[tipo]])</f>
        <v>108Oficio_Solicitud</v>
      </c>
      <c r="B1450" s="45">
        <f>COUNTIF($A$2:A1450,A1450)</f>
        <v>3</v>
      </c>
      <c r="C1450" s="45" t="str">
        <f>Tabla2[[#This Row],[(id_solicitud-tipo_documento)]]&amp;B1450</f>
        <v>108Oficio_Solicitud3</v>
      </c>
      <c r="D1450" s="45">
        <v>1456</v>
      </c>
      <c r="E1450" s="45">
        <v>108</v>
      </c>
      <c r="F1450" s="45" t="s">
        <v>53</v>
      </c>
      <c r="G1450" s="45" t="s">
        <v>40</v>
      </c>
      <c r="H1450" s="50" t="s">
        <v>562</v>
      </c>
      <c r="I1450" s="51">
        <v>385</v>
      </c>
      <c r="J1450" s="80"/>
      <c r="K14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385 DGC_FETCovid19</v>
      </c>
      <c r="L1450" s="48">
        <v>44596</v>
      </c>
      <c r="M1450" s="48">
        <v>44630</v>
      </c>
      <c r="N1450" s="49" t="s">
        <v>157</v>
      </c>
      <c r="O1450" s="45"/>
      <c r="P1450" s="80" t="s">
        <v>500</v>
      </c>
      <c r="Q1450" s="48"/>
      <c r="R1450" s="45"/>
      <c r="S1450" s="114"/>
      <c r="T1450" s="52"/>
      <c r="U1450" s="48"/>
      <c r="V1450" s="48"/>
      <c r="W1450" s="27"/>
    </row>
    <row r="1451" spans="1:23" ht="60" hidden="1" customHeight="1" x14ac:dyDescent="0.25">
      <c r="A1451" s="45" t="str">
        <f>CONCATENATE(Tabla2[[#This Row],[id_solicitud]],Tabla2[[#This Row],[tipo]])</f>
        <v>147Oficio_Solicitud</v>
      </c>
      <c r="B1451" s="45">
        <f>COUNTIF($A$2:A1451,A1451)</f>
        <v>1</v>
      </c>
      <c r="C1451" s="45" t="str">
        <f>Tabla2[[#This Row],[(id_solicitud-tipo_documento)]]&amp;B1451</f>
        <v>147Oficio_Solicitud1</v>
      </c>
      <c r="D1451" s="45">
        <v>1457</v>
      </c>
      <c r="E1451" s="45">
        <v>147</v>
      </c>
      <c r="F1451" s="45" t="s">
        <v>53</v>
      </c>
      <c r="G1451" s="45" t="s">
        <v>60</v>
      </c>
      <c r="H1451" s="50" t="s">
        <v>10</v>
      </c>
      <c r="I1451" s="51">
        <v>166</v>
      </c>
      <c r="J1451" s="80" t="s">
        <v>1241</v>
      </c>
      <c r="K14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166 DAPcorreo</v>
      </c>
      <c r="L1451" s="48">
        <v>44651</v>
      </c>
      <c r="M1451" s="48">
        <v>44652</v>
      </c>
      <c r="N1451" s="49" t="s">
        <v>190</v>
      </c>
      <c r="O1451" s="45">
        <v>9</v>
      </c>
      <c r="P1451" s="80" t="s">
        <v>494</v>
      </c>
      <c r="Q1451" s="48">
        <v>44663</v>
      </c>
      <c r="R1451" s="45"/>
      <c r="S1451" s="114"/>
      <c r="T1451" s="52"/>
      <c r="U1451" s="48"/>
      <c r="V1451" s="48"/>
      <c r="W1451" s="27"/>
    </row>
    <row r="1452" spans="1:23" ht="60" hidden="1" customHeight="1" x14ac:dyDescent="0.25">
      <c r="A1452" s="45" t="str">
        <f>CONCATENATE(Tabla2[[#This Row],[id_solicitud]],Tabla2[[#This Row],[tipo]])</f>
        <v>212Oficio_Solicitud</v>
      </c>
      <c r="B1452" s="45">
        <f>COUNTIF($A$2:A1452,A1452)</f>
        <v>1</v>
      </c>
      <c r="C1452" s="45" t="str">
        <f>Tabla2[[#This Row],[(id_solicitud-tipo_documento)]]&amp;B1452</f>
        <v>212Oficio_Solicitud1</v>
      </c>
      <c r="D1452" s="45">
        <v>1458</v>
      </c>
      <c r="E1452" s="45">
        <v>212</v>
      </c>
      <c r="F1452" s="45" t="s">
        <v>53</v>
      </c>
      <c r="G1452" s="45" t="s">
        <v>44</v>
      </c>
      <c r="H1452" s="50" t="s">
        <v>35</v>
      </c>
      <c r="I1452" s="51">
        <v>167</v>
      </c>
      <c r="J1452" s="80" t="s">
        <v>1241</v>
      </c>
      <c r="K14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167 SOPcorreo</v>
      </c>
      <c r="L1452" s="48">
        <v>44698</v>
      </c>
      <c r="M1452" s="48">
        <v>44699</v>
      </c>
      <c r="N1452" s="49" t="s">
        <v>240</v>
      </c>
      <c r="O1452" s="45"/>
      <c r="P1452" s="80" t="s">
        <v>498</v>
      </c>
      <c r="Q1452" s="48">
        <v>44706</v>
      </c>
      <c r="R1452" s="45"/>
      <c r="S1452" s="114"/>
      <c r="T1452" s="52"/>
      <c r="U1452" s="48"/>
      <c r="V1452" s="48"/>
      <c r="W1452" s="27"/>
    </row>
    <row r="1453" spans="1:23" ht="60" hidden="1" customHeight="1" x14ac:dyDescent="0.25">
      <c r="A1453" s="45" t="str">
        <f>CONCATENATE(Tabla2[[#This Row],[id_solicitud]],Tabla2[[#This Row],[tipo]])</f>
        <v>88Oficio_Solicitud</v>
      </c>
      <c r="B1453" s="45">
        <f>COUNTIF($A$2:A1453,A1453)</f>
        <v>1</v>
      </c>
      <c r="C1453" s="45" t="str">
        <f>Tabla2[[#This Row],[(id_solicitud-tipo_documento)]]&amp;B1453</f>
        <v>88Oficio_Solicitud1</v>
      </c>
      <c r="D1453" s="45">
        <v>1459</v>
      </c>
      <c r="E1453" s="45">
        <v>88</v>
      </c>
      <c r="F1453" s="45" t="s">
        <v>53</v>
      </c>
      <c r="G1453" s="45" t="s">
        <v>60</v>
      </c>
      <c r="H1453" s="50" t="s">
        <v>26</v>
      </c>
      <c r="I1453" s="51">
        <v>1673</v>
      </c>
      <c r="J1453" s="80" t="s">
        <v>1241</v>
      </c>
      <c r="K14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1673 DVcorreo</v>
      </c>
      <c r="L1453" s="48">
        <v>44610</v>
      </c>
      <c r="M1453" s="48">
        <v>44613</v>
      </c>
      <c r="N1453" s="49" t="s">
        <v>139</v>
      </c>
      <c r="O1453" s="45">
        <v>2</v>
      </c>
      <c r="P1453" s="80" t="s">
        <v>494</v>
      </c>
      <c r="Q1453" s="48">
        <v>44628</v>
      </c>
      <c r="R1453" s="45"/>
      <c r="S1453" s="114"/>
      <c r="T1453" s="52"/>
      <c r="U1453" s="48"/>
      <c r="V1453" s="48"/>
      <c r="W1453" s="27"/>
    </row>
    <row r="1454" spans="1:23" ht="60" hidden="1" customHeight="1" x14ac:dyDescent="0.25">
      <c r="A1454" s="45" t="str">
        <f>CONCATENATE(Tabla2[[#This Row],[id_solicitud]],Tabla2[[#This Row],[tipo]])</f>
        <v>89Oficio_Solicitud</v>
      </c>
      <c r="B1454" s="45">
        <f>COUNTIF($A$2:A1454,A1454)</f>
        <v>1</v>
      </c>
      <c r="C1454" s="45" t="str">
        <f>Tabla2[[#This Row],[(id_solicitud-tipo_documento)]]&amp;B1454</f>
        <v>89Oficio_Solicitud1</v>
      </c>
      <c r="D1454" s="45">
        <v>1460</v>
      </c>
      <c r="E1454" s="45">
        <v>89</v>
      </c>
      <c r="F1454" s="45" t="s">
        <v>53</v>
      </c>
      <c r="G1454" s="45" t="s">
        <v>40</v>
      </c>
      <c r="H1454" s="50" t="s">
        <v>26</v>
      </c>
      <c r="I1454" s="51">
        <v>1674</v>
      </c>
      <c r="J1454" s="80" t="s">
        <v>1241</v>
      </c>
      <c r="K14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1674 DVcorreo</v>
      </c>
      <c r="L1454" s="48">
        <v>44610</v>
      </c>
      <c r="M1454" s="48">
        <v>44613</v>
      </c>
      <c r="N1454" s="49" t="s">
        <v>140</v>
      </c>
      <c r="O1454" s="45"/>
      <c r="P1454" s="80" t="s">
        <v>501</v>
      </c>
      <c r="Q1454" s="48">
        <v>44623</v>
      </c>
      <c r="R1454" s="45"/>
      <c r="S1454" s="114"/>
      <c r="T1454" s="52"/>
      <c r="U1454" s="48"/>
      <c r="V1454" s="48"/>
      <c r="W1454" s="27"/>
    </row>
    <row r="1455" spans="1:23" ht="60" hidden="1" customHeight="1" x14ac:dyDescent="0.25">
      <c r="A1455" s="45" t="str">
        <f>CONCATENATE(Tabla2[[#This Row],[id_solicitud]],Tabla2[[#This Row],[tipo]])</f>
        <v>246Oficio_Solicitud</v>
      </c>
      <c r="B1455" s="45">
        <f>COUNTIF($A$2:A1455,A1455)</f>
        <v>1</v>
      </c>
      <c r="C1455" s="45" t="str">
        <f>Tabla2[[#This Row],[(id_solicitud-tipo_documento)]]&amp;B1455</f>
        <v>246Oficio_Solicitud1</v>
      </c>
      <c r="D1455" s="45">
        <v>1461</v>
      </c>
      <c r="E1455" s="45">
        <v>246</v>
      </c>
      <c r="F1455" s="45" t="s">
        <v>53</v>
      </c>
      <c r="G1455" s="45" t="s">
        <v>61</v>
      </c>
      <c r="H1455" s="50" t="s">
        <v>577</v>
      </c>
      <c r="I1455" s="51">
        <v>171</v>
      </c>
      <c r="J1455" s="80"/>
      <c r="K14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171 MOP-MOP_FETCovid19</v>
      </c>
      <c r="L1455" s="48">
        <v>44712</v>
      </c>
      <c r="M1455" s="48">
        <v>44712</v>
      </c>
      <c r="N1455" s="49" t="s">
        <v>273</v>
      </c>
      <c r="O1455" s="45">
        <v>9</v>
      </c>
      <c r="P1455" s="80" t="s">
        <v>518</v>
      </c>
      <c r="Q1455" s="48"/>
      <c r="R1455" s="45"/>
      <c r="S1455" s="114"/>
      <c r="T1455" s="52"/>
      <c r="U1455" s="48"/>
      <c r="V1455" s="48"/>
      <c r="W1455" s="27"/>
    </row>
    <row r="1456" spans="1:23" ht="60" hidden="1" customHeight="1" x14ac:dyDescent="0.25">
      <c r="A1456" s="45" t="str">
        <f>CONCATENATE(Tabla2[[#This Row],[id_solicitud]],Tabla2[[#This Row],[tipo]])</f>
        <v>246Oficio_Solicitud</v>
      </c>
      <c r="B1456" s="45">
        <f>COUNTIF($A$2:A1456,A1456)</f>
        <v>2</v>
      </c>
      <c r="C1456" s="45" t="str">
        <f>Tabla2[[#This Row],[(id_solicitud-tipo_documento)]]&amp;B1456</f>
        <v>246Oficio_Solicitud2</v>
      </c>
      <c r="D1456" s="45">
        <v>1462</v>
      </c>
      <c r="E1456" s="45">
        <v>246</v>
      </c>
      <c r="F1456" s="45" t="s">
        <v>53</v>
      </c>
      <c r="G1456" s="45" t="s">
        <v>61</v>
      </c>
      <c r="H1456" s="50" t="s">
        <v>577</v>
      </c>
      <c r="I1456" s="51">
        <v>172</v>
      </c>
      <c r="J1456" s="80"/>
      <c r="K14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172 MOP-MOP_FETCovid19</v>
      </c>
      <c r="L1456" s="48">
        <v>44712</v>
      </c>
      <c r="M1456" s="48">
        <v>44712</v>
      </c>
      <c r="N1456" s="49" t="s">
        <v>273</v>
      </c>
      <c r="O1456" s="45">
        <v>9</v>
      </c>
      <c r="P1456" s="80" t="s">
        <v>518</v>
      </c>
      <c r="Q1456" s="48"/>
      <c r="R1456" s="45"/>
      <c r="S1456" s="114"/>
      <c r="T1456" s="52"/>
      <c r="U1456" s="48"/>
      <c r="V1456" s="48"/>
      <c r="W1456" s="27"/>
    </row>
    <row r="1457" spans="1:23" ht="60" hidden="1" customHeight="1" x14ac:dyDescent="0.25">
      <c r="A1457" s="45" t="str">
        <f>CONCATENATE(Tabla2[[#This Row],[id_solicitud]],Tabla2[[#This Row],[tipo]])</f>
        <v>246Oficio_Solicitud</v>
      </c>
      <c r="B1457" s="45">
        <f>COUNTIF($A$2:A1457,A1457)</f>
        <v>3</v>
      </c>
      <c r="C1457" s="45" t="str">
        <f>Tabla2[[#This Row],[(id_solicitud-tipo_documento)]]&amp;B1457</f>
        <v>246Oficio_Solicitud3</v>
      </c>
      <c r="D1457" s="45">
        <v>1463</v>
      </c>
      <c r="E1457" s="45">
        <v>246</v>
      </c>
      <c r="F1457" s="45" t="s">
        <v>53</v>
      </c>
      <c r="G1457" s="45" t="s">
        <v>61</v>
      </c>
      <c r="H1457" s="50" t="s">
        <v>577</v>
      </c>
      <c r="I1457" s="51">
        <v>173</v>
      </c>
      <c r="J1457" s="80"/>
      <c r="K14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173 MOP-MOP_FETCovid19</v>
      </c>
      <c r="L1457" s="48">
        <v>44712</v>
      </c>
      <c r="M1457" s="48">
        <v>44712</v>
      </c>
      <c r="N1457" s="49" t="s">
        <v>273</v>
      </c>
      <c r="O1457" s="45">
        <v>9</v>
      </c>
      <c r="P1457" s="80" t="s">
        <v>518</v>
      </c>
      <c r="Q1457" s="48"/>
      <c r="R1457" s="45"/>
      <c r="S1457" s="114"/>
      <c r="T1457" s="52"/>
      <c r="U1457" s="48"/>
      <c r="V1457" s="48"/>
      <c r="W1457" s="27"/>
    </row>
    <row r="1458" spans="1:23" ht="60" hidden="1" customHeight="1" x14ac:dyDescent="0.25">
      <c r="A1458" s="45" t="str">
        <f>CONCATENATE(Tabla2[[#This Row],[id_solicitud]],Tabla2[[#This Row],[tipo]])</f>
        <v>246Oficio_Solicitud</v>
      </c>
      <c r="B1458" s="45">
        <f>COUNTIF($A$2:A1458,A1458)</f>
        <v>4</v>
      </c>
      <c r="C1458" s="45" t="str">
        <f>Tabla2[[#This Row],[(id_solicitud-tipo_documento)]]&amp;B1458</f>
        <v>246Oficio_Solicitud4</v>
      </c>
      <c r="D1458" s="45">
        <v>1464</v>
      </c>
      <c r="E1458" s="45">
        <v>246</v>
      </c>
      <c r="F1458" s="45" t="s">
        <v>53</v>
      </c>
      <c r="G1458" s="45" t="s">
        <v>61</v>
      </c>
      <c r="H1458" s="50" t="s">
        <v>577</v>
      </c>
      <c r="I1458" s="51">
        <v>181</v>
      </c>
      <c r="J1458" s="80"/>
      <c r="K14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181 MOP-MOP_FETCovid19</v>
      </c>
      <c r="L1458" s="48">
        <v>44712</v>
      </c>
      <c r="M1458" s="48">
        <v>44712</v>
      </c>
      <c r="N1458" s="49" t="s">
        <v>273</v>
      </c>
      <c r="O1458" s="45">
        <v>9</v>
      </c>
      <c r="P1458" s="80" t="s">
        <v>518</v>
      </c>
      <c r="Q1458" s="48"/>
      <c r="R1458" s="45"/>
      <c r="S1458" s="114"/>
      <c r="T1458" s="52"/>
      <c r="U1458" s="48"/>
      <c r="V1458" s="48"/>
      <c r="W1458" s="27"/>
    </row>
    <row r="1459" spans="1:23" ht="60" hidden="1" customHeight="1" x14ac:dyDescent="0.25">
      <c r="A1459" s="45" t="str">
        <f>CONCATENATE(Tabla2[[#This Row],[id_solicitud]],Tabla2[[#This Row],[tipo]])</f>
        <v>246Oficio_Solicitud</v>
      </c>
      <c r="B1459" s="45">
        <f>COUNTIF($A$2:A1459,A1459)</f>
        <v>5</v>
      </c>
      <c r="C1459" s="45" t="str">
        <f>Tabla2[[#This Row],[(id_solicitud-tipo_documento)]]&amp;B1459</f>
        <v>246Oficio_Solicitud5</v>
      </c>
      <c r="D1459" s="45">
        <v>1465</v>
      </c>
      <c r="E1459" s="45">
        <v>246</v>
      </c>
      <c r="F1459" s="45" t="s">
        <v>53</v>
      </c>
      <c r="G1459" s="45" t="s">
        <v>61</v>
      </c>
      <c r="H1459" s="50" t="s">
        <v>577</v>
      </c>
      <c r="I1459" s="51">
        <v>183</v>
      </c>
      <c r="J1459" s="80"/>
      <c r="K14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183 MOP-MOP_FETCovid19</v>
      </c>
      <c r="L1459" s="48">
        <v>44712</v>
      </c>
      <c r="M1459" s="48">
        <v>44712</v>
      </c>
      <c r="N1459" s="49" t="s">
        <v>273</v>
      </c>
      <c r="O1459" s="45">
        <v>9</v>
      </c>
      <c r="P1459" s="80" t="s">
        <v>518</v>
      </c>
      <c r="Q1459" s="48"/>
      <c r="R1459" s="45"/>
      <c r="S1459" s="114"/>
      <c r="T1459" s="52"/>
      <c r="U1459" s="48"/>
      <c r="V1459" s="48"/>
      <c r="W1459" s="27"/>
    </row>
    <row r="1460" spans="1:23" ht="60" hidden="1" customHeight="1" x14ac:dyDescent="0.25">
      <c r="A1460" s="45" t="str">
        <f>CONCATENATE(Tabla2[[#This Row],[id_solicitud]],Tabla2[[#This Row],[tipo]])</f>
        <v>246Oficio_Solicitud</v>
      </c>
      <c r="B1460" s="45">
        <f>COUNTIF($A$2:A1460,A1460)</f>
        <v>6</v>
      </c>
      <c r="C1460" s="45" t="str">
        <f>Tabla2[[#This Row],[(id_solicitud-tipo_documento)]]&amp;B1460</f>
        <v>246Oficio_Solicitud6</v>
      </c>
      <c r="D1460" s="45">
        <v>1466</v>
      </c>
      <c r="E1460" s="45">
        <v>246</v>
      </c>
      <c r="F1460" s="45" t="s">
        <v>53</v>
      </c>
      <c r="G1460" s="45" t="s">
        <v>61</v>
      </c>
      <c r="H1460" s="50" t="s">
        <v>577</v>
      </c>
      <c r="I1460" s="51">
        <v>165</v>
      </c>
      <c r="J1460" s="80"/>
      <c r="K14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165 MOP-MOP_FETCovid19</v>
      </c>
      <c r="L1460" s="48">
        <v>44712</v>
      </c>
      <c r="M1460" s="48">
        <v>44712</v>
      </c>
      <c r="N1460" s="49" t="s">
        <v>273</v>
      </c>
      <c r="O1460" s="45">
        <v>9</v>
      </c>
      <c r="P1460" s="80" t="s">
        <v>518</v>
      </c>
      <c r="Q1460" s="48"/>
      <c r="R1460" s="45"/>
      <c r="S1460" s="114"/>
      <c r="T1460" s="52"/>
      <c r="U1460" s="48"/>
      <c r="V1460" s="48"/>
      <c r="W1460" s="27"/>
    </row>
    <row r="1461" spans="1:23" ht="60" hidden="1" customHeight="1" x14ac:dyDescent="0.25">
      <c r="A1461" s="45" t="str">
        <f>CONCATENATE(Tabla2[[#This Row],[id_solicitud]],Tabla2[[#This Row],[tipo]])</f>
        <v>246Oficio_Solicitud</v>
      </c>
      <c r="B1461" s="45">
        <f>COUNTIF($A$2:A1461,A1461)</f>
        <v>7</v>
      </c>
      <c r="C1461" s="45" t="str">
        <f>Tabla2[[#This Row],[(id_solicitud-tipo_documento)]]&amp;B1461</f>
        <v>246Oficio_Solicitud7</v>
      </c>
      <c r="D1461" s="45">
        <v>1467</v>
      </c>
      <c r="E1461" s="45">
        <v>246</v>
      </c>
      <c r="F1461" s="45" t="s">
        <v>53</v>
      </c>
      <c r="G1461" s="45" t="s">
        <v>61</v>
      </c>
      <c r="H1461" s="50" t="s">
        <v>577</v>
      </c>
      <c r="I1461" s="51">
        <v>346</v>
      </c>
      <c r="J1461" s="80"/>
      <c r="K14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346 MOP-MOP_FETCovid19</v>
      </c>
      <c r="L1461" s="48">
        <v>44712</v>
      </c>
      <c r="M1461" s="48">
        <v>44712</v>
      </c>
      <c r="N1461" s="49" t="s">
        <v>273</v>
      </c>
      <c r="O1461" s="45">
        <v>9</v>
      </c>
      <c r="P1461" s="80" t="s">
        <v>518</v>
      </c>
      <c r="Q1461" s="48"/>
      <c r="R1461" s="45"/>
      <c r="S1461" s="114"/>
      <c r="T1461" s="52"/>
      <c r="U1461" s="48"/>
      <c r="V1461" s="48"/>
      <c r="W1461" s="27"/>
    </row>
    <row r="1462" spans="1:23" ht="60" hidden="1" customHeight="1" x14ac:dyDescent="0.25">
      <c r="A1462" s="45" t="str">
        <f>CONCATENATE(Tabla2[[#This Row],[id_solicitud]],Tabla2[[#This Row],[tipo]])</f>
        <v>246Oficio_Solicitud</v>
      </c>
      <c r="B1462" s="45">
        <f>COUNTIF($A$2:A1462,A1462)</f>
        <v>8</v>
      </c>
      <c r="C1462" s="45" t="str">
        <f>Tabla2[[#This Row],[(id_solicitud-tipo_documento)]]&amp;B1462</f>
        <v>246Oficio_Solicitud8</v>
      </c>
      <c r="D1462" s="45">
        <v>1468</v>
      </c>
      <c r="E1462" s="45">
        <v>246</v>
      </c>
      <c r="F1462" s="45" t="s">
        <v>53</v>
      </c>
      <c r="G1462" s="45" t="s">
        <v>61</v>
      </c>
      <c r="H1462" s="50" t="s">
        <v>577</v>
      </c>
      <c r="I1462" s="51">
        <v>580</v>
      </c>
      <c r="J1462" s="80"/>
      <c r="K14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580 MOP-MOP_FETCovid19</v>
      </c>
      <c r="L1462" s="48">
        <v>44712</v>
      </c>
      <c r="M1462" s="48">
        <v>44712</v>
      </c>
      <c r="N1462" s="49" t="s">
        <v>273</v>
      </c>
      <c r="O1462" s="45">
        <v>9</v>
      </c>
      <c r="P1462" s="80" t="s">
        <v>518</v>
      </c>
      <c r="Q1462" s="48"/>
      <c r="R1462" s="45"/>
      <c r="S1462" s="114"/>
      <c r="T1462" s="52"/>
      <c r="U1462" s="48"/>
      <c r="V1462" s="48"/>
      <c r="W1462" s="27"/>
    </row>
    <row r="1463" spans="1:23" ht="60" hidden="1" customHeight="1" x14ac:dyDescent="0.25">
      <c r="A1463" s="45" t="str">
        <f>CONCATENATE(Tabla2[[#This Row],[id_solicitud]],Tabla2[[#This Row],[tipo]])</f>
        <v>246Oficio_Solicitud</v>
      </c>
      <c r="B1463" s="45">
        <f>COUNTIF($A$2:A1463,A1463)</f>
        <v>9</v>
      </c>
      <c r="C1463" s="45" t="str">
        <f>Tabla2[[#This Row],[(id_solicitud-tipo_documento)]]&amp;B1463</f>
        <v>246Oficio_Solicitud9</v>
      </c>
      <c r="D1463" s="45">
        <v>1469</v>
      </c>
      <c r="E1463" s="45">
        <v>246</v>
      </c>
      <c r="F1463" s="45" t="s">
        <v>53</v>
      </c>
      <c r="G1463" s="45" t="s">
        <v>61</v>
      </c>
      <c r="H1463" s="50" t="s">
        <v>577</v>
      </c>
      <c r="I1463" s="51">
        <v>852</v>
      </c>
      <c r="J1463" s="80"/>
      <c r="K14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852 MOP-MOP_FETCovid19</v>
      </c>
      <c r="L1463" s="48">
        <v>44712</v>
      </c>
      <c r="M1463" s="48">
        <v>44712</v>
      </c>
      <c r="N1463" s="49" t="s">
        <v>273</v>
      </c>
      <c r="O1463" s="45">
        <v>9</v>
      </c>
      <c r="P1463" s="80" t="s">
        <v>518</v>
      </c>
      <c r="Q1463" s="48"/>
      <c r="R1463" s="45"/>
      <c r="S1463" s="114"/>
      <c r="T1463" s="52"/>
      <c r="U1463" s="48"/>
      <c r="V1463" s="48"/>
      <c r="W1463" s="27"/>
    </row>
    <row r="1464" spans="1:23" ht="60" hidden="1" customHeight="1" x14ac:dyDescent="0.25">
      <c r="A1464" s="45" t="str">
        <f>CONCATENATE(Tabla2[[#This Row],[id_solicitud]],Tabla2[[#This Row],[tipo]])</f>
        <v>246Oficio_Solicitud</v>
      </c>
      <c r="B1464" s="45">
        <f>COUNTIF($A$2:A1464,A1464)</f>
        <v>10</v>
      </c>
      <c r="C1464" s="45" t="str">
        <f>Tabla2[[#This Row],[(id_solicitud-tipo_documento)]]&amp;B1464</f>
        <v>246Oficio_Solicitud10</v>
      </c>
      <c r="D1464" s="45">
        <v>1470</v>
      </c>
      <c r="E1464" s="45">
        <v>246</v>
      </c>
      <c r="F1464" s="45" t="s">
        <v>53</v>
      </c>
      <c r="G1464" s="45" t="s">
        <v>61</v>
      </c>
      <c r="H1464" s="50" t="s">
        <v>577</v>
      </c>
      <c r="I1464" s="51">
        <v>1265</v>
      </c>
      <c r="J1464" s="80"/>
      <c r="K14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1265 MOP-MOP_FETCovid19</v>
      </c>
      <c r="L1464" s="48">
        <v>44712</v>
      </c>
      <c r="M1464" s="48">
        <v>44712</v>
      </c>
      <c r="N1464" s="49" t="s">
        <v>273</v>
      </c>
      <c r="O1464" s="45">
        <v>9</v>
      </c>
      <c r="P1464" s="80" t="s">
        <v>518</v>
      </c>
      <c r="Q1464" s="48"/>
      <c r="R1464" s="45"/>
      <c r="S1464" s="114"/>
      <c r="T1464" s="52"/>
      <c r="U1464" s="48"/>
      <c r="V1464" s="48"/>
      <c r="W1464" s="27"/>
    </row>
    <row r="1465" spans="1:23" ht="60" hidden="1" customHeight="1" x14ac:dyDescent="0.25">
      <c r="A1465" s="45" t="str">
        <f>CONCATENATE(Tabla2[[#This Row],[id_solicitud]],Tabla2[[#This Row],[tipo]])</f>
        <v>246Oficio_Solicitud</v>
      </c>
      <c r="B1465" s="45">
        <f>COUNTIF($A$2:A1465,A1465)</f>
        <v>11</v>
      </c>
      <c r="C1465" s="45" t="str">
        <f>Tabla2[[#This Row],[(id_solicitud-tipo_documento)]]&amp;B1465</f>
        <v>246Oficio_Solicitud11</v>
      </c>
      <c r="D1465" s="45">
        <v>1471</v>
      </c>
      <c r="E1465" s="45">
        <v>246</v>
      </c>
      <c r="F1465" s="45" t="s">
        <v>53</v>
      </c>
      <c r="G1465" s="45" t="s">
        <v>61</v>
      </c>
      <c r="H1465" s="50" t="s">
        <v>577</v>
      </c>
      <c r="I1465" s="51">
        <v>4946</v>
      </c>
      <c r="J1465" s="80"/>
      <c r="K14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4946 MOP-MOP_FETCovid19</v>
      </c>
      <c r="L1465" s="48">
        <v>44712</v>
      </c>
      <c r="M1465" s="48">
        <v>44712</v>
      </c>
      <c r="N1465" s="49" t="s">
        <v>273</v>
      </c>
      <c r="O1465" s="45">
        <v>9</v>
      </c>
      <c r="P1465" s="80" t="s">
        <v>509</v>
      </c>
      <c r="Q1465" s="48"/>
      <c r="R1465" s="45"/>
      <c r="S1465" s="114"/>
      <c r="T1465" s="52"/>
      <c r="U1465" s="48"/>
      <c r="V1465" s="48"/>
      <c r="W1465" s="27"/>
    </row>
    <row r="1466" spans="1:23" ht="60" hidden="1" customHeight="1" x14ac:dyDescent="0.25">
      <c r="A1466" s="45" t="str">
        <f>CONCATENATE(Tabla2[[#This Row],[id_solicitud]],Tabla2[[#This Row],[tipo]])</f>
        <v>246Oficio_Solicitud</v>
      </c>
      <c r="B1466" s="45">
        <f>COUNTIF($A$2:A1466,A1466)</f>
        <v>12</v>
      </c>
      <c r="C1466" s="45" t="str">
        <f>Tabla2[[#This Row],[(id_solicitud-tipo_documento)]]&amp;B1466</f>
        <v>246Oficio_Solicitud12</v>
      </c>
      <c r="D1466" s="45">
        <v>1472</v>
      </c>
      <c r="E1466" s="45">
        <v>246</v>
      </c>
      <c r="F1466" s="45" t="s">
        <v>53</v>
      </c>
      <c r="G1466" s="45" t="s">
        <v>61</v>
      </c>
      <c r="H1466" s="50" t="s">
        <v>577</v>
      </c>
      <c r="I1466" s="51">
        <v>5067</v>
      </c>
      <c r="J1466" s="80"/>
      <c r="K14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5067 MOP-MOP_FETCovid19</v>
      </c>
      <c r="L1466" s="48">
        <v>44712</v>
      </c>
      <c r="M1466" s="48">
        <v>44712</v>
      </c>
      <c r="N1466" s="49" t="s">
        <v>273</v>
      </c>
      <c r="O1466" s="45">
        <v>9</v>
      </c>
      <c r="P1466" s="80" t="s">
        <v>522</v>
      </c>
      <c r="Q1466" s="48"/>
      <c r="R1466" s="45"/>
      <c r="S1466" s="114"/>
      <c r="T1466" s="52"/>
      <c r="U1466" s="48"/>
      <c r="V1466" s="48"/>
      <c r="W1466" s="27"/>
    </row>
    <row r="1467" spans="1:23" ht="60" hidden="1" customHeight="1" x14ac:dyDescent="0.25">
      <c r="A1467" s="45" t="str">
        <f>CONCATENATE(Tabla2[[#This Row],[id_solicitud]],Tabla2[[#This Row],[tipo]])</f>
        <v>246Oficio_Solicitud</v>
      </c>
      <c r="B1467" s="45">
        <f>COUNTIF($A$2:A1467,A1467)</f>
        <v>13</v>
      </c>
      <c r="C1467" s="45" t="str">
        <f>Tabla2[[#This Row],[(id_solicitud-tipo_documento)]]&amp;B1467</f>
        <v>246Oficio_Solicitud13</v>
      </c>
      <c r="D1467" s="45">
        <v>1473</v>
      </c>
      <c r="E1467" s="45">
        <v>246</v>
      </c>
      <c r="F1467" s="45" t="s">
        <v>53</v>
      </c>
      <c r="G1467" s="45" t="s">
        <v>61</v>
      </c>
      <c r="H1467" s="50" t="s">
        <v>577</v>
      </c>
      <c r="I1467" s="51">
        <v>386</v>
      </c>
      <c r="J1467" s="80"/>
      <c r="K14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386 MOP-MOP_FETCovid19</v>
      </c>
      <c r="L1467" s="48">
        <v>44712</v>
      </c>
      <c r="M1467" s="48">
        <v>44712</v>
      </c>
      <c r="N1467" s="49" t="s">
        <v>273</v>
      </c>
      <c r="O1467" s="45">
        <v>9</v>
      </c>
      <c r="P1467" s="80" t="s">
        <v>518</v>
      </c>
      <c r="Q1467" s="48"/>
      <c r="R1467" s="45"/>
      <c r="S1467" s="114"/>
      <c r="T1467" s="52"/>
      <c r="U1467" s="48"/>
      <c r="V1467" s="48"/>
      <c r="W1467" s="27"/>
    </row>
    <row r="1468" spans="1:23" ht="60" hidden="1" customHeight="1" x14ac:dyDescent="0.25">
      <c r="A1468" s="45" t="str">
        <f>CONCATENATE(Tabla2[[#This Row],[id_solicitud]],Tabla2[[#This Row],[tipo]])</f>
        <v>246Oficio_Solicitud</v>
      </c>
      <c r="B1468" s="45">
        <f>COUNTIF($A$2:A1468,A1468)</f>
        <v>14</v>
      </c>
      <c r="C1468" s="45" t="str">
        <f>Tabla2[[#This Row],[(id_solicitud-tipo_documento)]]&amp;B1468</f>
        <v>246Oficio_Solicitud14</v>
      </c>
      <c r="D1468" s="45">
        <v>1474</v>
      </c>
      <c r="E1468" s="45">
        <v>246</v>
      </c>
      <c r="F1468" s="45" t="s">
        <v>53</v>
      </c>
      <c r="G1468" s="45" t="s">
        <v>61</v>
      </c>
      <c r="H1468" s="50" t="s">
        <v>577</v>
      </c>
      <c r="I1468" s="51">
        <v>274</v>
      </c>
      <c r="J1468" s="80"/>
      <c r="K14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274 MOP-MOP_FETCovid19</v>
      </c>
      <c r="L1468" s="48">
        <v>44712</v>
      </c>
      <c r="M1468" s="48">
        <v>44712</v>
      </c>
      <c r="N1468" s="49" t="s">
        <v>273</v>
      </c>
      <c r="O1468" s="45">
        <v>9</v>
      </c>
      <c r="P1468" s="80" t="s">
        <v>1025</v>
      </c>
      <c r="Q1468" s="48"/>
      <c r="R1468" s="45"/>
      <c r="S1468" s="114"/>
      <c r="T1468" s="52"/>
      <c r="U1468" s="48"/>
      <c r="V1468" s="48"/>
      <c r="W1468" s="27"/>
    </row>
    <row r="1469" spans="1:23" ht="60" hidden="1" customHeight="1" x14ac:dyDescent="0.25">
      <c r="A1469" s="45" t="str">
        <f>CONCATENATE(Tabla2[[#This Row],[id_solicitud]],Tabla2[[#This Row],[tipo]])</f>
        <v>246Oficio_Solicitud</v>
      </c>
      <c r="B1469" s="45">
        <f>COUNTIF($A$2:A1469,A1469)</f>
        <v>15</v>
      </c>
      <c r="C1469" s="45" t="str">
        <f>Tabla2[[#This Row],[(id_solicitud-tipo_documento)]]&amp;B1469</f>
        <v>246Oficio_Solicitud15</v>
      </c>
      <c r="D1469" s="45">
        <v>1475</v>
      </c>
      <c r="E1469" s="45">
        <v>246</v>
      </c>
      <c r="F1469" s="45" t="s">
        <v>53</v>
      </c>
      <c r="G1469" s="45" t="s">
        <v>61</v>
      </c>
      <c r="H1469" s="50" t="s">
        <v>577</v>
      </c>
      <c r="I1469" s="51">
        <v>349</v>
      </c>
      <c r="J1469" s="80"/>
      <c r="K146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349 MOP-MOP_FETCovid19</v>
      </c>
      <c r="L1469" s="48">
        <v>44712</v>
      </c>
      <c r="M1469" s="48">
        <v>44712</v>
      </c>
      <c r="N1469" s="49" t="s">
        <v>273</v>
      </c>
      <c r="O1469" s="45">
        <v>9</v>
      </c>
      <c r="P1469" s="80" t="s">
        <v>518</v>
      </c>
      <c r="Q1469" s="48"/>
      <c r="R1469" s="45"/>
      <c r="S1469" s="114"/>
      <c r="T1469" s="52"/>
      <c r="U1469" s="48"/>
      <c r="V1469" s="48"/>
      <c r="W1469" s="27"/>
    </row>
    <row r="1470" spans="1:23" ht="60" hidden="1" customHeight="1" x14ac:dyDescent="0.25">
      <c r="A1470" s="45" t="str">
        <f>CONCATENATE(Tabla2[[#This Row],[id_solicitud]],Tabla2[[#This Row],[tipo]])</f>
        <v>246Oficio_Solicitud</v>
      </c>
      <c r="B1470" s="45">
        <f>COUNTIF($A$2:A1470,A1470)</f>
        <v>16</v>
      </c>
      <c r="C1470" s="45" t="str">
        <f>Tabla2[[#This Row],[(id_solicitud-tipo_documento)]]&amp;B1470</f>
        <v>246Oficio_Solicitud16</v>
      </c>
      <c r="D1470" s="45">
        <v>1476</v>
      </c>
      <c r="E1470" s="45">
        <v>246</v>
      </c>
      <c r="F1470" s="45" t="s">
        <v>53</v>
      </c>
      <c r="G1470" s="45" t="s">
        <v>61</v>
      </c>
      <c r="H1470" s="50" t="s">
        <v>577</v>
      </c>
      <c r="I1470" s="51">
        <v>29</v>
      </c>
      <c r="J1470" s="80"/>
      <c r="K147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29 MOP-MOP_FETCovid19</v>
      </c>
      <c r="L1470" s="48">
        <v>44712</v>
      </c>
      <c r="M1470" s="48">
        <v>44712</v>
      </c>
      <c r="N1470" s="49" t="s">
        <v>273</v>
      </c>
      <c r="O1470" s="45">
        <v>9</v>
      </c>
      <c r="P1470" s="80" t="s">
        <v>518</v>
      </c>
      <c r="Q1470" s="48"/>
      <c r="R1470" s="45"/>
      <c r="S1470" s="114"/>
      <c r="T1470" s="52"/>
      <c r="U1470" s="48"/>
      <c r="V1470" s="48"/>
      <c r="W1470" s="27"/>
    </row>
    <row r="1471" spans="1:23" ht="60" hidden="1" customHeight="1" x14ac:dyDescent="0.25">
      <c r="A1471" s="45" t="str">
        <f>CONCATENATE(Tabla2[[#This Row],[id_solicitud]],Tabla2[[#This Row],[tipo]])</f>
        <v>246Oficio_Solicitud</v>
      </c>
      <c r="B1471" s="45">
        <f>COUNTIF($A$2:A1471,A1471)</f>
        <v>17</v>
      </c>
      <c r="C1471" s="45" t="str">
        <f>Tabla2[[#This Row],[(id_solicitud-tipo_documento)]]&amp;B1471</f>
        <v>246Oficio_Solicitud17</v>
      </c>
      <c r="D1471" s="45">
        <v>1477</v>
      </c>
      <c r="E1471" s="45">
        <v>246</v>
      </c>
      <c r="F1471" s="45" t="s">
        <v>53</v>
      </c>
      <c r="G1471" s="45" t="s">
        <v>61</v>
      </c>
      <c r="H1471" s="50" t="s">
        <v>577</v>
      </c>
      <c r="I1471" s="51">
        <v>220</v>
      </c>
      <c r="J1471" s="80"/>
      <c r="K147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220 MOP-MOP_FETCovid19</v>
      </c>
      <c r="L1471" s="48">
        <v>44712</v>
      </c>
      <c r="M1471" s="48">
        <v>44712</v>
      </c>
      <c r="N1471" s="49" t="s">
        <v>273</v>
      </c>
      <c r="O1471" s="45">
        <v>9</v>
      </c>
      <c r="P1471" s="80" t="s">
        <v>518</v>
      </c>
      <c r="Q1471" s="48"/>
      <c r="R1471" s="45"/>
      <c r="S1471" s="114"/>
      <c r="T1471" s="52"/>
      <c r="U1471" s="48"/>
      <c r="V1471" s="48"/>
      <c r="W1471" s="27"/>
    </row>
    <row r="1472" spans="1:23" ht="60" hidden="1" customHeight="1" x14ac:dyDescent="0.25">
      <c r="A1472" s="45" t="str">
        <f>CONCATENATE(Tabla2[[#This Row],[id_solicitud]],Tabla2[[#This Row],[tipo]])</f>
        <v>246Oficio_Solicitud</v>
      </c>
      <c r="B1472" s="45">
        <f>COUNTIF($A$2:A1472,A1472)</f>
        <v>18</v>
      </c>
      <c r="C1472" s="45" t="str">
        <f>Tabla2[[#This Row],[(id_solicitud-tipo_documento)]]&amp;B1472</f>
        <v>246Oficio_Solicitud18</v>
      </c>
      <c r="D1472" s="45">
        <v>1478</v>
      </c>
      <c r="E1472" s="45">
        <v>246</v>
      </c>
      <c r="F1472" s="45" t="s">
        <v>53</v>
      </c>
      <c r="G1472" s="45" t="s">
        <v>61</v>
      </c>
      <c r="H1472" s="50" t="s">
        <v>577</v>
      </c>
      <c r="I1472" s="51">
        <v>223</v>
      </c>
      <c r="J1472" s="80"/>
      <c r="K147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223 MOP-MOP_FETCovid19</v>
      </c>
      <c r="L1472" s="48">
        <v>44712</v>
      </c>
      <c r="M1472" s="48">
        <v>44712</v>
      </c>
      <c r="N1472" s="49" t="s">
        <v>273</v>
      </c>
      <c r="O1472" s="45">
        <v>9</v>
      </c>
      <c r="P1472" s="80" t="s">
        <v>518</v>
      </c>
      <c r="Q1472" s="48"/>
      <c r="R1472" s="45"/>
      <c r="S1472" s="114"/>
      <c r="T1472" s="52"/>
      <c r="U1472" s="48"/>
      <c r="V1472" s="48"/>
      <c r="W1472" s="27"/>
    </row>
    <row r="1473" spans="1:23" ht="60" hidden="1" customHeight="1" x14ac:dyDescent="0.25">
      <c r="A1473" s="45" t="str">
        <f>CONCATENATE(Tabla2[[#This Row],[id_solicitud]],Tabla2[[#This Row],[tipo]])</f>
        <v>246Oficio_Solicitud</v>
      </c>
      <c r="B1473" s="45">
        <f>COUNTIF($A$2:A1473,A1473)</f>
        <v>19</v>
      </c>
      <c r="C1473" s="45" t="str">
        <f>Tabla2[[#This Row],[(id_solicitud-tipo_documento)]]&amp;B1473</f>
        <v>246Oficio_Solicitud19</v>
      </c>
      <c r="D1473" s="45">
        <v>1479</v>
      </c>
      <c r="E1473" s="45">
        <v>246</v>
      </c>
      <c r="F1473" s="45" t="s">
        <v>53</v>
      </c>
      <c r="G1473" s="45" t="s">
        <v>61</v>
      </c>
      <c r="H1473" s="50" t="s">
        <v>577</v>
      </c>
      <c r="I1473" s="51">
        <v>236</v>
      </c>
      <c r="J1473" s="80"/>
      <c r="K147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236 MOP-MOP_FETCovid19</v>
      </c>
      <c r="L1473" s="48">
        <v>44712</v>
      </c>
      <c r="M1473" s="48">
        <v>44712</v>
      </c>
      <c r="N1473" s="49" t="s">
        <v>273</v>
      </c>
      <c r="O1473" s="45">
        <v>9</v>
      </c>
      <c r="P1473" s="80" t="s">
        <v>518</v>
      </c>
      <c r="Q1473" s="48"/>
      <c r="R1473" s="45"/>
      <c r="S1473" s="114"/>
      <c r="T1473" s="52"/>
      <c r="U1473" s="48"/>
      <c r="V1473" s="48"/>
      <c r="W1473" s="27"/>
    </row>
    <row r="1474" spans="1:23" ht="60" hidden="1" customHeight="1" x14ac:dyDescent="0.25">
      <c r="A1474" s="45" t="str">
        <f>CONCATENATE(Tabla2[[#This Row],[id_solicitud]],Tabla2[[#This Row],[tipo]])</f>
        <v>93Oficio_Solicitud</v>
      </c>
      <c r="B1474" s="45">
        <f>COUNTIF($A$2:A1474,A1474)</f>
        <v>1</v>
      </c>
      <c r="C1474" s="45" t="str">
        <f>Tabla2[[#This Row],[(id_solicitud-tipo_documento)]]&amp;B1474</f>
        <v>93Oficio_Solicitud1</v>
      </c>
      <c r="D1474" s="45">
        <v>1480</v>
      </c>
      <c r="E1474" s="45">
        <v>93</v>
      </c>
      <c r="F1474" s="45" t="s">
        <v>53</v>
      </c>
      <c r="G1474" s="45" t="s">
        <v>60</v>
      </c>
      <c r="H1474" s="50" t="s">
        <v>26</v>
      </c>
      <c r="I1474" s="51">
        <v>1876</v>
      </c>
      <c r="J1474" s="80" t="s">
        <v>1241</v>
      </c>
      <c r="K147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1876 DVcorreo</v>
      </c>
      <c r="L1474" s="48">
        <v>44617</v>
      </c>
      <c r="M1474" s="48">
        <v>44620</v>
      </c>
      <c r="N1474" s="49" t="s">
        <v>144</v>
      </c>
      <c r="O1474" s="45">
        <f>23+74</f>
        <v>97</v>
      </c>
      <c r="P1474" s="80" t="s">
        <v>494</v>
      </c>
      <c r="Q1474" s="48">
        <v>44644</v>
      </c>
      <c r="R1474" s="45"/>
      <c r="S1474" s="114"/>
      <c r="T1474" s="52"/>
      <c r="U1474" s="48"/>
      <c r="V1474" s="48"/>
      <c r="W1474" s="27"/>
    </row>
    <row r="1475" spans="1:23" ht="60" hidden="1" customHeight="1" x14ac:dyDescent="0.25">
      <c r="A1475" s="45" t="str">
        <f>CONCATENATE(Tabla2[[#This Row],[id_solicitud]],Tabla2[[#This Row],[tipo]])</f>
        <v>94Oficio_Solicitud</v>
      </c>
      <c r="B1475" s="45">
        <f>COUNTIF($A$2:A1475,A1475)</f>
        <v>1</v>
      </c>
      <c r="C1475" s="45" t="str">
        <f>Tabla2[[#This Row],[(id_solicitud-tipo_documento)]]&amp;B1475</f>
        <v>94Oficio_Solicitud1</v>
      </c>
      <c r="D1475" s="45">
        <v>1481</v>
      </c>
      <c r="E1475" s="45">
        <v>94</v>
      </c>
      <c r="F1475" s="45" t="s">
        <v>53</v>
      </c>
      <c r="G1475" s="45" t="s">
        <v>60</v>
      </c>
      <c r="H1475" s="50" t="s">
        <v>538</v>
      </c>
      <c r="I1475" s="51">
        <v>1876</v>
      </c>
      <c r="J1475" s="80" t="s">
        <v>1241</v>
      </c>
      <c r="K147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1876 DV_FETCovid19correo</v>
      </c>
      <c r="L1475" s="48">
        <v>44617</v>
      </c>
      <c r="M1475" s="48">
        <v>44620</v>
      </c>
      <c r="N1475" s="49" t="s">
        <v>145</v>
      </c>
      <c r="O1475" s="45">
        <v>5</v>
      </c>
      <c r="P1475" s="80" t="s">
        <v>494</v>
      </c>
      <c r="Q1475" s="48">
        <v>44629</v>
      </c>
      <c r="R1475" s="45"/>
      <c r="S1475" s="114"/>
      <c r="T1475" s="52"/>
      <c r="U1475" s="48"/>
      <c r="V1475" s="48"/>
      <c r="W1475" s="27"/>
    </row>
    <row r="1476" spans="1:23" ht="60" hidden="1" customHeight="1" x14ac:dyDescent="0.25">
      <c r="A1476" s="45" t="str">
        <f>CONCATENATE(Tabla2[[#This Row],[id_solicitud]],Tabla2[[#This Row],[tipo]])</f>
        <v>84Oficio_Solicitud</v>
      </c>
      <c r="B1476" s="45">
        <f>COUNTIF($A$2:A1476,A1476)</f>
        <v>1</v>
      </c>
      <c r="C1476" s="45" t="str">
        <f>Tabla2[[#This Row],[(id_solicitud-tipo_documento)]]&amp;B1476</f>
        <v>84Oficio_Solicitud1</v>
      </c>
      <c r="D1476" s="45">
        <v>1482</v>
      </c>
      <c r="E1476" s="45">
        <v>84</v>
      </c>
      <c r="F1476" s="45" t="s">
        <v>53</v>
      </c>
      <c r="G1476" s="45" t="s">
        <v>60</v>
      </c>
      <c r="H1476" s="50" t="s">
        <v>16</v>
      </c>
      <c r="I1476" s="51">
        <v>189</v>
      </c>
      <c r="J1476" s="80" t="s">
        <v>1241</v>
      </c>
      <c r="K147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189 DGCcorreo</v>
      </c>
      <c r="L1476" s="48">
        <v>44607</v>
      </c>
      <c r="M1476" s="48">
        <v>44607</v>
      </c>
      <c r="N1476" s="49" t="s">
        <v>135</v>
      </c>
      <c r="O1476" s="45">
        <v>2</v>
      </c>
      <c r="P1476" s="80" t="s">
        <v>494</v>
      </c>
      <c r="Q1476" s="48">
        <v>44617</v>
      </c>
      <c r="R1476" s="45"/>
      <c r="S1476" s="114"/>
      <c r="T1476" s="52"/>
      <c r="U1476" s="48"/>
      <c r="V1476" s="48"/>
      <c r="W1476" s="27"/>
    </row>
    <row r="1477" spans="1:23" ht="60" hidden="1" customHeight="1" x14ac:dyDescent="0.25">
      <c r="A1477" s="45" t="str">
        <f>CONCATENATE(Tabla2[[#This Row],[id_solicitud]],Tabla2[[#This Row],[tipo]])</f>
        <v>107Oficio_Solicitud</v>
      </c>
      <c r="B1477" s="45">
        <f>COUNTIF($A$2:A1477,A1477)</f>
        <v>1</v>
      </c>
      <c r="C1477" s="45" t="str">
        <f>Tabla2[[#This Row],[(id_solicitud-tipo_documento)]]&amp;B1477</f>
        <v>107Oficio_Solicitud1</v>
      </c>
      <c r="D1477" s="45">
        <v>1483</v>
      </c>
      <c r="E1477" s="45">
        <v>107</v>
      </c>
      <c r="F1477" s="45" t="s">
        <v>53</v>
      </c>
      <c r="G1477" s="45" t="s">
        <v>63</v>
      </c>
      <c r="H1477" s="50" t="s">
        <v>579</v>
      </c>
      <c r="I1477" s="51">
        <v>2100</v>
      </c>
      <c r="J1477" s="80"/>
      <c r="K147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2100 DV-DP</v>
      </c>
      <c r="L1477" s="48">
        <v>44623</v>
      </c>
      <c r="M1477" s="48">
        <v>44624</v>
      </c>
      <c r="N1477" s="49" t="s">
        <v>156</v>
      </c>
      <c r="O1477" s="45">
        <v>1</v>
      </c>
      <c r="P1477" s="80" t="s">
        <v>494</v>
      </c>
      <c r="Q1477" s="48">
        <v>44627</v>
      </c>
      <c r="R1477" s="45"/>
      <c r="S1477" s="114"/>
      <c r="T1477" s="52"/>
      <c r="U1477" s="48"/>
      <c r="V1477" s="48"/>
      <c r="W1477" s="27"/>
    </row>
    <row r="1478" spans="1:23" ht="60" hidden="1" customHeight="1" x14ac:dyDescent="0.25">
      <c r="A1478" s="45" t="str">
        <f>CONCATENATE(Tabla2[[#This Row],[id_solicitud]],Tabla2[[#This Row],[tipo]])</f>
        <v>270Oficio_Solicitud</v>
      </c>
      <c r="B1478" s="45">
        <f>COUNTIF($A$2:A1478,A1478)</f>
        <v>1</v>
      </c>
      <c r="C1478" s="45" t="str">
        <f>Tabla2[[#This Row],[(id_solicitud-tipo_documento)]]&amp;B1478</f>
        <v>270Oficio_Solicitud1</v>
      </c>
      <c r="D1478" s="45">
        <v>1484</v>
      </c>
      <c r="E1478" s="45">
        <v>270</v>
      </c>
      <c r="F1478" s="45" t="s">
        <v>53</v>
      </c>
      <c r="G1478" s="45" t="s">
        <v>40</v>
      </c>
      <c r="H1478" s="50" t="s">
        <v>586</v>
      </c>
      <c r="I1478" s="51">
        <v>220</v>
      </c>
      <c r="J1478" s="80"/>
      <c r="K147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220 DOH_FETCovid19-DGA_FETCovid19</v>
      </c>
      <c r="L1478" s="48">
        <v>44712</v>
      </c>
      <c r="M1478" s="48">
        <v>44712</v>
      </c>
      <c r="N1478" s="49" t="s">
        <v>292</v>
      </c>
      <c r="O1478" s="45"/>
      <c r="P1478" s="80" t="s">
        <v>499</v>
      </c>
      <c r="Q1478" s="48"/>
      <c r="R1478" s="45"/>
      <c r="S1478" s="114"/>
      <c r="T1478" s="52"/>
      <c r="U1478" s="48"/>
      <c r="V1478" s="48"/>
      <c r="W1478" s="27"/>
    </row>
    <row r="1479" spans="1:23" ht="60" hidden="1" customHeight="1" x14ac:dyDescent="0.25">
      <c r="A1479" s="45" t="str">
        <f>CONCATENATE(Tabla2[[#This Row],[id_solicitud]],Tabla2[[#This Row],[tipo]])</f>
        <v>270Oficio_Solicitud</v>
      </c>
      <c r="B1479" s="45">
        <f>COUNTIF($A$2:A1479,A1479)</f>
        <v>2</v>
      </c>
      <c r="C1479" s="45" t="str">
        <f>Tabla2[[#This Row],[(id_solicitud-tipo_documento)]]&amp;B1479</f>
        <v>270Oficio_Solicitud2</v>
      </c>
      <c r="D1479" s="45">
        <v>1485</v>
      </c>
      <c r="E1479" s="45">
        <v>270</v>
      </c>
      <c r="F1479" s="45" t="s">
        <v>53</v>
      </c>
      <c r="G1479" s="45" t="s">
        <v>40</v>
      </c>
      <c r="H1479" s="50" t="s">
        <v>586</v>
      </c>
      <c r="I1479" s="51">
        <v>223</v>
      </c>
      <c r="J1479" s="80"/>
      <c r="K147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223 DOH_FETCovid19-DGA_FETCovid19</v>
      </c>
      <c r="L1479" s="48">
        <v>44712</v>
      </c>
      <c r="M1479" s="48">
        <v>44712</v>
      </c>
      <c r="N1479" s="49" t="s">
        <v>292</v>
      </c>
      <c r="O1479" s="45"/>
      <c r="P1479" s="80" t="s">
        <v>499</v>
      </c>
      <c r="Q1479" s="48"/>
      <c r="R1479" s="45"/>
      <c r="S1479" s="114"/>
      <c r="T1479" s="52"/>
      <c r="U1479" s="48"/>
      <c r="V1479" s="48"/>
      <c r="W1479" s="27"/>
    </row>
    <row r="1480" spans="1:23" ht="60" hidden="1" customHeight="1" x14ac:dyDescent="0.25">
      <c r="A1480" s="45" t="str">
        <f>CONCATENATE(Tabla2[[#This Row],[id_solicitud]],Tabla2[[#This Row],[tipo]])</f>
        <v>270Oficio_Solicitud</v>
      </c>
      <c r="B1480" s="45">
        <f>COUNTIF($A$2:A1480,A1480)</f>
        <v>3</v>
      </c>
      <c r="C1480" s="45" t="str">
        <f>Tabla2[[#This Row],[(id_solicitud-tipo_documento)]]&amp;B1480</f>
        <v>270Oficio_Solicitud3</v>
      </c>
      <c r="D1480" s="45">
        <v>1486</v>
      </c>
      <c r="E1480" s="45">
        <v>270</v>
      </c>
      <c r="F1480" s="45" t="s">
        <v>53</v>
      </c>
      <c r="G1480" s="45" t="s">
        <v>40</v>
      </c>
      <c r="H1480" s="50" t="s">
        <v>586</v>
      </c>
      <c r="I1480" s="51">
        <v>236</v>
      </c>
      <c r="J1480" s="80"/>
      <c r="K148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236 DOH_FETCovid19-DGA_FETCovid19</v>
      </c>
      <c r="L1480" s="48">
        <v>44712</v>
      </c>
      <c r="M1480" s="48">
        <v>44712</v>
      </c>
      <c r="N1480" s="49" t="s">
        <v>292</v>
      </c>
      <c r="O1480" s="45"/>
      <c r="P1480" s="80" t="s">
        <v>499</v>
      </c>
      <c r="Q1480" s="48"/>
      <c r="R1480" s="45"/>
      <c r="S1480" s="114"/>
      <c r="T1480" s="52"/>
      <c r="U1480" s="48"/>
      <c r="V1480" s="48"/>
      <c r="W1480" s="27"/>
    </row>
    <row r="1481" spans="1:23" ht="60" hidden="1" customHeight="1" x14ac:dyDescent="0.25">
      <c r="A1481" s="45" t="str">
        <f>CONCATENATE(Tabla2[[#This Row],[id_solicitud]],Tabla2[[#This Row],[tipo]])</f>
        <v>62Oficio_Solicitud</v>
      </c>
      <c r="B1481" s="45">
        <f>COUNTIF($A$2:A1481,A1481)</f>
        <v>1</v>
      </c>
      <c r="C1481" s="45" t="str">
        <f>Tabla2[[#This Row],[(id_solicitud-tipo_documento)]]&amp;B1481</f>
        <v>62Oficio_Solicitud1</v>
      </c>
      <c r="D1481" s="45">
        <v>1489</v>
      </c>
      <c r="E1481" s="45">
        <v>62</v>
      </c>
      <c r="F1481" s="45" t="s">
        <v>53</v>
      </c>
      <c r="G1481" s="45" t="s">
        <v>60</v>
      </c>
      <c r="H1481" s="50" t="s">
        <v>6</v>
      </c>
      <c r="I1481" s="51">
        <v>257</v>
      </c>
      <c r="J1481" s="80" t="s">
        <v>1241</v>
      </c>
      <c r="K148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257 APRcorreo</v>
      </c>
      <c r="L1481" s="48">
        <v>44592</v>
      </c>
      <c r="M1481" s="48">
        <v>44592</v>
      </c>
      <c r="N1481" s="49" t="s">
        <v>120</v>
      </c>
      <c r="O1481" s="45">
        <v>14</v>
      </c>
      <c r="P1481" s="80" t="s">
        <v>494</v>
      </c>
      <c r="Q1481" s="48">
        <v>44603</v>
      </c>
      <c r="R1481" s="45"/>
      <c r="S1481" s="114"/>
      <c r="T1481" s="52"/>
      <c r="U1481" s="48"/>
      <c r="V1481" s="48"/>
      <c r="W1481" s="27"/>
    </row>
    <row r="1482" spans="1:23" ht="60" hidden="1" customHeight="1" x14ac:dyDescent="0.25">
      <c r="A1482" s="45" t="str">
        <f>CONCATENATE(Tabla2[[#This Row],[id_solicitud]],Tabla2[[#This Row],[tipo]])</f>
        <v>63Oficio_Solicitud</v>
      </c>
      <c r="B1482" s="45">
        <f>COUNTIF($A$2:A1482,A1482)</f>
        <v>1</v>
      </c>
      <c r="C1482" s="45" t="str">
        <f>Tabla2[[#This Row],[(id_solicitud-tipo_documento)]]&amp;B1482</f>
        <v>63Oficio_Solicitud1</v>
      </c>
      <c r="D1482" s="45">
        <v>1490</v>
      </c>
      <c r="E1482" s="45">
        <v>63</v>
      </c>
      <c r="F1482" s="45" t="s">
        <v>53</v>
      </c>
      <c r="G1482" s="45" t="s">
        <v>60</v>
      </c>
      <c r="H1482" s="50" t="s">
        <v>6</v>
      </c>
      <c r="I1482" s="51">
        <v>258</v>
      </c>
      <c r="J1482" s="80" t="s">
        <v>1241</v>
      </c>
      <c r="K148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258 APRcorreo</v>
      </c>
      <c r="L1482" s="48">
        <v>44592</v>
      </c>
      <c r="M1482" s="48">
        <v>44592</v>
      </c>
      <c r="N1482" s="49" t="s">
        <v>1023</v>
      </c>
      <c r="O1482" s="45">
        <v>15</v>
      </c>
      <c r="P1482" s="80" t="s">
        <v>494</v>
      </c>
      <c r="Q1482" s="48">
        <v>44603</v>
      </c>
      <c r="R1482" s="45"/>
      <c r="S1482" s="114"/>
      <c r="T1482" s="52"/>
      <c r="U1482" s="48"/>
      <c r="V1482" s="48"/>
      <c r="W1482" s="27"/>
    </row>
    <row r="1483" spans="1:23" ht="60" hidden="1" customHeight="1" x14ac:dyDescent="0.25">
      <c r="A1483" s="45" t="str">
        <f>CONCATENATE(Tabla2[[#This Row],[id_solicitud]],Tabla2[[#This Row],[tipo]])</f>
        <v>64Oficio_Solicitud</v>
      </c>
      <c r="B1483" s="45">
        <f>COUNTIF($A$2:A1483,A1483)</f>
        <v>1</v>
      </c>
      <c r="C1483" s="45" t="str">
        <f>Tabla2[[#This Row],[(id_solicitud-tipo_documento)]]&amp;B1483</f>
        <v>64Oficio_Solicitud1</v>
      </c>
      <c r="D1483" s="45">
        <v>1491</v>
      </c>
      <c r="E1483" s="45">
        <v>64</v>
      </c>
      <c r="F1483" s="45" t="s">
        <v>53</v>
      </c>
      <c r="G1483" s="45" t="s">
        <v>60</v>
      </c>
      <c r="H1483" s="50" t="s">
        <v>6</v>
      </c>
      <c r="I1483" s="51">
        <v>259</v>
      </c>
      <c r="J1483" s="80" t="s">
        <v>1241</v>
      </c>
      <c r="K148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259 APRcorreo</v>
      </c>
      <c r="L1483" s="48">
        <v>44592</v>
      </c>
      <c r="M1483" s="48">
        <v>44592</v>
      </c>
      <c r="N1483" s="49" t="s">
        <v>121</v>
      </c>
      <c r="O1483" s="45">
        <v>8</v>
      </c>
      <c r="P1483" s="80" t="s">
        <v>494</v>
      </c>
      <c r="Q1483" s="48">
        <v>44603</v>
      </c>
      <c r="R1483" s="45"/>
      <c r="S1483" s="114"/>
      <c r="T1483" s="52"/>
      <c r="U1483" s="48"/>
      <c r="V1483" s="48"/>
      <c r="W1483" s="27"/>
    </row>
    <row r="1484" spans="1:23" ht="60" hidden="1" customHeight="1" x14ac:dyDescent="0.25">
      <c r="A1484" s="45" t="str">
        <f>CONCATENATE(Tabla2[[#This Row],[id_solicitud]],Tabla2[[#This Row],[tipo]])</f>
        <v>370Oficio_Solicitud</v>
      </c>
      <c r="B1484" s="45">
        <f>COUNTIF($A$2:A1484,A1484)</f>
        <v>1</v>
      </c>
      <c r="C1484" s="45" t="str">
        <f>Tabla2[[#This Row],[(id_solicitud-tipo_documento)]]&amp;B1484</f>
        <v>370Oficio_Solicitud1</v>
      </c>
      <c r="D1484" s="45">
        <v>1492</v>
      </c>
      <c r="E1484" s="45">
        <v>370</v>
      </c>
      <c r="F1484" s="45" t="s">
        <v>53</v>
      </c>
      <c r="G1484" s="45" t="s">
        <v>44</v>
      </c>
      <c r="H1484" s="50" t="s">
        <v>598</v>
      </c>
      <c r="I1484" s="51">
        <v>297</v>
      </c>
      <c r="J1484" s="80"/>
      <c r="K148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297 DGA-DGA_FETCovid19</v>
      </c>
      <c r="L1484" s="48">
        <v>44761</v>
      </c>
      <c r="M1484" s="48">
        <v>44762</v>
      </c>
      <c r="N1484" s="49" t="s">
        <v>369</v>
      </c>
      <c r="O1484" s="45"/>
      <c r="P1484" s="80" t="s">
        <v>498</v>
      </c>
      <c r="Q1484" s="48"/>
      <c r="R1484" s="45"/>
      <c r="S1484" s="114"/>
      <c r="T1484" s="52"/>
      <c r="U1484" s="48"/>
      <c r="V1484" s="48"/>
      <c r="W1484" s="27"/>
    </row>
    <row r="1485" spans="1:23" ht="60" hidden="1" customHeight="1" x14ac:dyDescent="0.25">
      <c r="A1485" s="45" t="str">
        <f>CONCATENATE(Tabla2[[#This Row],[id_solicitud]],Tabla2[[#This Row],[tipo]])</f>
        <v>370Oficio_Solicitud</v>
      </c>
      <c r="B1485" s="45">
        <f>COUNTIF($A$2:A1485,A1485)</f>
        <v>2</v>
      </c>
      <c r="C1485" s="45" t="str">
        <f>Tabla2[[#This Row],[(id_solicitud-tipo_documento)]]&amp;B1485</f>
        <v>370Oficio_Solicitud2</v>
      </c>
      <c r="D1485" s="45">
        <v>1493</v>
      </c>
      <c r="E1485" s="45">
        <v>370</v>
      </c>
      <c r="F1485" s="45" t="s">
        <v>53</v>
      </c>
      <c r="G1485" s="45" t="s">
        <v>44</v>
      </c>
      <c r="H1485" s="50" t="s">
        <v>598</v>
      </c>
      <c r="I1485" s="51">
        <v>276</v>
      </c>
      <c r="J1485" s="80"/>
      <c r="K148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276 DGA-DGA_FETCovid19</v>
      </c>
      <c r="L1485" s="48">
        <v>44761</v>
      </c>
      <c r="M1485" s="48">
        <v>44762</v>
      </c>
      <c r="N1485" s="49" t="s">
        <v>369</v>
      </c>
      <c r="O1485" s="45"/>
      <c r="P1485" s="80" t="s">
        <v>494</v>
      </c>
      <c r="Q1485" s="48"/>
      <c r="R1485" s="45"/>
      <c r="S1485" s="114"/>
      <c r="T1485" s="52"/>
      <c r="U1485" s="48"/>
      <c r="V1485" s="48"/>
      <c r="W1485" s="27"/>
    </row>
    <row r="1486" spans="1:23" ht="60" hidden="1" customHeight="1" x14ac:dyDescent="0.25">
      <c r="A1486" s="45" t="str">
        <f>CONCATENATE(Tabla2[[#This Row],[id_solicitud]],Tabla2[[#This Row],[tipo]])</f>
        <v>431Oficio_Solicitud</v>
      </c>
      <c r="B1486" s="45">
        <f>COUNTIF($A$2:A1486,A1486)</f>
        <v>1</v>
      </c>
      <c r="C1486" s="45" t="str">
        <f>Tabla2[[#This Row],[(id_solicitud-tipo_documento)]]&amp;B1486</f>
        <v>431Oficio_Solicitud1</v>
      </c>
      <c r="D1486" s="45">
        <v>1494</v>
      </c>
      <c r="E1486" s="45">
        <v>431</v>
      </c>
      <c r="F1486" s="45" t="s">
        <v>53</v>
      </c>
      <c r="G1486" s="45" t="s">
        <v>65</v>
      </c>
      <c r="H1486" s="50" t="s">
        <v>602</v>
      </c>
      <c r="I1486" s="51">
        <v>3811</v>
      </c>
      <c r="J1486" s="80"/>
      <c r="K148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3811 DOH-DGOP-FISC</v>
      </c>
      <c r="L1486" s="48">
        <v>44784</v>
      </c>
      <c r="M1486" s="48">
        <v>44784</v>
      </c>
      <c r="N1486" s="49" t="s">
        <v>414</v>
      </c>
      <c r="O1486" s="45"/>
      <c r="P1486" s="80" t="s">
        <v>498</v>
      </c>
      <c r="Q1486" s="48"/>
      <c r="R1486" s="45"/>
      <c r="S1486" s="114"/>
      <c r="T1486" s="52"/>
      <c r="U1486" s="48"/>
      <c r="V1486" s="48"/>
      <c r="W1486" s="27"/>
    </row>
    <row r="1487" spans="1:23" ht="60" customHeight="1" x14ac:dyDescent="0.25">
      <c r="A1487" s="45" t="str">
        <f>CONCATENATE(Tabla2[[#This Row],[id_solicitud]],Tabla2[[#This Row],[tipo]])</f>
        <v>440Oficio_Solicitud</v>
      </c>
      <c r="B1487" s="45">
        <f>COUNTIF($A$2:A1487,A1487)</f>
        <v>1</v>
      </c>
      <c r="C1487" s="45" t="str">
        <f>Tabla2[[#This Row],[(id_solicitud-tipo_documento)]]&amp;B1487</f>
        <v>440Oficio_Solicitud1</v>
      </c>
      <c r="D1487" s="45">
        <v>332</v>
      </c>
      <c r="E1487" s="45">
        <v>440</v>
      </c>
      <c r="F1487" s="45" t="s">
        <v>53</v>
      </c>
      <c r="G1487" s="45" t="s">
        <v>44</v>
      </c>
      <c r="H1487" s="50" t="s">
        <v>18</v>
      </c>
      <c r="I1487" s="51">
        <v>328</v>
      </c>
      <c r="J1487" s="80"/>
      <c r="K148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328 DGOP</v>
      </c>
      <c r="L1487" s="48">
        <v>44819</v>
      </c>
      <c r="M1487" s="48">
        <v>44819</v>
      </c>
      <c r="N1487" s="49"/>
      <c r="O1487" s="45"/>
      <c r="P1487" s="80" t="s">
        <v>497</v>
      </c>
      <c r="Q1487" s="48"/>
      <c r="R1487" s="45"/>
      <c r="S1487" s="114"/>
      <c r="T1487" s="52"/>
      <c r="U1487" s="48"/>
      <c r="V1487" s="48"/>
      <c r="W1487" s="27"/>
    </row>
    <row r="1488" spans="1:23" ht="60" hidden="1" customHeight="1" x14ac:dyDescent="0.25">
      <c r="A1488" s="45" t="str">
        <f>CONCATENATE(Tabla2[[#This Row],[id_solicitud]],Tabla2[[#This Row],[tipo]])</f>
        <v>152Oficio_Solicitud</v>
      </c>
      <c r="B1488" s="45">
        <f>COUNTIF($A$2:A1488,A1488)</f>
        <v>1</v>
      </c>
      <c r="C1488" s="45" t="str">
        <f>Tabla2[[#This Row],[(id_solicitud-tipo_documento)]]&amp;B1488</f>
        <v>152Oficio_Solicitud1</v>
      </c>
      <c r="D1488" s="45">
        <v>1496</v>
      </c>
      <c r="E1488" s="45">
        <v>152</v>
      </c>
      <c r="F1488" s="45" t="s">
        <v>53</v>
      </c>
      <c r="G1488" s="45" t="s">
        <v>60</v>
      </c>
      <c r="H1488" s="50" t="s">
        <v>26</v>
      </c>
      <c r="I1488" s="51">
        <v>3096</v>
      </c>
      <c r="J1488" s="80" t="s">
        <v>1241</v>
      </c>
      <c r="K148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3096 DVcorreo</v>
      </c>
      <c r="L1488" s="48">
        <v>44652</v>
      </c>
      <c r="M1488" s="48">
        <v>44655</v>
      </c>
      <c r="N1488" s="49" t="s">
        <v>195</v>
      </c>
      <c r="O1488" s="45">
        <f>11+30</f>
        <v>41</v>
      </c>
      <c r="P1488" s="80" t="s">
        <v>494</v>
      </c>
      <c r="Q1488" s="48">
        <v>44672</v>
      </c>
      <c r="R1488" s="45"/>
      <c r="S1488" s="114"/>
      <c r="T1488" s="52"/>
      <c r="U1488" s="48"/>
      <c r="V1488" s="48"/>
      <c r="W1488" s="27"/>
    </row>
    <row r="1489" spans="1:23" ht="60" hidden="1" customHeight="1" x14ac:dyDescent="0.25">
      <c r="A1489" s="45" t="str">
        <f>CONCATENATE(Tabla2[[#This Row],[id_solicitud]],Tabla2[[#This Row],[tipo]])</f>
        <v>80Oficio_Solicitud</v>
      </c>
      <c r="B1489" s="45">
        <f>COUNTIF($A$2:A1489,A1489)</f>
        <v>1</v>
      </c>
      <c r="C1489" s="45" t="str">
        <f>Tabla2[[#This Row],[(id_solicitud-tipo_documento)]]&amp;B1489</f>
        <v>80Oficio_Solicitud1</v>
      </c>
      <c r="D1489" s="45">
        <v>1497</v>
      </c>
      <c r="E1489" s="45">
        <v>80</v>
      </c>
      <c r="F1489" s="45" t="s">
        <v>53</v>
      </c>
      <c r="G1489" s="45" t="s">
        <v>60</v>
      </c>
      <c r="H1489" s="50" t="s">
        <v>20</v>
      </c>
      <c r="I1489" s="51">
        <v>333</v>
      </c>
      <c r="J1489" s="80" t="s">
        <v>1241</v>
      </c>
      <c r="K148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333 DOHcorreo</v>
      </c>
      <c r="L1489" s="48">
        <v>44600</v>
      </c>
      <c r="M1489" s="48">
        <v>44601</v>
      </c>
      <c r="N1489" s="49" t="s">
        <v>132</v>
      </c>
      <c r="O1489" s="45">
        <v>1</v>
      </c>
      <c r="P1489" s="80" t="s">
        <v>494</v>
      </c>
      <c r="Q1489" s="48">
        <v>44617</v>
      </c>
      <c r="R1489" s="45"/>
      <c r="S1489" s="114"/>
      <c r="T1489" s="52"/>
      <c r="U1489" s="48"/>
      <c r="V1489" s="48"/>
      <c r="W1489" s="27"/>
    </row>
    <row r="1490" spans="1:23" ht="60" hidden="1" customHeight="1" x14ac:dyDescent="0.25">
      <c r="A1490" s="45" t="str">
        <f>CONCATENATE(Tabla2[[#This Row],[id_solicitud]],Tabla2[[#This Row],[tipo]])</f>
        <v>414Proposicion</v>
      </c>
      <c r="B1490" s="45">
        <f>COUNTIF($A$2:A1490,A1490)</f>
        <v>1</v>
      </c>
      <c r="C1490" s="45" t="str">
        <f>Tabla2[[#This Row],[(id_solicitud-tipo_documento)]]&amp;B1490</f>
        <v>414Proposicion1</v>
      </c>
      <c r="D1490" s="45">
        <v>1498</v>
      </c>
      <c r="E1490" s="45">
        <v>414</v>
      </c>
      <c r="F1490" s="45" t="s">
        <v>46</v>
      </c>
      <c r="G1490" s="45" t="s">
        <v>44</v>
      </c>
      <c r="H1490" s="50" t="s">
        <v>6</v>
      </c>
      <c r="I1490" s="51">
        <v>318</v>
      </c>
      <c r="J1490" s="80" t="s">
        <v>1242</v>
      </c>
      <c r="K149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318 APRb</v>
      </c>
      <c r="L1490" s="48">
        <v>44812</v>
      </c>
      <c r="M1490" s="48">
        <v>44812</v>
      </c>
      <c r="N1490" s="49" t="s">
        <v>717</v>
      </c>
      <c r="O1490" s="45"/>
      <c r="P1490" s="80" t="s">
        <v>497</v>
      </c>
      <c r="Q1490" s="24"/>
      <c r="R1490" s="24" t="s">
        <v>749</v>
      </c>
      <c r="S1490" s="114"/>
      <c r="T1490" s="45"/>
      <c r="U1490" s="48"/>
      <c r="V1490" s="48"/>
      <c r="W1490" s="27"/>
    </row>
    <row r="1491" spans="1:23" ht="60" hidden="1" customHeight="1" x14ac:dyDescent="0.25">
      <c r="A1491" s="45" t="str">
        <f>CONCATENATE(Tabla2[[#This Row],[id_solicitud]],Tabla2[[#This Row],[tipo]])</f>
        <v>78Oficio_Solicitud</v>
      </c>
      <c r="B1491" s="45">
        <f>COUNTIF($A$2:A1491,A1491)</f>
        <v>1</v>
      </c>
      <c r="C1491" s="45" t="str">
        <f>Tabla2[[#This Row],[(id_solicitud-tipo_documento)]]&amp;B1491</f>
        <v>78Oficio_Solicitud1</v>
      </c>
      <c r="D1491" s="45">
        <v>1499</v>
      </c>
      <c r="E1491" s="45">
        <v>78</v>
      </c>
      <c r="F1491" s="45" t="s">
        <v>53</v>
      </c>
      <c r="G1491" s="45" t="s">
        <v>60</v>
      </c>
      <c r="H1491" s="50" t="s">
        <v>559</v>
      </c>
      <c r="I1491" s="51">
        <v>344</v>
      </c>
      <c r="J1491" s="80" t="s">
        <v>1241</v>
      </c>
      <c r="K149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344 APR_FETCovid19correo</v>
      </c>
      <c r="L1491" s="48">
        <v>44601</v>
      </c>
      <c r="M1491" s="48">
        <v>44601</v>
      </c>
      <c r="N1491" s="49" t="s">
        <v>130</v>
      </c>
      <c r="O1491" s="45">
        <v>58</v>
      </c>
      <c r="P1491" s="80" t="s">
        <v>494</v>
      </c>
      <c r="Q1491" s="48">
        <v>44622</v>
      </c>
      <c r="R1491" s="45"/>
      <c r="S1491" s="114"/>
      <c r="T1491" s="52"/>
      <c r="U1491" s="48"/>
      <c r="V1491" s="48"/>
      <c r="W1491" s="27"/>
    </row>
    <row r="1492" spans="1:23" ht="60" hidden="1" customHeight="1" x14ac:dyDescent="0.25">
      <c r="A1492" s="45" t="str">
        <f>CONCATENATE(Tabla2[[#This Row],[id_solicitud]],Tabla2[[#This Row],[tipo]])</f>
        <v>281Proposicion</v>
      </c>
      <c r="B1492" s="45">
        <f>COUNTIF($A$2:A1492,A1492)</f>
        <v>1</v>
      </c>
      <c r="C1492" s="45" t="str">
        <f>Tabla2[[#This Row],[(id_solicitud-tipo_documento)]]&amp;B1492</f>
        <v>281Proposicion1</v>
      </c>
      <c r="D1492" s="45">
        <v>1500</v>
      </c>
      <c r="E1492" s="45">
        <v>281</v>
      </c>
      <c r="F1492" s="45" t="s">
        <v>46</v>
      </c>
      <c r="G1492" s="45" t="s">
        <v>40</v>
      </c>
      <c r="H1492" s="50" t="s">
        <v>587</v>
      </c>
      <c r="I1492" s="51">
        <v>336</v>
      </c>
      <c r="J1492" s="80"/>
      <c r="K149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336 DV-DGC-DAP</v>
      </c>
      <c r="L1492" s="48">
        <v>44707</v>
      </c>
      <c r="M1492" s="48">
        <v>44707</v>
      </c>
      <c r="N1492" s="49"/>
      <c r="O1492" s="45"/>
      <c r="P1492" s="80" t="s">
        <v>494</v>
      </c>
      <c r="Q1492" s="24"/>
      <c r="R1492" s="24" t="s">
        <v>24</v>
      </c>
      <c r="S1492" s="114"/>
      <c r="T1492" s="45"/>
      <c r="U1492" s="48"/>
      <c r="V1492" s="48"/>
      <c r="W1492" s="27"/>
    </row>
    <row r="1493" spans="1:23" ht="60" hidden="1" customHeight="1" x14ac:dyDescent="0.25">
      <c r="A1493" s="45" t="str">
        <f>CONCATENATE(Tabla2[[#This Row],[id_solicitud]],Tabla2[[#This Row],[tipo]])</f>
        <v>281Proposicion</v>
      </c>
      <c r="B1493" s="45">
        <f>COUNTIF($A$2:A1493,A1493)</f>
        <v>2</v>
      </c>
      <c r="C1493" s="45" t="str">
        <f>Tabla2[[#This Row],[(id_solicitud-tipo_documento)]]&amp;B1493</f>
        <v>281Proposicion2</v>
      </c>
      <c r="D1493" s="45">
        <v>1501</v>
      </c>
      <c r="E1493" s="45">
        <v>281</v>
      </c>
      <c r="F1493" s="45" t="s">
        <v>46</v>
      </c>
      <c r="G1493" s="45" t="s">
        <v>40</v>
      </c>
      <c r="H1493" s="50" t="s">
        <v>587</v>
      </c>
      <c r="I1493" s="51">
        <v>351</v>
      </c>
      <c r="J1493" s="80"/>
      <c r="K149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351 DV-DGC-DAP</v>
      </c>
      <c r="L1493" s="48">
        <v>44707</v>
      </c>
      <c r="M1493" s="48">
        <v>44707</v>
      </c>
      <c r="N1493" s="49"/>
      <c r="O1493" s="45"/>
      <c r="P1493" s="80" t="s">
        <v>494</v>
      </c>
      <c r="Q1493" s="24"/>
      <c r="R1493" s="24" t="s">
        <v>24</v>
      </c>
      <c r="S1493" s="114"/>
      <c r="T1493" s="45"/>
      <c r="U1493" s="48"/>
      <c r="V1493" s="48"/>
      <c r="W1493" s="27"/>
    </row>
    <row r="1494" spans="1:23" ht="60" hidden="1" customHeight="1" x14ac:dyDescent="0.25">
      <c r="A1494" s="45" t="str">
        <f>CONCATENATE(Tabla2[[#This Row],[id_solicitud]],Tabla2[[#This Row],[tipo]])</f>
        <v>281Proposicion</v>
      </c>
      <c r="B1494" s="45">
        <f>COUNTIF($A$2:A1494,A1494)</f>
        <v>3</v>
      </c>
      <c r="C1494" s="45" t="str">
        <f>Tabla2[[#This Row],[(id_solicitud-tipo_documento)]]&amp;B1494</f>
        <v>281Proposicion3</v>
      </c>
      <c r="D1494" s="45">
        <v>1502</v>
      </c>
      <c r="E1494" s="45">
        <v>281</v>
      </c>
      <c r="F1494" s="45" t="s">
        <v>46</v>
      </c>
      <c r="G1494" s="45" t="s">
        <v>60</v>
      </c>
      <c r="H1494" s="50" t="s">
        <v>587</v>
      </c>
      <c r="I1494" s="51">
        <v>351</v>
      </c>
      <c r="J1494" s="80"/>
      <c r="K149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351 DV-DGC-DAP</v>
      </c>
      <c r="L1494" s="48">
        <v>44707</v>
      </c>
      <c r="M1494" s="48">
        <v>44707</v>
      </c>
      <c r="N1494" s="49"/>
      <c r="O1494" s="45"/>
      <c r="P1494" s="80" t="s">
        <v>494</v>
      </c>
      <c r="Q1494" s="24"/>
      <c r="R1494" s="24" t="s">
        <v>24</v>
      </c>
      <c r="S1494" s="114"/>
      <c r="T1494" s="45"/>
      <c r="U1494" s="48"/>
      <c r="V1494" s="48"/>
      <c r="W1494" s="27"/>
    </row>
    <row r="1495" spans="1:23" ht="60" hidden="1" customHeight="1" x14ac:dyDescent="0.25">
      <c r="A1495" s="45" t="str">
        <f>CONCATENATE(Tabla2[[#This Row],[id_solicitud]],Tabla2[[#This Row],[tipo]])</f>
        <v>281Proposicion</v>
      </c>
      <c r="B1495" s="45">
        <f>COUNTIF($A$2:A1495,A1495)</f>
        <v>4</v>
      </c>
      <c r="C1495" s="45" t="str">
        <f>Tabla2[[#This Row],[(id_solicitud-tipo_documento)]]&amp;B1495</f>
        <v>281Proposicion4</v>
      </c>
      <c r="D1495" s="45">
        <v>1503</v>
      </c>
      <c r="E1495" s="45">
        <v>281</v>
      </c>
      <c r="F1495" s="45" t="s">
        <v>46</v>
      </c>
      <c r="G1495" s="45" t="s">
        <v>60</v>
      </c>
      <c r="H1495" s="50" t="s">
        <v>587</v>
      </c>
      <c r="I1495" s="51">
        <v>336</v>
      </c>
      <c r="J1495" s="80"/>
      <c r="K149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336 DV-DGC-DAP</v>
      </c>
      <c r="L1495" s="48">
        <v>44707</v>
      </c>
      <c r="M1495" s="48">
        <v>44707</v>
      </c>
      <c r="N1495" s="49"/>
      <c r="O1495" s="45"/>
      <c r="P1495" s="80" t="s">
        <v>494</v>
      </c>
      <c r="Q1495" s="24"/>
      <c r="R1495" s="24" t="s">
        <v>24</v>
      </c>
      <c r="S1495" s="114"/>
      <c r="T1495" s="45"/>
      <c r="U1495" s="48"/>
      <c r="V1495" s="48"/>
      <c r="W1495" s="27"/>
    </row>
    <row r="1496" spans="1:23" ht="60" hidden="1" customHeight="1" x14ac:dyDescent="0.25">
      <c r="A1496" s="45" t="str">
        <f>CONCATENATE(Tabla2[[#This Row],[id_solicitud]],Tabla2[[#This Row],[tipo]])</f>
        <v>27Oficio_Solicitud</v>
      </c>
      <c r="B1496" s="45">
        <f>COUNTIF($A$2:A1496,A1496)</f>
        <v>1</v>
      </c>
      <c r="C1496" s="45" t="str">
        <f>Tabla2[[#This Row],[(id_solicitud-tipo_documento)]]&amp;B1496</f>
        <v>27Oficio_Solicitud1</v>
      </c>
      <c r="D1496" s="45">
        <v>1504</v>
      </c>
      <c r="E1496" s="45">
        <v>27</v>
      </c>
      <c r="F1496" s="45" t="s">
        <v>53</v>
      </c>
      <c r="G1496" s="45" t="s">
        <v>43</v>
      </c>
      <c r="H1496" s="50" t="s">
        <v>6</v>
      </c>
      <c r="I1496" s="51">
        <v>3816</v>
      </c>
      <c r="J1496" s="80" t="s">
        <v>1241</v>
      </c>
      <c r="K149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3816 APRcorreo</v>
      </c>
      <c r="L1496" s="48">
        <v>44551</v>
      </c>
      <c r="M1496" s="48">
        <v>44552</v>
      </c>
      <c r="N1496" s="49" t="s">
        <v>95</v>
      </c>
      <c r="O1496" s="45">
        <f>21+112</f>
        <v>133</v>
      </c>
      <c r="P1496" s="80" t="s">
        <v>494</v>
      </c>
      <c r="Q1496" s="48">
        <v>44566</v>
      </c>
      <c r="R1496" s="45"/>
      <c r="S1496" s="114"/>
      <c r="T1496" s="52"/>
      <c r="U1496" s="48"/>
      <c r="V1496" s="48"/>
      <c r="W1496" s="27"/>
    </row>
    <row r="1497" spans="1:23" ht="60" hidden="1" customHeight="1" x14ac:dyDescent="0.25">
      <c r="A1497" s="45" t="str">
        <f>CONCATENATE(Tabla2[[#This Row],[id_solicitud]],Tabla2[[#This Row],[tipo]])</f>
        <v>44Oficio_Solicitud</v>
      </c>
      <c r="B1497" s="45">
        <f>COUNTIF($A$2:A1497,A1497)</f>
        <v>1</v>
      </c>
      <c r="C1497" s="45" t="str">
        <f>Tabla2[[#This Row],[(id_solicitud-tipo_documento)]]&amp;B1497</f>
        <v>44Oficio_Solicitud1</v>
      </c>
      <c r="D1497" s="45">
        <v>1505</v>
      </c>
      <c r="E1497" s="45">
        <v>44</v>
      </c>
      <c r="F1497" s="45" t="s">
        <v>53</v>
      </c>
      <c r="G1497" s="45" t="s">
        <v>43</v>
      </c>
      <c r="H1497" s="50" t="s">
        <v>576</v>
      </c>
      <c r="I1497" s="51">
        <v>426</v>
      </c>
      <c r="J1497" s="80" t="s">
        <v>1241</v>
      </c>
      <c r="K149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426 DV-DV_FETCovid19correo</v>
      </c>
      <c r="L1497" s="48">
        <v>44600</v>
      </c>
      <c r="M1497" s="48">
        <v>44600</v>
      </c>
      <c r="N1497" s="49" t="s">
        <v>106</v>
      </c>
      <c r="O1497" s="45">
        <v>134</v>
      </c>
      <c r="P1497" s="80" t="s">
        <v>501</v>
      </c>
      <c r="Q1497" s="48">
        <v>44600</v>
      </c>
      <c r="R1497" s="45"/>
      <c r="S1497" s="114"/>
      <c r="T1497" s="52"/>
      <c r="U1497" s="48"/>
      <c r="V1497" s="48"/>
      <c r="W1497" s="27"/>
    </row>
    <row r="1498" spans="1:23" ht="60" hidden="1" customHeight="1" x14ac:dyDescent="0.25">
      <c r="A1498" s="45" t="str">
        <f>CONCATENATE(Tabla2[[#This Row],[id_solicitud]],Tabla2[[#This Row],[tipo]])</f>
        <v>296Proposicion</v>
      </c>
      <c r="B1498" s="45">
        <f>COUNTIF($A$2:A1498,A1498)</f>
        <v>1</v>
      </c>
      <c r="C1498" s="45" t="str">
        <f>Tabla2[[#This Row],[(id_solicitud-tipo_documento)]]&amp;B1498</f>
        <v>296Proposicion1</v>
      </c>
      <c r="D1498" s="45">
        <v>1506</v>
      </c>
      <c r="E1498" s="45">
        <v>296</v>
      </c>
      <c r="F1498" s="45" t="s">
        <v>46</v>
      </c>
      <c r="G1498" s="45" t="s">
        <v>60</v>
      </c>
      <c r="H1498" s="50" t="s">
        <v>541</v>
      </c>
      <c r="I1498" s="51">
        <v>402</v>
      </c>
      <c r="J1498" s="80"/>
      <c r="K149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402 DOP_FETCovid19</v>
      </c>
      <c r="L1498" s="48">
        <v>44729</v>
      </c>
      <c r="M1498" s="48">
        <v>44732</v>
      </c>
      <c r="N1498" s="49" t="s">
        <v>682</v>
      </c>
      <c r="O1498" s="45"/>
      <c r="P1498" s="80" t="s">
        <v>494</v>
      </c>
      <c r="Q1498" s="24"/>
      <c r="R1498" s="24" t="s">
        <v>24</v>
      </c>
      <c r="S1498" s="114"/>
      <c r="T1498" s="45"/>
      <c r="U1498" s="48"/>
      <c r="V1498" s="48"/>
      <c r="W1498" s="27"/>
    </row>
    <row r="1499" spans="1:23" ht="60" hidden="1" customHeight="1" x14ac:dyDescent="0.25">
      <c r="A1499" s="45" t="str">
        <f>CONCATENATE(Tabla2[[#This Row],[id_solicitud]],Tabla2[[#This Row],[tipo]])</f>
        <v>75Oficio_Solicitud</v>
      </c>
      <c r="B1499" s="45">
        <f>COUNTIF($A$2:A1499,A1499)</f>
        <v>1</v>
      </c>
      <c r="C1499" s="45" t="str">
        <f>Tabla2[[#This Row],[(id_solicitud-tipo_documento)]]&amp;B1499</f>
        <v>75Oficio_Solicitud1</v>
      </c>
      <c r="D1499" s="45">
        <v>1507</v>
      </c>
      <c r="E1499" s="45">
        <v>75</v>
      </c>
      <c r="F1499" s="45" t="s">
        <v>53</v>
      </c>
      <c r="G1499" s="45" t="s">
        <v>43</v>
      </c>
      <c r="H1499" s="50" t="s">
        <v>26</v>
      </c>
      <c r="I1499" s="51">
        <v>426</v>
      </c>
      <c r="J1499" s="80" t="s">
        <v>1241</v>
      </c>
      <c r="K149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426 DVcorreo</v>
      </c>
      <c r="L1499" s="48">
        <v>44600</v>
      </c>
      <c r="M1499" s="48">
        <v>44600</v>
      </c>
      <c r="N1499" s="49" t="s">
        <v>129</v>
      </c>
      <c r="O1499" s="45">
        <v>98</v>
      </c>
      <c r="P1499" s="80" t="s">
        <v>494</v>
      </c>
      <c r="Q1499" s="48">
        <v>44600</v>
      </c>
      <c r="R1499" s="45"/>
      <c r="S1499" s="114"/>
      <c r="T1499" s="52"/>
      <c r="U1499" s="48"/>
      <c r="V1499" s="48"/>
      <c r="W1499" s="27"/>
    </row>
    <row r="1500" spans="1:23" ht="60" hidden="1" customHeight="1" x14ac:dyDescent="0.25">
      <c r="A1500" s="45" t="str">
        <f>CONCATENATE(Tabla2[[#This Row],[id_solicitud]],Tabla2[[#This Row],[tipo]])</f>
        <v>76Oficio_Solicitud</v>
      </c>
      <c r="B1500" s="45">
        <f>COUNTIF($A$2:A1500,A1500)</f>
        <v>1</v>
      </c>
      <c r="C1500" s="45" t="str">
        <f>Tabla2[[#This Row],[(id_solicitud-tipo_documento)]]&amp;B1500</f>
        <v>76Oficio_Solicitud1</v>
      </c>
      <c r="D1500" s="45">
        <v>1508</v>
      </c>
      <c r="E1500" s="45">
        <v>76</v>
      </c>
      <c r="F1500" s="45" t="s">
        <v>53</v>
      </c>
      <c r="G1500" s="45" t="s">
        <v>43</v>
      </c>
      <c r="H1500" s="50" t="s">
        <v>538</v>
      </c>
      <c r="I1500" s="51">
        <v>426</v>
      </c>
      <c r="J1500" s="80" t="s">
        <v>1241</v>
      </c>
      <c r="K150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426 DV_FETCovid19correo</v>
      </c>
      <c r="L1500" s="48">
        <v>44596</v>
      </c>
      <c r="M1500" s="48">
        <v>44596</v>
      </c>
      <c r="N1500" s="49" t="s">
        <v>106</v>
      </c>
      <c r="O1500" s="45">
        <v>1</v>
      </c>
      <c r="P1500" s="80" t="s">
        <v>494</v>
      </c>
      <c r="Q1500" s="48">
        <v>44596</v>
      </c>
      <c r="R1500" s="45"/>
      <c r="S1500" s="114"/>
      <c r="T1500" s="52"/>
      <c r="U1500" s="48"/>
      <c r="V1500" s="48"/>
      <c r="W1500" s="27"/>
    </row>
    <row r="1501" spans="1:23" ht="60" hidden="1" customHeight="1" x14ac:dyDescent="0.25">
      <c r="A1501" s="45" t="str">
        <f>CONCATENATE(Tabla2[[#This Row],[id_solicitud]],Tabla2[[#This Row],[tipo]])</f>
        <v>110Proposicion</v>
      </c>
      <c r="B1501" s="45">
        <f>COUNTIF($A$2:A1501,A1501)</f>
        <v>2</v>
      </c>
      <c r="C1501" s="45" t="str">
        <f>Tabla2[[#This Row],[(id_solicitud-tipo_documento)]]&amp;B1501</f>
        <v>110Proposicion2</v>
      </c>
      <c r="D1501" s="45">
        <v>1509</v>
      </c>
      <c r="E1501" s="45">
        <v>110</v>
      </c>
      <c r="F1501" s="45" t="s">
        <v>46</v>
      </c>
      <c r="G1501" s="45" t="s">
        <v>43</v>
      </c>
      <c r="H1501" s="50" t="s">
        <v>26</v>
      </c>
      <c r="I1501" s="51">
        <v>78</v>
      </c>
      <c r="J1501" s="80"/>
      <c r="K150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78 DV</v>
      </c>
      <c r="L1501" s="48">
        <v>44603</v>
      </c>
      <c r="M1501" s="48">
        <v>44603</v>
      </c>
      <c r="N1501" s="49" t="s">
        <v>632</v>
      </c>
      <c r="O1501" s="45"/>
      <c r="P1501" s="80" t="s">
        <v>498</v>
      </c>
      <c r="Q1501" s="24"/>
      <c r="R1501" s="24" t="s">
        <v>24</v>
      </c>
      <c r="S1501" s="114"/>
      <c r="T1501" s="45"/>
      <c r="U1501" s="48"/>
      <c r="V1501" s="48"/>
      <c r="W1501" s="27"/>
    </row>
    <row r="1502" spans="1:23" ht="60" hidden="1" customHeight="1" x14ac:dyDescent="0.25">
      <c r="A1502" s="45" t="str">
        <f>CONCATENATE(Tabla2[[#This Row],[id_solicitud]],Tabla2[[#This Row],[tipo]])</f>
        <v>110Resolucion</v>
      </c>
      <c r="B1502" s="45">
        <f>COUNTIF($A$2:A1502,A1502)</f>
        <v>1</v>
      </c>
      <c r="C1502" s="45" t="str">
        <f>Tabla2[[#This Row],[(id_solicitud-tipo_documento)]]&amp;B1502</f>
        <v>110Resolucion1</v>
      </c>
      <c r="D1502" s="45">
        <v>1510</v>
      </c>
      <c r="E1502" s="45">
        <v>110</v>
      </c>
      <c r="F1502" s="45" t="s">
        <v>48</v>
      </c>
      <c r="G1502" s="45"/>
      <c r="H1502" s="50" t="s">
        <v>26</v>
      </c>
      <c r="I1502" s="51">
        <v>693</v>
      </c>
      <c r="J1502" s="80"/>
      <c r="K150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502" s="48">
        <v>44648</v>
      </c>
      <c r="M1502" s="48"/>
      <c r="N1502" s="49"/>
      <c r="O1502" s="45"/>
      <c r="P1502" s="80"/>
      <c r="Q1502" s="48"/>
      <c r="R1502" s="45"/>
      <c r="S1502" s="114"/>
      <c r="T1502" s="45"/>
      <c r="U1502" s="48"/>
      <c r="V1502" s="48"/>
      <c r="W1502" s="27"/>
    </row>
    <row r="1503" spans="1:23" ht="60" hidden="1" customHeight="1" x14ac:dyDescent="0.25">
      <c r="A1503" s="45" t="str">
        <f>CONCATENATE(Tabla2[[#This Row],[id_solicitud]],Tabla2[[#This Row],[tipo]])</f>
        <v>296Oficio_Solicitud</v>
      </c>
      <c r="B1503" s="45">
        <f>COUNTIF($A$2:A1503,A1503)</f>
        <v>1</v>
      </c>
      <c r="C1503" s="45" t="str">
        <f>Tabla2[[#This Row],[(id_solicitud-tipo_documento)]]&amp;B1503</f>
        <v>296Oficio_Solicitud1</v>
      </c>
      <c r="D1503" s="45">
        <v>1511</v>
      </c>
      <c r="E1503" s="45">
        <v>296</v>
      </c>
      <c r="F1503" s="45" t="s">
        <v>53</v>
      </c>
      <c r="G1503" s="45" t="s">
        <v>60</v>
      </c>
      <c r="H1503" s="50" t="s">
        <v>541</v>
      </c>
      <c r="I1503" s="51">
        <v>440</v>
      </c>
      <c r="J1503" s="80"/>
      <c r="K150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440 DOP_FETCovid19</v>
      </c>
      <c r="L1503" s="48">
        <v>44727</v>
      </c>
      <c r="M1503" s="48">
        <v>44727</v>
      </c>
      <c r="N1503" s="49"/>
      <c r="O1503" s="45"/>
      <c r="P1503" s="80" t="s">
        <v>494</v>
      </c>
      <c r="Q1503" s="48"/>
      <c r="R1503" s="45"/>
      <c r="S1503" s="114"/>
      <c r="T1503" s="52"/>
      <c r="U1503" s="48"/>
      <c r="V1503" s="48"/>
      <c r="W1503" s="27"/>
    </row>
    <row r="1504" spans="1:23" ht="60" customHeight="1" x14ac:dyDescent="0.25">
      <c r="A1504" s="45" t="str">
        <f>CONCATENATE(Tabla2[[#This Row],[id_solicitud]],Tabla2[[#This Row],[tipo]])</f>
        <v>440Proposicion</v>
      </c>
      <c r="B1504" s="45">
        <f>COUNTIF($A$2:A1504,A1504)</f>
        <v>1</v>
      </c>
      <c r="C1504" s="45" t="str">
        <f>Tabla2[[#This Row],[(id_solicitud-tipo_documento)]]&amp;B1504</f>
        <v>440Proposicion1</v>
      </c>
      <c r="D1504" s="45">
        <v>653</v>
      </c>
      <c r="E1504" s="45">
        <v>440</v>
      </c>
      <c r="F1504" s="45" t="s">
        <v>46</v>
      </c>
      <c r="G1504" s="45" t="s">
        <v>44</v>
      </c>
      <c r="H1504" s="50" t="s">
        <v>18</v>
      </c>
      <c r="I1504" s="51">
        <v>624</v>
      </c>
      <c r="J1504" s="80"/>
      <c r="K150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624 DGOP</v>
      </c>
      <c r="L1504" s="48">
        <v>44831</v>
      </c>
      <c r="M1504" s="48">
        <v>44832</v>
      </c>
      <c r="N1504" s="49" t="s">
        <v>722</v>
      </c>
      <c r="O1504" s="45"/>
      <c r="P1504" s="80" t="s">
        <v>497</v>
      </c>
      <c r="Q1504" s="24"/>
      <c r="R1504" s="24" t="s">
        <v>12</v>
      </c>
      <c r="S1504" s="114"/>
      <c r="T1504" s="45"/>
      <c r="U1504" s="48"/>
      <c r="V1504" s="48"/>
      <c r="W1504" s="27"/>
    </row>
    <row r="1505" spans="1:23" ht="60" hidden="1" customHeight="1" x14ac:dyDescent="0.25">
      <c r="A1505" s="45" t="str">
        <f>CONCATENATE(Tabla2[[#This Row],[id_solicitud]],Tabla2[[#This Row],[tipo]])</f>
        <v>281Oficio_Solicitud</v>
      </c>
      <c r="B1505" s="45">
        <f>COUNTIF($A$2:A1505,A1505)</f>
        <v>1</v>
      </c>
      <c r="C1505" s="45" t="str">
        <f>Tabla2[[#This Row],[(id_solicitud-tipo_documento)]]&amp;B1505</f>
        <v>281Oficio_Solicitud1</v>
      </c>
      <c r="D1505" s="45">
        <v>1513</v>
      </c>
      <c r="E1505" s="45">
        <v>281</v>
      </c>
      <c r="F1505" s="45" t="s">
        <v>53</v>
      </c>
      <c r="G1505" s="45" t="s">
        <v>40</v>
      </c>
      <c r="H1505" s="50" t="s">
        <v>587</v>
      </c>
      <c r="I1505" s="51">
        <v>4480</v>
      </c>
      <c r="J1505" s="80"/>
      <c r="K150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4480 DV-DGC-DAP</v>
      </c>
      <c r="L1505" s="48">
        <v>44694</v>
      </c>
      <c r="M1505" s="48">
        <v>44697</v>
      </c>
      <c r="N1505" s="49"/>
      <c r="O1505" s="45"/>
      <c r="P1505" s="80" t="s">
        <v>494</v>
      </c>
      <c r="Q1505" s="48"/>
      <c r="R1505" s="45"/>
      <c r="S1505" s="114"/>
      <c r="T1505" s="52"/>
      <c r="U1505" s="48"/>
      <c r="V1505" s="48"/>
      <c r="W1505" s="27"/>
    </row>
    <row r="1506" spans="1:23" ht="60" hidden="1" customHeight="1" x14ac:dyDescent="0.25">
      <c r="A1506" s="45" t="str">
        <f>CONCATENATE(Tabla2[[#This Row],[id_solicitud]],Tabla2[[#This Row],[tipo]])</f>
        <v>281Oficio_Solicitud</v>
      </c>
      <c r="B1506" s="45">
        <f>COUNTIF($A$2:A1506,A1506)</f>
        <v>2</v>
      </c>
      <c r="C1506" s="45" t="str">
        <f>Tabla2[[#This Row],[(id_solicitud-tipo_documento)]]&amp;B1506</f>
        <v>281Oficio_Solicitud2</v>
      </c>
      <c r="D1506" s="45">
        <v>1514</v>
      </c>
      <c r="E1506" s="45">
        <v>281</v>
      </c>
      <c r="F1506" s="45" t="s">
        <v>53</v>
      </c>
      <c r="G1506" s="45" t="s">
        <v>40</v>
      </c>
      <c r="H1506" s="50" t="s">
        <v>587</v>
      </c>
      <c r="I1506" s="51">
        <v>1353</v>
      </c>
      <c r="J1506" s="80"/>
      <c r="K150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1353 DV-DGC-DAP</v>
      </c>
      <c r="L1506" s="48">
        <v>44694</v>
      </c>
      <c r="M1506" s="48">
        <v>44697</v>
      </c>
      <c r="N1506" s="49"/>
      <c r="O1506" s="45"/>
      <c r="P1506" s="80" t="s">
        <v>494</v>
      </c>
      <c r="Q1506" s="48"/>
      <c r="R1506" s="45"/>
      <c r="S1506" s="114"/>
      <c r="T1506" s="52"/>
      <c r="U1506" s="48"/>
      <c r="V1506" s="48"/>
      <c r="W1506" s="27"/>
    </row>
    <row r="1507" spans="1:23" ht="60" hidden="1" customHeight="1" x14ac:dyDescent="0.25">
      <c r="A1507" s="45" t="str">
        <f>CONCATENATE(Tabla2[[#This Row],[id_solicitud]],Tabla2[[#This Row],[tipo]])</f>
        <v>281Oficio_Solicitud</v>
      </c>
      <c r="B1507" s="45">
        <f>COUNTIF($A$2:A1507,A1507)</f>
        <v>3</v>
      </c>
      <c r="C1507" s="45" t="str">
        <f>Tabla2[[#This Row],[(id_solicitud-tipo_documento)]]&amp;B1507</f>
        <v>281Oficio_Solicitud3</v>
      </c>
      <c r="D1507" s="45">
        <v>1515</v>
      </c>
      <c r="E1507" s="45">
        <v>281</v>
      </c>
      <c r="F1507" s="45" t="s">
        <v>53</v>
      </c>
      <c r="G1507" s="45" t="s">
        <v>40</v>
      </c>
      <c r="H1507" s="50" t="s">
        <v>587</v>
      </c>
      <c r="I1507" s="51">
        <v>260</v>
      </c>
      <c r="J1507" s="80"/>
      <c r="K150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260 DV-DGC-DAP</v>
      </c>
      <c r="L1507" s="48">
        <v>44694</v>
      </c>
      <c r="M1507" s="48">
        <v>44697</v>
      </c>
      <c r="N1507" s="49"/>
      <c r="O1507" s="45"/>
      <c r="P1507" s="80" t="s">
        <v>494</v>
      </c>
      <c r="Q1507" s="48"/>
      <c r="R1507" s="45"/>
      <c r="S1507" s="114"/>
      <c r="T1507" s="52"/>
      <c r="U1507" s="48"/>
      <c r="V1507" s="48"/>
      <c r="W1507" s="27"/>
    </row>
    <row r="1508" spans="1:23" ht="60" hidden="1" customHeight="1" x14ac:dyDescent="0.25">
      <c r="A1508" s="45" t="str">
        <f>CONCATENATE(Tabla2[[#This Row],[id_solicitud]],Tabla2[[#This Row],[tipo]])</f>
        <v>280Resolucion</v>
      </c>
      <c r="B1508" s="45">
        <f>COUNTIF($A$2:A1508,A1508)</f>
        <v>1</v>
      </c>
      <c r="C1508" s="45" t="str">
        <f>Tabla2[[#This Row],[(id_solicitud-tipo_documento)]]&amp;B1508</f>
        <v>280Resolucion1</v>
      </c>
      <c r="D1508" s="45">
        <v>1516</v>
      </c>
      <c r="E1508" s="45">
        <v>280</v>
      </c>
      <c r="F1508" s="45" t="s">
        <v>48</v>
      </c>
      <c r="G1508" s="45"/>
      <c r="H1508" s="50" t="s">
        <v>22</v>
      </c>
      <c r="I1508" s="51">
        <v>1006</v>
      </c>
      <c r="J1508" s="80"/>
      <c r="K150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508" s="48">
        <v>44789</v>
      </c>
      <c r="M1508" s="48"/>
      <c r="N1508" s="49"/>
      <c r="O1508" s="45"/>
      <c r="P1508" s="80"/>
      <c r="Q1508" s="48"/>
      <c r="R1508" s="45"/>
      <c r="S1508" s="114"/>
      <c r="T1508" s="45"/>
      <c r="U1508" s="48"/>
      <c r="V1508" s="48"/>
      <c r="W1508" s="27"/>
    </row>
    <row r="1509" spans="1:23" ht="60" hidden="1" customHeight="1" x14ac:dyDescent="0.25">
      <c r="A1509" s="45" t="str">
        <f>CONCATENATE(Tabla2[[#This Row],[id_solicitud]],Tabla2[[#This Row],[tipo]])</f>
        <v>42Oficio_Solicitud</v>
      </c>
      <c r="B1509" s="45">
        <f>COUNTIF($A$2:A1509,A1509)</f>
        <v>1</v>
      </c>
      <c r="C1509" s="45" t="str">
        <f>Tabla2[[#This Row],[(id_solicitud-tipo_documento)]]&amp;B1509</f>
        <v>42Oficio_Solicitud1</v>
      </c>
      <c r="D1509" s="45">
        <v>1517</v>
      </c>
      <c r="E1509" s="45">
        <v>42</v>
      </c>
      <c r="F1509" s="45" t="s">
        <v>53</v>
      </c>
      <c r="G1509" s="45" t="s">
        <v>43</v>
      </c>
      <c r="H1509" s="50" t="s">
        <v>559</v>
      </c>
      <c r="I1509" s="51">
        <v>47</v>
      </c>
      <c r="J1509" s="80" t="s">
        <v>1241</v>
      </c>
      <c r="K150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47 APR_FETCovid19correo</v>
      </c>
      <c r="L1509" s="48">
        <v>44568</v>
      </c>
      <c r="M1509" s="48">
        <v>44571</v>
      </c>
      <c r="N1509" s="49" t="s">
        <v>104</v>
      </c>
      <c r="O1509" s="45">
        <v>31</v>
      </c>
      <c r="P1509" s="80" t="s">
        <v>494</v>
      </c>
      <c r="Q1509" s="48">
        <v>44587</v>
      </c>
      <c r="R1509" s="45"/>
      <c r="S1509" s="114"/>
      <c r="T1509" s="52"/>
      <c r="U1509" s="48"/>
      <c r="V1509" s="48"/>
      <c r="W1509" s="27"/>
    </row>
    <row r="1510" spans="1:23" ht="60" hidden="1" customHeight="1" x14ac:dyDescent="0.25">
      <c r="A1510" s="45" t="str">
        <f>CONCATENATE(Tabla2[[#This Row],[id_solicitud]],Tabla2[[#This Row],[tipo]])</f>
        <v>370Proposicion</v>
      </c>
      <c r="B1510" s="45">
        <f>COUNTIF($A$2:A1510,A1510)</f>
        <v>1</v>
      </c>
      <c r="C1510" s="45" t="str">
        <f>Tabla2[[#This Row],[(id_solicitud-tipo_documento)]]&amp;B1510</f>
        <v>370Proposicion1</v>
      </c>
      <c r="D1510" s="45">
        <v>1518</v>
      </c>
      <c r="E1510" s="45">
        <v>370</v>
      </c>
      <c r="F1510" s="45" t="s">
        <v>46</v>
      </c>
      <c r="G1510" s="45" t="s">
        <v>44</v>
      </c>
      <c r="H1510" s="50" t="s">
        <v>598</v>
      </c>
      <c r="I1510" s="51">
        <v>487</v>
      </c>
      <c r="J1510" s="80"/>
      <c r="K151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487 DGA-DGA_FETCovid19</v>
      </c>
      <c r="L1510" s="48">
        <v>44764</v>
      </c>
      <c r="M1510" s="48">
        <v>44767</v>
      </c>
      <c r="N1510" s="49" t="s">
        <v>369</v>
      </c>
      <c r="O1510" s="45"/>
      <c r="P1510" s="80" t="s">
        <v>494</v>
      </c>
      <c r="Q1510" s="24"/>
      <c r="R1510" s="24" t="s">
        <v>24</v>
      </c>
      <c r="S1510" s="114"/>
      <c r="T1510" s="45"/>
      <c r="U1510" s="48"/>
      <c r="V1510" s="48"/>
      <c r="W1510" s="27"/>
    </row>
    <row r="1511" spans="1:23" ht="60" hidden="1" customHeight="1" x14ac:dyDescent="0.25">
      <c r="A1511" s="45" t="str">
        <f>CONCATENATE(Tabla2[[#This Row],[id_solicitud]],Tabla2[[#This Row],[tipo]])</f>
        <v>370Proposicion</v>
      </c>
      <c r="B1511" s="45">
        <f>COUNTIF($A$2:A1511,A1511)</f>
        <v>2</v>
      </c>
      <c r="C1511" s="45" t="str">
        <f>Tabla2[[#This Row],[(id_solicitud-tipo_documento)]]&amp;B1511</f>
        <v>370Proposicion2</v>
      </c>
      <c r="D1511" s="45">
        <v>1519</v>
      </c>
      <c r="E1511" s="45">
        <v>370</v>
      </c>
      <c r="F1511" s="45" t="s">
        <v>46</v>
      </c>
      <c r="G1511" s="45" t="s">
        <v>44</v>
      </c>
      <c r="H1511" s="50" t="s">
        <v>598</v>
      </c>
      <c r="I1511" s="51">
        <v>455</v>
      </c>
      <c r="J1511" s="80"/>
      <c r="K151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455 DGA-DGA_FETCovid19</v>
      </c>
      <c r="L1511" s="48">
        <v>44764</v>
      </c>
      <c r="M1511" s="48">
        <v>44767</v>
      </c>
      <c r="N1511" s="49" t="s">
        <v>369</v>
      </c>
      <c r="O1511" s="45"/>
      <c r="P1511" s="80" t="s">
        <v>498</v>
      </c>
      <c r="Q1511" s="24"/>
      <c r="R1511" s="24" t="s">
        <v>24</v>
      </c>
      <c r="S1511" s="114"/>
      <c r="T1511" s="45"/>
      <c r="U1511" s="48"/>
      <c r="V1511" s="48"/>
      <c r="W1511" s="27"/>
    </row>
    <row r="1512" spans="1:23" ht="60" hidden="1" customHeight="1" x14ac:dyDescent="0.25">
      <c r="A1512" s="45" t="str">
        <f>CONCATENATE(Tabla2[[#This Row],[id_solicitud]],Tabla2[[#This Row],[tipo]])</f>
        <v>41Oficio_Solicitud</v>
      </c>
      <c r="B1512" s="45">
        <f>COUNTIF($A$2:A1512,A1512)</f>
        <v>1</v>
      </c>
      <c r="C1512" s="45" t="str">
        <f>Tabla2[[#This Row],[(id_solicitud-tipo_documento)]]&amp;B1512</f>
        <v>41Oficio_Solicitud1</v>
      </c>
      <c r="D1512" s="45">
        <v>1521</v>
      </c>
      <c r="E1512" s="45">
        <v>41</v>
      </c>
      <c r="F1512" s="45" t="s">
        <v>53</v>
      </c>
      <c r="G1512" s="45" t="s">
        <v>43</v>
      </c>
      <c r="H1512" s="50" t="s">
        <v>6</v>
      </c>
      <c r="I1512" s="51">
        <v>48</v>
      </c>
      <c r="J1512" s="80" t="s">
        <v>1241</v>
      </c>
      <c r="K151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48 APRcorreo</v>
      </c>
      <c r="L1512" s="48">
        <v>44568</v>
      </c>
      <c r="M1512" s="48">
        <v>44571</v>
      </c>
      <c r="N1512" s="49" t="s">
        <v>103</v>
      </c>
      <c r="O1512" s="45">
        <v>31</v>
      </c>
      <c r="P1512" s="80" t="s">
        <v>494</v>
      </c>
      <c r="Q1512" s="48">
        <v>44592</v>
      </c>
      <c r="R1512" s="45"/>
      <c r="S1512" s="114"/>
      <c r="T1512" s="52"/>
      <c r="U1512" s="48"/>
      <c r="V1512" s="48"/>
      <c r="W1512" s="27"/>
    </row>
    <row r="1513" spans="1:23" ht="60" hidden="1" customHeight="1" x14ac:dyDescent="0.25">
      <c r="A1513" s="45" t="str">
        <f>CONCATENATE(Tabla2[[#This Row],[id_solicitud]],Tabla2[[#This Row],[tipo]])</f>
        <v>241Oficio_Solicitud</v>
      </c>
      <c r="B1513" s="45">
        <f>COUNTIF($A$2:A1513,A1513)</f>
        <v>1</v>
      </c>
      <c r="C1513" s="45" t="str">
        <f>Tabla2[[#This Row],[(id_solicitud-tipo_documento)]]&amp;B1513</f>
        <v>241Oficio_Solicitud1</v>
      </c>
      <c r="D1513" s="45">
        <v>1522</v>
      </c>
      <c r="E1513" s="45">
        <v>241</v>
      </c>
      <c r="F1513" s="45" t="s">
        <v>53</v>
      </c>
      <c r="G1513" s="45" t="s">
        <v>60</v>
      </c>
      <c r="H1513" s="50" t="s">
        <v>16</v>
      </c>
      <c r="I1513" s="51">
        <v>525</v>
      </c>
      <c r="J1513" s="80" t="s">
        <v>1241</v>
      </c>
      <c r="K151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525 DGCcorreo</v>
      </c>
      <c r="L1513" s="48">
        <v>44708</v>
      </c>
      <c r="M1513" s="48">
        <v>44711</v>
      </c>
      <c r="N1513" s="49" t="s">
        <v>269</v>
      </c>
      <c r="O1513" s="45">
        <v>21</v>
      </c>
      <c r="P1513" s="80" t="s">
        <v>494</v>
      </c>
      <c r="Q1513" s="48">
        <v>44725</v>
      </c>
      <c r="R1513" s="45"/>
      <c r="S1513" s="114"/>
      <c r="T1513" s="52"/>
      <c r="U1513" s="48"/>
      <c r="V1513" s="48"/>
      <c r="W1513" s="27"/>
    </row>
    <row r="1514" spans="1:23" ht="60" hidden="1" customHeight="1" x14ac:dyDescent="0.25">
      <c r="A1514" s="45" t="str">
        <f>CONCATENATE(Tabla2[[#This Row],[id_solicitud]],Tabla2[[#This Row],[tipo]])</f>
        <v>388Proposicion</v>
      </c>
      <c r="B1514" s="45">
        <f>COUNTIF($A$2:A1514,A1514)</f>
        <v>1</v>
      </c>
      <c r="C1514" s="45" t="str">
        <f>Tabla2[[#This Row],[(id_solicitud-tipo_documento)]]&amp;B1514</f>
        <v>388Proposicion1</v>
      </c>
      <c r="D1514" s="45">
        <v>1523</v>
      </c>
      <c r="E1514" s="45">
        <v>388</v>
      </c>
      <c r="F1514" s="45" t="s">
        <v>46</v>
      </c>
      <c r="G1514" s="45" t="s">
        <v>40</v>
      </c>
      <c r="H1514" s="50" t="s">
        <v>599</v>
      </c>
      <c r="I1514" s="51">
        <v>518</v>
      </c>
      <c r="J1514" s="80"/>
      <c r="K151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518 SOP-DGOP-DOH</v>
      </c>
      <c r="L1514" s="48">
        <v>44777</v>
      </c>
      <c r="M1514" s="48">
        <v>44778</v>
      </c>
      <c r="N1514" s="49" t="s">
        <v>385</v>
      </c>
      <c r="O1514" s="45"/>
      <c r="P1514" s="80" t="s">
        <v>498</v>
      </c>
      <c r="Q1514" s="24"/>
      <c r="R1514" s="24" t="s">
        <v>24</v>
      </c>
      <c r="S1514" s="114"/>
      <c r="T1514" s="52"/>
      <c r="U1514" s="48"/>
      <c r="V1514" s="48"/>
      <c r="W1514" s="27"/>
    </row>
    <row r="1515" spans="1:23" ht="60" hidden="1" customHeight="1" x14ac:dyDescent="0.25">
      <c r="A1515" s="45" t="str">
        <f>CONCATENATE(Tabla2[[#This Row],[id_solicitud]],Tabla2[[#This Row],[tipo]])</f>
        <v>388Proposicion</v>
      </c>
      <c r="B1515" s="45">
        <f>COUNTIF($A$2:A1515,A1515)</f>
        <v>2</v>
      </c>
      <c r="C1515" s="45" t="str">
        <f>Tabla2[[#This Row],[(id_solicitud-tipo_documento)]]&amp;B1515</f>
        <v>388Proposicion2</v>
      </c>
      <c r="D1515" s="45">
        <v>1524</v>
      </c>
      <c r="E1515" s="45">
        <v>388</v>
      </c>
      <c r="F1515" s="45" t="s">
        <v>46</v>
      </c>
      <c r="G1515" s="45" t="s">
        <v>40</v>
      </c>
      <c r="H1515" s="50" t="s">
        <v>599</v>
      </c>
      <c r="I1515" s="51">
        <v>519</v>
      </c>
      <c r="J1515" s="80"/>
      <c r="K151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519 SOP-DGOP-DOH</v>
      </c>
      <c r="L1515" s="48">
        <v>44777</v>
      </c>
      <c r="M1515" s="48">
        <v>44778</v>
      </c>
      <c r="N1515" s="49" t="s">
        <v>385</v>
      </c>
      <c r="O1515" s="45"/>
      <c r="P1515" s="80" t="s">
        <v>494</v>
      </c>
      <c r="Q1515" s="24"/>
      <c r="R1515" s="24" t="s">
        <v>24</v>
      </c>
      <c r="S1515" s="114"/>
      <c r="T1515" s="45"/>
      <c r="U1515" s="48"/>
      <c r="V1515" s="48"/>
      <c r="W1515" s="27"/>
    </row>
    <row r="1516" spans="1:23" ht="60" hidden="1" customHeight="1" x14ac:dyDescent="0.25">
      <c r="A1516" s="45" t="str">
        <f>CONCATENATE(Tabla2[[#This Row],[id_solicitud]],Tabla2[[#This Row],[tipo]])</f>
        <v>28Oficio_Solicitud</v>
      </c>
      <c r="B1516" s="45">
        <f>COUNTIF($A$2:A1516,A1516)</f>
        <v>1</v>
      </c>
      <c r="C1516" s="45" t="str">
        <f>Tabla2[[#This Row],[(id_solicitud-tipo_documento)]]&amp;B1516</f>
        <v>28Oficio_Solicitud1</v>
      </c>
      <c r="D1516" s="45">
        <v>1525</v>
      </c>
      <c r="E1516" s="45">
        <v>28</v>
      </c>
      <c r="F1516" s="45" t="s">
        <v>53</v>
      </c>
      <c r="G1516" s="45" t="s">
        <v>43</v>
      </c>
      <c r="H1516" s="50" t="s">
        <v>18</v>
      </c>
      <c r="I1516" s="51">
        <v>545</v>
      </c>
      <c r="J1516" s="80"/>
      <c r="K151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545 DGOP</v>
      </c>
      <c r="L1516" s="48">
        <v>44540</v>
      </c>
      <c r="M1516" s="48">
        <v>44543</v>
      </c>
      <c r="N1516" s="49"/>
      <c r="O1516" s="45"/>
      <c r="P1516" s="80" t="s">
        <v>494</v>
      </c>
      <c r="Q1516" s="21"/>
      <c r="R1516" s="22"/>
      <c r="S1516" s="114"/>
      <c r="T1516" s="45"/>
      <c r="U1516" s="48"/>
      <c r="V1516" s="48"/>
      <c r="W1516" s="27"/>
    </row>
    <row r="1517" spans="1:23" ht="60" hidden="1" customHeight="1" x14ac:dyDescent="0.25">
      <c r="A1517" s="45" t="str">
        <f>CONCATENATE(Tabla2[[#This Row],[id_solicitud]],Tabla2[[#This Row],[tipo]])</f>
        <v>28Oficio_Solicitud</v>
      </c>
      <c r="B1517" s="45">
        <f>COUNTIF($A$2:A1517,A1517)</f>
        <v>2</v>
      </c>
      <c r="C1517" s="45" t="str">
        <f>Tabla2[[#This Row],[(id_solicitud-tipo_documento)]]&amp;B1517</f>
        <v>28Oficio_Solicitud2</v>
      </c>
      <c r="D1517" s="45">
        <v>1526</v>
      </c>
      <c r="E1517" s="45">
        <v>28</v>
      </c>
      <c r="F1517" s="45" t="s">
        <v>53</v>
      </c>
      <c r="G1517" s="45" t="s">
        <v>43</v>
      </c>
      <c r="H1517" s="50" t="s">
        <v>18</v>
      </c>
      <c r="I1517" s="51">
        <v>529</v>
      </c>
      <c r="J1517" s="80"/>
      <c r="K151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529 DGOP</v>
      </c>
      <c r="L1517" s="48">
        <v>44540</v>
      </c>
      <c r="M1517" s="48">
        <v>44543</v>
      </c>
      <c r="N1517" s="49"/>
      <c r="O1517" s="45"/>
      <c r="P1517" s="80" t="s">
        <v>494</v>
      </c>
      <c r="Q1517" s="48"/>
      <c r="R1517" s="45"/>
      <c r="S1517" s="114"/>
      <c r="T1517" s="52"/>
      <c r="U1517" s="48"/>
      <c r="V1517" s="48"/>
      <c r="W1517" s="27"/>
    </row>
    <row r="1518" spans="1:23" ht="60" hidden="1" customHeight="1" x14ac:dyDescent="0.25">
      <c r="A1518" s="45" t="str">
        <f>CONCATENATE(Tabla2[[#This Row],[id_solicitud]],Tabla2[[#This Row],[tipo]])</f>
        <v>106Oficio_Solicitud</v>
      </c>
      <c r="B1518" s="45">
        <f>COUNTIF($A$2:A1518,A1518)</f>
        <v>1</v>
      </c>
      <c r="C1518" s="45" t="str">
        <f>Tabla2[[#This Row],[(id_solicitud-tipo_documento)]]&amp;B1518</f>
        <v>106Oficio_Solicitud1</v>
      </c>
      <c r="D1518" s="45">
        <v>1527</v>
      </c>
      <c r="E1518" s="45">
        <v>106</v>
      </c>
      <c r="F1518" s="45" t="s">
        <v>53</v>
      </c>
      <c r="G1518" s="45" t="s">
        <v>60</v>
      </c>
      <c r="H1518" s="50" t="s">
        <v>20</v>
      </c>
      <c r="I1518" s="51">
        <v>575</v>
      </c>
      <c r="J1518" s="80" t="s">
        <v>1241</v>
      </c>
      <c r="K151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575 DOHcorreo</v>
      </c>
      <c r="L1518" s="48">
        <v>44630</v>
      </c>
      <c r="M1518" s="48">
        <v>44631</v>
      </c>
      <c r="N1518" s="49" t="s">
        <v>155</v>
      </c>
      <c r="O1518" s="45">
        <v>1</v>
      </c>
      <c r="P1518" s="80" t="s">
        <v>494</v>
      </c>
      <c r="Q1518" s="48">
        <v>44656</v>
      </c>
      <c r="R1518" s="45"/>
      <c r="S1518" s="114"/>
      <c r="T1518" s="52"/>
      <c r="U1518" s="48"/>
      <c r="V1518" s="48"/>
      <c r="W1518" s="27"/>
    </row>
    <row r="1519" spans="1:23" ht="60" hidden="1" customHeight="1" x14ac:dyDescent="0.25">
      <c r="A1519" s="45" t="str">
        <f>CONCATENATE(Tabla2[[#This Row],[id_solicitud]],Tabla2[[#This Row],[tipo]])</f>
        <v>365Proposicion</v>
      </c>
      <c r="B1519" s="45">
        <f>COUNTIF($A$2:A1519,A1519)</f>
        <v>1</v>
      </c>
      <c r="C1519" s="45" t="str">
        <f>Tabla2[[#This Row],[(id_solicitud-tipo_documento)]]&amp;B1519</f>
        <v>365Proposicion1</v>
      </c>
      <c r="D1519" s="45">
        <v>1528</v>
      </c>
      <c r="E1519" s="45">
        <v>365</v>
      </c>
      <c r="F1519" s="45" t="s">
        <v>46</v>
      </c>
      <c r="G1519" s="45" t="s">
        <v>44</v>
      </c>
      <c r="H1519" s="50" t="s">
        <v>16</v>
      </c>
      <c r="I1519" s="51">
        <v>533</v>
      </c>
      <c r="J1519" s="80" t="s">
        <v>1242</v>
      </c>
      <c r="K151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533 DGCb</v>
      </c>
      <c r="L1519" s="48">
        <v>44789</v>
      </c>
      <c r="M1519" s="48">
        <v>44790</v>
      </c>
      <c r="N1519" s="49" t="s">
        <v>368</v>
      </c>
      <c r="O1519" s="45"/>
      <c r="P1519" s="80" t="s">
        <v>497</v>
      </c>
      <c r="Q1519" s="24"/>
      <c r="R1519" s="24" t="s">
        <v>12</v>
      </c>
      <c r="S1519" s="114"/>
      <c r="T1519" s="45"/>
      <c r="U1519" s="48"/>
      <c r="V1519" s="48"/>
      <c r="W1519" s="27"/>
    </row>
    <row r="1520" spans="1:23" ht="60" hidden="1" customHeight="1" x14ac:dyDescent="0.25">
      <c r="A1520" s="45" t="str">
        <f>CONCATENATE(Tabla2[[#This Row],[id_solicitud]],Tabla2[[#This Row],[tipo]])</f>
        <v>431Proposicion</v>
      </c>
      <c r="B1520" s="45">
        <f>COUNTIF($A$2:A1520,A1520)</f>
        <v>1</v>
      </c>
      <c r="C1520" s="45" t="str">
        <f>Tabla2[[#This Row],[(id_solicitud-tipo_documento)]]&amp;B1520</f>
        <v>431Proposicion1</v>
      </c>
      <c r="D1520" s="45">
        <v>1529</v>
      </c>
      <c r="E1520" s="45">
        <v>431</v>
      </c>
      <c r="F1520" s="45" t="s">
        <v>46</v>
      </c>
      <c r="G1520" s="45" t="s">
        <v>65</v>
      </c>
      <c r="H1520" s="50" t="s">
        <v>602</v>
      </c>
      <c r="I1520" s="51">
        <v>537</v>
      </c>
      <c r="J1520" s="80"/>
      <c r="K152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537 DOH-DGOP-FISC</v>
      </c>
      <c r="L1520" s="48">
        <v>44785</v>
      </c>
      <c r="M1520" s="48">
        <v>44785</v>
      </c>
      <c r="N1520" s="49" t="s">
        <v>414</v>
      </c>
      <c r="O1520" s="45"/>
      <c r="P1520" s="80" t="s">
        <v>498</v>
      </c>
      <c r="Q1520" s="24"/>
      <c r="R1520" s="24" t="s">
        <v>24</v>
      </c>
      <c r="S1520" s="114"/>
      <c r="T1520" s="45"/>
      <c r="U1520" s="48"/>
      <c r="V1520" s="48"/>
      <c r="W1520" s="27"/>
    </row>
    <row r="1521" spans="1:23" ht="60" hidden="1" customHeight="1" x14ac:dyDescent="0.25">
      <c r="A1521" s="45" t="str">
        <f>CONCATENATE(Tabla2[[#This Row],[id_solicitud]],Tabla2[[#This Row],[tipo]])</f>
        <v>77Oficio_Solicitud</v>
      </c>
      <c r="B1521" s="45">
        <f>COUNTIF($A$2:A1521,A1521)</f>
        <v>1</v>
      </c>
      <c r="C1521" s="45" t="str">
        <f>Tabla2[[#This Row],[(id_solicitud-tipo_documento)]]&amp;B1521</f>
        <v>77Oficio_Solicitud1</v>
      </c>
      <c r="D1521" s="45">
        <v>1530</v>
      </c>
      <c r="E1521" s="45">
        <v>77</v>
      </c>
      <c r="F1521" s="45" t="s">
        <v>53</v>
      </c>
      <c r="G1521" s="45" t="s">
        <v>62</v>
      </c>
      <c r="H1521" s="50" t="s">
        <v>26</v>
      </c>
      <c r="I1521" s="51">
        <v>579</v>
      </c>
      <c r="J1521" s="80"/>
      <c r="K152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579 DV</v>
      </c>
      <c r="L1521" s="48">
        <v>44588</v>
      </c>
      <c r="M1521" s="48">
        <v>44588</v>
      </c>
      <c r="N1521" s="49" t="s">
        <v>119</v>
      </c>
      <c r="O1521" s="45">
        <v>1</v>
      </c>
      <c r="P1521" s="80" t="s">
        <v>494</v>
      </c>
      <c r="Q1521" s="48">
        <v>44594</v>
      </c>
      <c r="R1521" s="45"/>
      <c r="S1521" s="114"/>
      <c r="T1521" s="52"/>
      <c r="U1521" s="48"/>
      <c r="V1521" s="48"/>
      <c r="W1521" s="27"/>
    </row>
    <row r="1522" spans="1:23" ht="60" hidden="1" customHeight="1" x14ac:dyDescent="0.25">
      <c r="A1522" s="45" t="str">
        <f>CONCATENATE(Tabla2[[#This Row],[id_solicitud]],Tabla2[[#This Row],[tipo]])</f>
        <v>77Oficio_Solicitud</v>
      </c>
      <c r="B1522" s="45">
        <f>COUNTIF($A$2:A1522,A1522)</f>
        <v>2</v>
      </c>
      <c r="C1522" s="45" t="str">
        <f>Tabla2[[#This Row],[(id_solicitud-tipo_documento)]]&amp;B1522</f>
        <v>77Oficio_Solicitud2</v>
      </c>
      <c r="D1522" s="45">
        <v>1531</v>
      </c>
      <c r="E1522" s="45">
        <v>77</v>
      </c>
      <c r="F1522" s="45" t="s">
        <v>53</v>
      </c>
      <c r="G1522" s="45" t="s">
        <v>62</v>
      </c>
      <c r="H1522" s="50" t="s">
        <v>33</v>
      </c>
      <c r="I1522" s="51">
        <v>271</v>
      </c>
      <c r="J1522" s="80"/>
      <c r="K152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271 SISS</v>
      </c>
      <c r="L1522" s="48">
        <v>44588</v>
      </c>
      <c r="M1522" s="48">
        <v>44588</v>
      </c>
      <c r="N1522" s="49" t="s">
        <v>119</v>
      </c>
      <c r="O1522" s="45">
        <v>1</v>
      </c>
      <c r="P1522" s="80" t="s">
        <v>494</v>
      </c>
      <c r="Q1522" s="48">
        <v>44594</v>
      </c>
      <c r="R1522" s="45"/>
      <c r="S1522" s="114"/>
      <c r="T1522" s="52"/>
      <c r="U1522" s="48"/>
      <c r="V1522" s="48"/>
      <c r="W1522" s="27"/>
    </row>
    <row r="1523" spans="1:23" ht="60" hidden="1" customHeight="1" x14ac:dyDescent="0.25">
      <c r="A1523" s="45" t="str">
        <f>CONCATENATE(Tabla2[[#This Row],[id_solicitud]],Tabla2[[#This Row],[tipo]])</f>
        <v>256Oficio_Solicitud</v>
      </c>
      <c r="B1523" s="45">
        <f>COUNTIF($A$2:A1523,A1523)</f>
        <v>1</v>
      </c>
      <c r="C1523" s="45" t="str">
        <f>Tabla2[[#This Row],[(id_solicitud-tipo_documento)]]&amp;B1523</f>
        <v>256Oficio_Solicitud1</v>
      </c>
      <c r="D1523" s="45">
        <v>1532</v>
      </c>
      <c r="E1523" s="45">
        <v>256</v>
      </c>
      <c r="F1523" s="45" t="s">
        <v>53</v>
      </c>
      <c r="G1523" s="45" t="s">
        <v>60</v>
      </c>
      <c r="H1523" s="50" t="s">
        <v>8</v>
      </c>
      <c r="I1523" s="51">
        <v>583</v>
      </c>
      <c r="J1523" s="80" t="s">
        <v>1304</v>
      </c>
      <c r="K152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583 DA_01+correo</v>
      </c>
      <c r="L1523" s="48">
        <v>44706</v>
      </c>
      <c r="M1523" s="48">
        <v>44707</v>
      </c>
      <c r="N1523" s="49" t="s">
        <v>283</v>
      </c>
      <c r="O1523" s="45">
        <v>1</v>
      </c>
      <c r="P1523" s="80" t="s">
        <v>494</v>
      </c>
      <c r="Q1523" s="48">
        <v>44719</v>
      </c>
      <c r="R1523" s="45"/>
      <c r="S1523" s="114"/>
      <c r="T1523" s="52"/>
      <c r="U1523" s="48"/>
      <c r="V1523" s="48"/>
      <c r="W1523" s="27"/>
    </row>
    <row r="1524" spans="1:23" ht="60" hidden="1" customHeight="1" x14ac:dyDescent="0.25">
      <c r="A1524" s="45" t="str">
        <f>CONCATENATE(Tabla2[[#This Row],[id_solicitud]],Tabla2[[#This Row],[tipo]])</f>
        <v>432Proposicion</v>
      </c>
      <c r="B1524" s="45">
        <f>COUNTIF($A$2:A1524,A1524)</f>
        <v>1</v>
      </c>
      <c r="C1524" s="45" t="str">
        <f>Tabla2[[#This Row],[(id_solicitud-tipo_documento)]]&amp;B1524</f>
        <v>432Proposicion1</v>
      </c>
      <c r="D1524" s="45">
        <v>1533</v>
      </c>
      <c r="E1524" s="45">
        <v>432</v>
      </c>
      <c r="F1524" s="45" t="s">
        <v>46</v>
      </c>
      <c r="G1524" s="45" t="s">
        <v>60</v>
      </c>
      <c r="H1524" s="50" t="s">
        <v>26</v>
      </c>
      <c r="I1524" s="51">
        <v>583</v>
      </c>
      <c r="J1524" s="80"/>
      <c r="K152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583 DV</v>
      </c>
      <c r="L1524" s="48">
        <v>44799</v>
      </c>
      <c r="M1524" s="48">
        <v>44802</v>
      </c>
      <c r="N1524" s="49"/>
      <c r="O1524" s="45">
        <v>3</v>
      </c>
      <c r="P1524" s="80" t="s">
        <v>494</v>
      </c>
      <c r="Q1524" s="24"/>
      <c r="R1524" s="24" t="s">
        <v>24</v>
      </c>
      <c r="S1524" s="114"/>
      <c r="T1524" s="45"/>
      <c r="U1524" s="48"/>
      <c r="V1524" s="48"/>
      <c r="W1524" s="27"/>
    </row>
    <row r="1525" spans="1:23" ht="60" hidden="1" customHeight="1" x14ac:dyDescent="0.25">
      <c r="A1525" s="45" t="str">
        <f>CONCATENATE(Tabla2[[#This Row],[id_solicitud]],Tabla2[[#This Row],[tipo]])</f>
        <v>237Oficio_Solicitud</v>
      </c>
      <c r="B1525" s="45">
        <f>COUNTIF($A$2:A1525,A1525)</f>
        <v>1</v>
      </c>
      <c r="C1525" s="45" t="str">
        <f>Tabla2[[#This Row],[(id_solicitud-tipo_documento)]]&amp;B1525</f>
        <v>237Oficio_Solicitud1</v>
      </c>
      <c r="D1525" s="45">
        <v>1534</v>
      </c>
      <c r="E1525" s="45">
        <v>237</v>
      </c>
      <c r="F1525" s="45" t="s">
        <v>53</v>
      </c>
      <c r="G1525" s="45" t="s">
        <v>60</v>
      </c>
      <c r="H1525" s="50" t="s">
        <v>8</v>
      </c>
      <c r="I1525" s="51">
        <v>583</v>
      </c>
      <c r="J1525" s="80" t="s">
        <v>1243</v>
      </c>
      <c r="K152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583 DA_02,correo</v>
      </c>
      <c r="L1525" s="48">
        <v>44706</v>
      </c>
      <c r="M1525" s="48">
        <v>44707</v>
      </c>
      <c r="N1525" s="49" t="s">
        <v>265</v>
      </c>
      <c r="O1525" s="45">
        <v>6</v>
      </c>
      <c r="P1525" s="80" t="s">
        <v>494</v>
      </c>
      <c r="Q1525" s="48">
        <v>44721</v>
      </c>
      <c r="R1525" s="45"/>
      <c r="S1525" s="114"/>
      <c r="T1525" s="52"/>
      <c r="U1525" s="48"/>
      <c r="V1525" s="48"/>
      <c r="W1525" s="27"/>
    </row>
    <row r="1526" spans="1:23" ht="60" hidden="1" customHeight="1" x14ac:dyDescent="0.25">
      <c r="A1526" s="45" t="str">
        <f>CONCATENATE(Tabla2[[#This Row],[id_solicitud]],Tabla2[[#This Row],[tipo]])</f>
        <v>11Oficio_Solicitud</v>
      </c>
      <c r="B1526" s="45">
        <f>COUNTIF($A$2:A1526,A1526)</f>
        <v>1</v>
      </c>
      <c r="C1526" s="45" t="str">
        <f>Tabla2[[#This Row],[(id_solicitud-tipo_documento)]]&amp;B1526</f>
        <v>11Oficio_Solicitud1</v>
      </c>
      <c r="D1526" s="45">
        <v>1535</v>
      </c>
      <c r="E1526" s="45">
        <v>11</v>
      </c>
      <c r="F1526" s="45" t="s">
        <v>53</v>
      </c>
      <c r="G1526" s="45" t="s">
        <v>43</v>
      </c>
      <c r="H1526" s="50" t="s">
        <v>14</v>
      </c>
      <c r="I1526" s="51">
        <v>588</v>
      </c>
      <c r="J1526" s="80" t="s">
        <v>1241</v>
      </c>
      <c r="K152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588 DGAcorreo</v>
      </c>
      <c r="L1526" s="48">
        <v>44531</v>
      </c>
      <c r="M1526" s="48">
        <v>44536</v>
      </c>
      <c r="N1526" s="49" t="s">
        <v>79</v>
      </c>
      <c r="O1526" s="45">
        <v>6</v>
      </c>
      <c r="P1526" s="80" t="s">
        <v>494</v>
      </c>
      <c r="Q1526" s="48">
        <v>44547</v>
      </c>
      <c r="R1526" s="45"/>
      <c r="S1526" s="114"/>
      <c r="T1526" s="52"/>
      <c r="U1526" s="48"/>
      <c r="V1526" s="48"/>
      <c r="W1526" s="27"/>
    </row>
    <row r="1527" spans="1:23" ht="60" hidden="1" customHeight="1" x14ac:dyDescent="0.25">
      <c r="A1527" s="45" t="str">
        <f>CONCATENATE(Tabla2[[#This Row],[id_solicitud]],Tabla2[[#This Row],[tipo]])</f>
        <v>12Oficio_Solicitud</v>
      </c>
      <c r="B1527" s="45">
        <f>COUNTIF($A$2:A1527,A1527)</f>
        <v>1</v>
      </c>
      <c r="C1527" s="45" t="str">
        <f>Tabla2[[#This Row],[(id_solicitud-tipo_documento)]]&amp;B1527</f>
        <v>12Oficio_Solicitud1</v>
      </c>
      <c r="D1527" s="45">
        <v>1536</v>
      </c>
      <c r="E1527" s="45">
        <v>12</v>
      </c>
      <c r="F1527" s="45" t="s">
        <v>53</v>
      </c>
      <c r="G1527" s="45" t="s">
        <v>43</v>
      </c>
      <c r="H1527" s="50" t="s">
        <v>565</v>
      </c>
      <c r="I1527" s="51">
        <v>589</v>
      </c>
      <c r="J1527" s="80" t="s">
        <v>1241</v>
      </c>
      <c r="K152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589 DGA_FETCovid19correo</v>
      </c>
      <c r="L1527" s="48">
        <v>44531</v>
      </c>
      <c r="M1527" s="48">
        <v>44536</v>
      </c>
      <c r="N1527" s="49" t="s">
        <v>80</v>
      </c>
      <c r="O1527" s="45">
        <v>4</v>
      </c>
      <c r="P1527" s="80" t="s">
        <v>494</v>
      </c>
      <c r="Q1527" s="48">
        <v>44547</v>
      </c>
      <c r="R1527" s="45"/>
      <c r="S1527" s="114"/>
      <c r="T1527" s="52"/>
      <c r="U1527" s="48"/>
      <c r="V1527" s="48"/>
      <c r="W1527" s="27"/>
    </row>
    <row r="1528" spans="1:23" ht="60" hidden="1" customHeight="1" x14ac:dyDescent="0.25">
      <c r="A1528" s="45" t="str">
        <f>CONCATENATE(Tabla2[[#This Row],[id_solicitud]],Tabla2[[#This Row],[tipo]])</f>
        <v>70Oficio_Solicitud</v>
      </c>
      <c r="B1528" s="45">
        <f>COUNTIF($A$2:A1528,A1528)</f>
        <v>1</v>
      </c>
      <c r="C1528" s="45" t="str">
        <f>Tabla2[[#This Row],[(id_solicitud-tipo_documento)]]&amp;B1528</f>
        <v>70Oficio_Solicitud1</v>
      </c>
      <c r="D1528" s="45">
        <v>1537</v>
      </c>
      <c r="E1528" s="45">
        <v>70</v>
      </c>
      <c r="F1528" s="45" t="s">
        <v>53</v>
      </c>
      <c r="G1528" s="45" t="s">
        <v>43</v>
      </c>
      <c r="H1528" s="50" t="s">
        <v>544</v>
      </c>
      <c r="I1528" s="51">
        <v>653</v>
      </c>
      <c r="J1528" s="80"/>
      <c r="K152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653 DAP_FETCovid19</v>
      </c>
      <c r="L1528" s="48">
        <v>44889</v>
      </c>
      <c r="M1528" s="48">
        <v>44889</v>
      </c>
      <c r="N1528" s="49" t="s">
        <v>126</v>
      </c>
      <c r="O1528" s="45">
        <v>5</v>
      </c>
      <c r="P1528" s="80" t="s">
        <v>494</v>
      </c>
      <c r="Q1528" s="48"/>
      <c r="R1528" s="45"/>
      <c r="S1528" s="114"/>
      <c r="T1528" s="52"/>
      <c r="U1528" s="48"/>
      <c r="V1528" s="48"/>
      <c r="W1528" s="27"/>
    </row>
    <row r="1529" spans="1:23" ht="60" hidden="1" customHeight="1" x14ac:dyDescent="0.25">
      <c r="A1529" s="45" t="str">
        <f>CONCATENATE(Tabla2[[#This Row],[id_solicitud]],Tabla2[[#This Row],[tipo]])</f>
        <v>35Oficio_Solicitud</v>
      </c>
      <c r="B1529" s="45">
        <f>COUNTIF($A$2:A1529,A1529)</f>
        <v>1</v>
      </c>
      <c r="C1529" s="45" t="str">
        <f>Tabla2[[#This Row],[(id_solicitud-tipo_documento)]]&amp;B1529</f>
        <v>35Oficio_Solicitud1</v>
      </c>
      <c r="D1529" s="45">
        <v>1538</v>
      </c>
      <c r="E1529" s="45">
        <v>35</v>
      </c>
      <c r="F1529" s="45" t="s">
        <v>53</v>
      </c>
      <c r="G1529" s="45" t="s">
        <v>43</v>
      </c>
      <c r="H1529" s="50" t="s">
        <v>10</v>
      </c>
      <c r="I1529" s="51">
        <v>606</v>
      </c>
      <c r="J1529" s="80"/>
      <c r="K152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606 DAP</v>
      </c>
      <c r="L1529" s="48">
        <v>44531</v>
      </c>
      <c r="M1529" s="48">
        <v>44532</v>
      </c>
      <c r="N1529" s="49"/>
      <c r="O1529" s="45"/>
      <c r="P1529" s="80" t="s">
        <v>494</v>
      </c>
      <c r="Q1529" s="48"/>
      <c r="R1529" s="45"/>
      <c r="S1529" s="114"/>
      <c r="T1529" s="52"/>
      <c r="U1529" s="48"/>
      <c r="V1529" s="48"/>
      <c r="W1529" s="27"/>
    </row>
    <row r="1530" spans="1:23" ht="60" hidden="1" customHeight="1" x14ac:dyDescent="0.25">
      <c r="A1530" s="45" t="str">
        <f>CONCATENATE(Tabla2[[#This Row],[id_solicitud]],Tabla2[[#This Row],[tipo]])</f>
        <v>16Oficio_Solicitud</v>
      </c>
      <c r="B1530" s="45">
        <f>COUNTIF($A$2:A1530,A1530)</f>
        <v>1</v>
      </c>
      <c r="C1530" s="45" t="str">
        <f>Tabla2[[#This Row],[(id_solicitud-tipo_documento)]]&amp;B1530</f>
        <v>16Oficio_Solicitud1</v>
      </c>
      <c r="D1530" s="45">
        <v>1539</v>
      </c>
      <c r="E1530" s="45">
        <v>16</v>
      </c>
      <c r="F1530" s="45" t="s">
        <v>53</v>
      </c>
      <c r="G1530" s="45" t="s">
        <v>43</v>
      </c>
      <c r="H1530" s="50" t="s">
        <v>14</v>
      </c>
      <c r="I1530" s="51">
        <v>605</v>
      </c>
      <c r="J1530" s="80" t="s">
        <v>1241</v>
      </c>
      <c r="K153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605 DGAcorreo</v>
      </c>
      <c r="L1530" s="48">
        <v>44540</v>
      </c>
      <c r="M1530" s="48">
        <v>44540</v>
      </c>
      <c r="N1530" s="49" t="s">
        <v>84</v>
      </c>
      <c r="O1530" s="45">
        <v>15</v>
      </c>
      <c r="P1530" s="80" t="s">
        <v>494</v>
      </c>
      <c r="Q1530" s="48">
        <v>44554</v>
      </c>
      <c r="R1530" s="45"/>
      <c r="S1530" s="114"/>
      <c r="T1530" s="52"/>
      <c r="U1530" s="48"/>
      <c r="V1530" s="48"/>
      <c r="W1530" s="27"/>
    </row>
    <row r="1531" spans="1:23" ht="60" hidden="1" customHeight="1" x14ac:dyDescent="0.25">
      <c r="A1531" s="45" t="str">
        <f>CONCATENATE(Tabla2[[#This Row],[id_solicitud]],Tabla2[[#This Row],[tipo]])</f>
        <v>17Oficio_Solicitud</v>
      </c>
      <c r="B1531" s="45">
        <f>COUNTIF($A$2:A1531,A1531)</f>
        <v>1</v>
      </c>
      <c r="C1531" s="45" t="str">
        <f>Tabla2[[#This Row],[(id_solicitud-tipo_documento)]]&amp;B1531</f>
        <v>17Oficio_Solicitud1</v>
      </c>
      <c r="D1531" s="45">
        <v>1540</v>
      </c>
      <c r="E1531" s="45">
        <v>17</v>
      </c>
      <c r="F1531" s="45" t="s">
        <v>53</v>
      </c>
      <c r="G1531" s="45" t="s">
        <v>43</v>
      </c>
      <c r="H1531" s="50" t="s">
        <v>565</v>
      </c>
      <c r="I1531" s="51">
        <v>606</v>
      </c>
      <c r="J1531" s="80" t="s">
        <v>1241</v>
      </c>
      <c r="K153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606 DGA_FETCovid19correo</v>
      </c>
      <c r="L1531" s="48">
        <v>44540</v>
      </c>
      <c r="M1531" s="48">
        <v>44540</v>
      </c>
      <c r="N1531" s="49" t="s">
        <v>85</v>
      </c>
      <c r="O1531" s="45">
        <v>11</v>
      </c>
      <c r="P1531" s="80" t="s">
        <v>494</v>
      </c>
      <c r="Q1531" s="48">
        <v>44554</v>
      </c>
      <c r="R1531" s="45"/>
      <c r="S1531" s="114"/>
      <c r="T1531" s="52"/>
      <c r="U1531" s="48"/>
      <c r="V1531" s="48"/>
      <c r="W1531" s="27"/>
    </row>
    <row r="1532" spans="1:23" ht="60" hidden="1" customHeight="1" x14ac:dyDescent="0.25">
      <c r="A1532" s="45" t="str">
        <f>CONCATENATE(Tabla2[[#This Row],[id_solicitud]],Tabla2[[#This Row],[tipo]])</f>
        <v>34Oficio_Solicitud</v>
      </c>
      <c r="B1532" s="45">
        <f>COUNTIF($A$2:A1532,A1532)</f>
        <v>1</v>
      </c>
      <c r="C1532" s="45" t="str">
        <f>Tabla2[[#This Row],[(id_solicitud-tipo_documento)]]&amp;B1532</f>
        <v>34Oficio_Solicitud1</v>
      </c>
      <c r="D1532" s="45">
        <v>1541</v>
      </c>
      <c r="E1532" s="45">
        <v>34</v>
      </c>
      <c r="F1532" s="45" t="s">
        <v>53</v>
      </c>
      <c r="G1532" s="45" t="s">
        <v>43</v>
      </c>
      <c r="H1532" s="50" t="s">
        <v>24</v>
      </c>
      <c r="I1532" s="51">
        <v>72</v>
      </c>
      <c r="J1532" s="80"/>
      <c r="K153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72 DP</v>
      </c>
      <c r="L1532" s="48">
        <v>44540</v>
      </c>
      <c r="M1532" s="48">
        <v>44543</v>
      </c>
      <c r="N1532" s="49"/>
      <c r="O1532" s="45"/>
      <c r="P1532" s="80" t="s">
        <v>494</v>
      </c>
      <c r="Q1532" s="48"/>
      <c r="R1532" s="45"/>
      <c r="S1532" s="114"/>
      <c r="T1532" s="52"/>
      <c r="U1532" s="48"/>
      <c r="V1532" s="48"/>
      <c r="W1532" s="27"/>
    </row>
    <row r="1533" spans="1:23" ht="60" hidden="1" customHeight="1" x14ac:dyDescent="0.25">
      <c r="A1533" s="45" t="str">
        <f>CONCATENATE(Tabla2[[#This Row],[id_solicitud]],Tabla2[[#This Row],[tipo]])</f>
        <v>176Oficio_Solicitud</v>
      </c>
      <c r="B1533" s="45">
        <f>COUNTIF($A$2:A1533,A1533)</f>
        <v>1</v>
      </c>
      <c r="C1533" s="45" t="str">
        <f>Tabla2[[#This Row],[(id_solicitud-tipo_documento)]]&amp;B1533</f>
        <v>176Oficio_Solicitud1</v>
      </c>
      <c r="D1533" s="45">
        <v>1542</v>
      </c>
      <c r="E1533" s="45">
        <v>176</v>
      </c>
      <c r="F1533" s="45" t="s">
        <v>53</v>
      </c>
      <c r="G1533" s="45" t="s">
        <v>43</v>
      </c>
      <c r="H1533" s="50" t="s">
        <v>577</v>
      </c>
      <c r="I1533" s="51">
        <v>73</v>
      </c>
      <c r="J1533" s="80"/>
      <c r="K153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73 MOP-MOP_FETCovid19</v>
      </c>
      <c r="L1533" s="48">
        <v>44648</v>
      </c>
      <c r="M1533" s="48">
        <v>44648</v>
      </c>
      <c r="N1533" s="49"/>
      <c r="O1533" s="45"/>
      <c r="P1533" s="80" t="s">
        <v>505</v>
      </c>
      <c r="Q1533" s="48"/>
      <c r="R1533" s="45"/>
      <c r="S1533" s="114"/>
      <c r="T1533" s="52"/>
      <c r="U1533" s="48"/>
      <c r="V1533" s="48"/>
      <c r="W1533" s="27"/>
    </row>
    <row r="1534" spans="1:23" ht="60" hidden="1" customHeight="1" x14ac:dyDescent="0.25">
      <c r="A1534" s="45" t="str">
        <f>CONCATENATE(Tabla2[[#This Row],[id_solicitud]],Tabla2[[#This Row],[tipo]])</f>
        <v>257Oficio_Solicitud</v>
      </c>
      <c r="B1534" s="45">
        <f>COUNTIF($A$2:A1534,A1534)</f>
        <v>1</v>
      </c>
      <c r="C1534" s="45" t="str">
        <f>Tabla2[[#This Row],[(id_solicitud-tipo_documento)]]&amp;B1534</f>
        <v>257Oficio_Solicitud1</v>
      </c>
      <c r="D1534" s="45">
        <v>1543</v>
      </c>
      <c r="E1534" s="45">
        <v>257</v>
      </c>
      <c r="F1534" s="45" t="s">
        <v>53</v>
      </c>
      <c r="G1534" s="45" t="s">
        <v>43</v>
      </c>
      <c r="H1534" s="50" t="s">
        <v>574</v>
      </c>
      <c r="I1534" s="51">
        <v>73</v>
      </c>
      <c r="J1534" s="80"/>
      <c r="K153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73 MOP_FETCovid19</v>
      </c>
      <c r="L1534" s="48">
        <v>44648</v>
      </c>
      <c r="M1534" s="48">
        <v>44648</v>
      </c>
      <c r="N1534" s="49"/>
      <c r="O1534" s="45"/>
      <c r="P1534" s="80" t="s">
        <v>505</v>
      </c>
      <c r="Q1534" s="48"/>
      <c r="R1534" s="45"/>
      <c r="S1534" s="114"/>
      <c r="T1534" s="52"/>
      <c r="U1534" s="48"/>
      <c r="V1534" s="48"/>
      <c r="W1534" s="27"/>
    </row>
    <row r="1535" spans="1:23" ht="60" hidden="1" customHeight="1" x14ac:dyDescent="0.25">
      <c r="A1535" s="45" t="str">
        <f>CONCATENATE(Tabla2[[#This Row],[id_solicitud]],Tabla2[[#This Row],[tipo]])</f>
        <v>432Oficio_Solicitud</v>
      </c>
      <c r="B1535" s="45">
        <f>COUNTIF($A$2:A1535,A1535)</f>
        <v>1</v>
      </c>
      <c r="C1535" s="45" t="str">
        <f>Tabla2[[#This Row],[(id_solicitud-tipo_documento)]]&amp;B1535</f>
        <v>432Oficio_Solicitud1</v>
      </c>
      <c r="D1535" s="45">
        <v>1544</v>
      </c>
      <c r="E1535" s="45">
        <v>432</v>
      </c>
      <c r="F1535" s="45" t="s">
        <v>53</v>
      </c>
      <c r="G1535" s="45" t="s">
        <v>60</v>
      </c>
      <c r="H1535" s="50" t="s">
        <v>26</v>
      </c>
      <c r="I1535" s="51">
        <v>7868</v>
      </c>
      <c r="J1535" s="80"/>
      <c r="K153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7868 DV</v>
      </c>
      <c r="L1535" s="48">
        <v>44783</v>
      </c>
      <c r="M1535" s="48">
        <v>44784</v>
      </c>
      <c r="N1535" s="49" t="s">
        <v>360</v>
      </c>
      <c r="O1535" s="45">
        <v>3</v>
      </c>
      <c r="P1535" s="80" t="s">
        <v>494</v>
      </c>
      <c r="Q1535" s="48"/>
      <c r="R1535" s="45"/>
      <c r="S1535" s="114"/>
      <c r="T1535" s="52"/>
      <c r="U1535" s="48"/>
      <c r="V1535" s="48"/>
      <c r="W1535" s="27"/>
    </row>
    <row r="1536" spans="1:23" ht="60" hidden="1" customHeight="1" x14ac:dyDescent="0.25">
      <c r="A1536" s="45" t="str">
        <f>CONCATENATE(Tabla2[[#This Row],[id_solicitud]],Tabla2[[#This Row],[tipo]])</f>
        <v>145Oficio_Solicitud</v>
      </c>
      <c r="B1536" s="45">
        <f>COUNTIF($A$2:A1536,A1536)</f>
        <v>1</v>
      </c>
      <c r="C1536" s="45" t="str">
        <f>Tabla2[[#This Row],[(id_solicitud-tipo_documento)]]&amp;B1536</f>
        <v>145Oficio_Solicitud1</v>
      </c>
      <c r="D1536" s="45">
        <v>1545</v>
      </c>
      <c r="E1536" s="45">
        <v>145</v>
      </c>
      <c r="F1536" s="45" t="s">
        <v>53</v>
      </c>
      <c r="G1536" s="45" t="s">
        <v>60</v>
      </c>
      <c r="H1536" s="50" t="s">
        <v>6</v>
      </c>
      <c r="I1536" s="51">
        <v>777</v>
      </c>
      <c r="J1536" s="80" t="s">
        <v>1241</v>
      </c>
      <c r="K153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777 APRcorreo</v>
      </c>
      <c r="L1536" s="48">
        <v>44651</v>
      </c>
      <c r="M1536" s="48">
        <v>44652</v>
      </c>
      <c r="N1536" s="49" t="s">
        <v>188</v>
      </c>
      <c r="O1536" s="45">
        <v>14</v>
      </c>
      <c r="P1536" s="80" t="s">
        <v>494</v>
      </c>
      <c r="Q1536" s="48">
        <v>44663</v>
      </c>
      <c r="R1536" s="45"/>
      <c r="S1536" s="114"/>
      <c r="T1536" s="52"/>
      <c r="U1536" s="48"/>
      <c r="V1536" s="48"/>
      <c r="W1536" s="27"/>
    </row>
    <row r="1537" spans="1:23" ht="60" hidden="1" customHeight="1" x14ac:dyDescent="0.25">
      <c r="A1537" s="45" t="str">
        <f>CONCATENATE(Tabla2[[#This Row],[id_solicitud]],Tabla2[[#This Row],[tipo]])</f>
        <v>379Oficio_Solicitud</v>
      </c>
      <c r="B1537" s="45">
        <f>COUNTIF($A$2:A1537,A1537)</f>
        <v>1</v>
      </c>
      <c r="C1537" s="45" t="str">
        <f>Tabla2[[#This Row],[(id_solicitud-tipo_documento)]]&amp;B1537</f>
        <v>379Oficio_Solicitud1</v>
      </c>
      <c r="D1537" s="45">
        <v>1546</v>
      </c>
      <c r="E1537" s="45">
        <v>379</v>
      </c>
      <c r="F1537" s="45" t="s">
        <v>53</v>
      </c>
      <c r="G1537" s="45" t="s">
        <v>60</v>
      </c>
      <c r="H1537" s="50" t="s">
        <v>562</v>
      </c>
      <c r="I1537" s="51">
        <v>792</v>
      </c>
      <c r="J1537" s="80" t="s">
        <v>1244</v>
      </c>
      <c r="K153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792 DGC_FETCovid19memo278</v>
      </c>
      <c r="L1537" s="48">
        <v>44791</v>
      </c>
      <c r="M1537" s="48">
        <v>44792</v>
      </c>
      <c r="N1537" s="49" t="s">
        <v>376</v>
      </c>
      <c r="O1537" s="45">
        <v>2</v>
      </c>
      <c r="P1537" s="80" t="s">
        <v>494</v>
      </c>
      <c r="Q1537" s="48">
        <v>44824</v>
      </c>
      <c r="R1537" s="45"/>
      <c r="S1537" s="114"/>
      <c r="T1537" s="52"/>
      <c r="U1537" s="48"/>
      <c r="V1537" s="48"/>
      <c r="W1537" s="27"/>
    </row>
    <row r="1538" spans="1:23" ht="60" hidden="1" customHeight="1" x14ac:dyDescent="0.25">
      <c r="A1538" s="45" t="str">
        <f>CONCATENATE(Tabla2[[#This Row],[id_solicitud]],Tabla2[[#This Row],[tipo]])</f>
        <v>195Oficio_Solicitud</v>
      </c>
      <c r="B1538" s="45">
        <f>COUNTIF($A$2:A1538,A1538)</f>
        <v>1</v>
      </c>
      <c r="C1538" s="45" t="str">
        <f>Tabla2[[#This Row],[(id_solicitud-tipo_documento)]]&amp;B1538</f>
        <v>195Oficio_Solicitud1</v>
      </c>
      <c r="D1538" s="45">
        <v>1547</v>
      </c>
      <c r="E1538" s="45">
        <v>195</v>
      </c>
      <c r="F1538" s="45" t="s">
        <v>53</v>
      </c>
      <c r="G1538" s="45" t="s">
        <v>40</v>
      </c>
      <c r="H1538" s="50" t="s">
        <v>26</v>
      </c>
      <c r="I1538" s="51">
        <v>870</v>
      </c>
      <c r="J1538" s="80"/>
      <c r="K153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870 DV</v>
      </c>
      <c r="L1538" s="48">
        <v>44610</v>
      </c>
      <c r="M1538" s="48">
        <v>44613</v>
      </c>
      <c r="N1538" s="49" t="s">
        <v>140</v>
      </c>
      <c r="O1538" s="45"/>
      <c r="P1538" s="80" t="s">
        <v>501</v>
      </c>
      <c r="Q1538" s="48"/>
      <c r="R1538" s="45"/>
      <c r="S1538" s="114"/>
      <c r="T1538" s="52"/>
      <c r="U1538" s="48"/>
      <c r="V1538" s="48"/>
      <c r="W1538" s="27"/>
    </row>
    <row r="1539" spans="1:23" ht="60" hidden="1" customHeight="1" x14ac:dyDescent="0.25">
      <c r="A1539" s="45" t="str">
        <f>CONCATENATE(Tabla2[[#This Row],[id_solicitud]],Tabla2[[#This Row],[tipo]])</f>
        <v>35Proposicion</v>
      </c>
      <c r="B1539" s="45">
        <f>COUNTIF($A$2:A1539,A1539)</f>
        <v>1</v>
      </c>
      <c r="C1539" s="45" t="str">
        <f>Tabla2[[#This Row],[(id_solicitud-tipo_documento)]]&amp;B1539</f>
        <v>35Proposicion1</v>
      </c>
      <c r="D1539" s="45">
        <v>1548</v>
      </c>
      <c r="E1539" s="45">
        <v>35</v>
      </c>
      <c r="F1539" s="45" t="s">
        <v>46</v>
      </c>
      <c r="G1539" s="45" t="s">
        <v>43</v>
      </c>
      <c r="H1539" s="50" t="s">
        <v>10</v>
      </c>
      <c r="I1539" s="51">
        <v>803</v>
      </c>
      <c r="J1539" s="80"/>
      <c r="K153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803 DAP</v>
      </c>
      <c r="L1539" s="48">
        <v>44539</v>
      </c>
      <c r="M1539" s="48">
        <v>44539</v>
      </c>
      <c r="N1539" s="49"/>
      <c r="O1539" s="45"/>
      <c r="P1539" s="80" t="s">
        <v>494</v>
      </c>
      <c r="Q1539" s="24"/>
      <c r="R1539" s="24" t="s">
        <v>24</v>
      </c>
      <c r="S1539" s="114"/>
      <c r="T1539" s="45"/>
      <c r="U1539" s="48"/>
      <c r="V1539" s="48"/>
      <c r="W1539" s="27"/>
    </row>
    <row r="1540" spans="1:23" ht="60" hidden="1" customHeight="1" x14ac:dyDescent="0.25">
      <c r="A1540" s="45" t="str">
        <f>CONCATENATE(Tabla2[[#This Row],[id_solicitud]],Tabla2[[#This Row],[tipo]])</f>
        <v>34Proposicion</v>
      </c>
      <c r="B1540" s="45">
        <f>COUNTIF($A$2:A1540,A1540)</f>
        <v>1</v>
      </c>
      <c r="C1540" s="45" t="str">
        <f>Tabla2[[#This Row],[(id_solicitud-tipo_documento)]]&amp;B1540</f>
        <v>34Proposicion1</v>
      </c>
      <c r="D1540" s="45">
        <v>1549</v>
      </c>
      <c r="E1540" s="45">
        <v>34</v>
      </c>
      <c r="F1540" s="45" t="s">
        <v>46</v>
      </c>
      <c r="G1540" s="45" t="s">
        <v>43</v>
      </c>
      <c r="H1540" s="50" t="s">
        <v>24</v>
      </c>
      <c r="I1540" s="51">
        <v>804</v>
      </c>
      <c r="J1540" s="80"/>
      <c r="K154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804 DP</v>
      </c>
      <c r="L1540" s="48">
        <v>44545</v>
      </c>
      <c r="M1540" s="48">
        <v>44545</v>
      </c>
      <c r="N1540" s="49"/>
      <c r="O1540" s="45"/>
      <c r="P1540" s="80" t="s">
        <v>494</v>
      </c>
      <c r="Q1540" s="24"/>
      <c r="R1540" s="24" t="s">
        <v>24</v>
      </c>
      <c r="S1540" s="114"/>
      <c r="T1540" s="45"/>
      <c r="U1540" s="48"/>
      <c r="V1540" s="48"/>
      <c r="W1540" s="27"/>
    </row>
    <row r="1541" spans="1:23" ht="60" hidden="1" customHeight="1" x14ac:dyDescent="0.25">
      <c r="A1541" s="45" t="str">
        <f>CONCATENATE(Tabla2[[#This Row],[id_solicitud]],Tabla2[[#This Row],[tipo]])</f>
        <v>28Proposicion</v>
      </c>
      <c r="B1541" s="45">
        <f>COUNTIF($A$2:A1541,A1541)</f>
        <v>1</v>
      </c>
      <c r="C1541" s="45" t="str">
        <f>Tabla2[[#This Row],[(id_solicitud-tipo_documento)]]&amp;B1541</f>
        <v>28Proposicion1</v>
      </c>
      <c r="D1541" s="45">
        <v>1550</v>
      </c>
      <c r="E1541" s="45">
        <v>28</v>
      </c>
      <c r="F1541" s="45" t="s">
        <v>46</v>
      </c>
      <c r="G1541" s="45" t="s">
        <v>43</v>
      </c>
      <c r="H1541" s="50" t="s">
        <v>18</v>
      </c>
      <c r="I1541" s="51">
        <v>805</v>
      </c>
      <c r="J1541" s="80"/>
      <c r="K154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805 DGOP</v>
      </c>
      <c r="L1541" s="48">
        <v>44546</v>
      </c>
      <c r="M1541" s="48">
        <v>44546</v>
      </c>
      <c r="N1541" s="49" t="s">
        <v>615</v>
      </c>
      <c r="O1541" s="45"/>
      <c r="P1541" s="80" t="s">
        <v>494</v>
      </c>
      <c r="Q1541" s="24"/>
      <c r="R1541" s="24" t="s">
        <v>24</v>
      </c>
      <c r="S1541" s="114"/>
      <c r="T1541" s="45"/>
      <c r="U1541" s="48"/>
      <c r="V1541" s="48"/>
      <c r="W1541" s="27"/>
    </row>
    <row r="1542" spans="1:23" ht="60" hidden="1" customHeight="1" x14ac:dyDescent="0.25">
      <c r="A1542" s="45" t="str">
        <f>CONCATENATE(Tabla2[[#This Row],[id_solicitud]],Tabla2[[#This Row],[tipo]])</f>
        <v>70Proposicion</v>
      </c>
      <c r="B1542" s="45">
        <f>COUNTIF($A$2:A1542,A1542)</f>
        <v>1</v>
      </c>
      <c r="C1542" s="45" t="str">
        <f>Tabla2[[#This Row],[(id_solicitud-tipo_documento)]]&amp;B1542</f>
        <v>70Proposicion1</v>
      </c>
      <c r="D1542" s="45">
        <v>1551</v>
      </c>
      <c r="E1542" s="45">
        <v>70</v>
      </c>
      <c r="F1542" s="45" t="s">
        <v>46</v>
      </c>
      <c r="G1542" s="45" t="s">
        <v>43</v>
      </c>
      <c r="H1542" s="50" t="s">
        <v>544</v>
      </c>
      <c r="I1542" s="51">
        <v>807</v>
      </c>
      <c r="J1542" s="80"/>
      <c r="K154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807 DAP_FETCovid19</v>
      </c>
      <c r="L1542" s="48">
        <v>44539</v>
      </c>
      <c r="M1542" s="48">
        <v>44539</v>
      </c>
      <c r="N1542" s="49" t="s">
        <v>126</v>
      </c>
      <c r="O1542" s="45">
        <v>5</v>
      </c>
      <c r="P1542" s="80" t="s">
        <v>494</v>
      </c>
      <c r="Q1542" s="24"/>
      <c r="R1542" s="24" t="s">
        <v>24</v>
      </c>
      <c r="S1542" s="114"/>
      <c r="T1542" s="45"/>
      <c r="U1542" s="48"/>
      <c r="V1542" s="48"/>
      <c r="W1542" s="27"/>
    </row>
    <row r="1543" spans="1:23" ht="60" hidden="1" customHeight="1" x14ac:dyDescent="0.25">
      <c r="A1543" s="45" t="str">
        <f>CONCATENATE(Tabla2[[#This Row],[id_solicitud]],Tabla2[[#This Row],[tipo]])</f>
        <v>195Proposicion</v>
      </c>
      <c r="B1543" s="45">
        <f>COUNTIF($A$2:A1543,A1543)</f>
        <v>1</v>
      </c>
      <c r="C1543" s="45" t="str">
        <f>Tabla2[[#This Row],[(id_solicitud-tipo_documento)]]&amp;B1543</f>
        <v>195Proposicion1</v>
      </c>
      <c r="D1543" s="45">
        <v>1552</v>
      </c>
      <c r="E1543" s="45">
        <v>195</v>
      </c>
      <c r="F1543" s="45" t="s">
        <v>46</v>
      </c>
      <c r="G1543" s="45" t="s">
        <v>40</v>
      </c>
      <c r="H1543" s="50" t="s">
        <v>26</v>
      </c>
      <c r="I1543" s="51">
        <v>83</v>
      </c>
      <c r="J1543" s="80"/>
      <c r="K154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83 DV</v>
      </c>
      <c r="L1543" s="48">
        <v>44627</v>
      </c>
      <c r="M1543" s="48">
        <v>44628</v>
      </c>
      <c r="N1543" s="49" t="s">
        <v>635</v>
      </c>
      <c r="O1543" s="45"/>
      <c r="P1543" s="80" t="s">
        <v>501</v>
      </c>
      <c r="Q1543" s="24"/>
      <c r="R1543" s="24" t="s">
        <v>24</v>
      </c>
      <c r="S1543" s="114"/>
      <c r="T1543" s="45"/>
      <c r="U1543" s="48"/>
      <c r="V1543" s="48"/>
      <c r="W1543" s="27"/>
    </row>
    <row r="1544" spans="1:23" ht="60" hidden="1" customHeight="1" x14ac:dyDescent="0.25">
      <c r="A1544" s="45" t="str">
        <f>CONCATENATE(Tabla2[[#This Row],[id_solicitud]],Tabla2[[#This Row],[tipo]])</f>
        <v>246Decreto</v>
      </c>
      <c r="B1544" s="45">
        <f>COUNTIF($A$2:A1544,A1544)</f>
        <v>1</v>
      </c>
      <c r="C1544" s="45" t="str">
        <f>Tabla2[[#This Row],[(id_solicitud-tipo_documento)]]&amp;B1544</f>
        <v>246Decreto1</v>
      </c>
      <c r="D1544" s="45">
        <v>1553</v>
      </c>
      <c r="E1544" s="45">
        <v>246</v>
      </c>
      <c r="F1544" s="45" t="s">
        <v>47</v>
      </c>
      <c r="G1544" s="45" t="s">
        <v>61</v>
      </c>
      <c r="H1544" s="50" t="s">
        <v>577</v>
      </c>
      <c r="I1544" s="51">
        <v>835</v>
      </c>
      <c r="J1544" s="80"/>
      <c r="K154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835 MOP-MOP_FETCovid19</v>
      </c>
      <c r="L1544" s="48">
        <v>44742</v>
      </c>
      <c r="M1544" s="48"/>
      <c r="N1544" s="49" t="s">
        <v>886</v>
      </c>
      <c r="O1544" s="45"/>
      <c r="P1544" s="80"/>
      <c r="Q1544" s="48"/>
      <c r="R1544" s="45"/>
      <c r="S1544" s="115"/>
      <c r="T1544" s="20"/>
      <c r="U1544" s="20">
        <v>44746</v>
      </c>
      <c r="V1544" s="20">
        <v>44746</v>
      </c>
      <c r="W1544" s="27"/>
    </row>
    <row r="1545" spans="1:23" ht="60" hidden="1" customHeight="1" x14ac:dyDescent="0.25">
      <c r="A1545" s="45" t="str">
        <f>CONCATENATE(Tabla2[[#This Row],[id_solicitud]],Tabla2[[#This Row],[tipo]])</f>
        <v>168Oficio_Solicitud</v>
      </c>
      <c r="B1545" s="45">
        <f>COUNTIF($A$2:A1545,A1545)</f>
        <v>1</v>
      </c>
      <c r="C1545" s="45" t="str">
        <f>Tabla2[[#This Row],[(id_solicitud-tipo_documento)]]&amp;B1545</f>
        <v>168Oficio_Solicitud1</v>
      </c>
      <c r="D1545" s="45">
        <v>1554</v>
      </c>
      <c r="E1545" s="45">
        <v>168</v>
      </c>
      <c r="F1545" s="45" t="s">
        <v>53</v>
      </c>
      <c r="G1545" s="45" t="s">
        <v>60</v>
      </c>
      <c r="H1545" s="50" t="s">
        <v>559</v>
      </c>
      <c r="I1545" s="51">
        <v>937</v>
      </c>
      <c r="J1545" s="80" t="s">
        <v>1241</v>
      </c>
      <c r="K154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937 APR_FETCovid19correo</v>
      </c>
      <c r="L1545" s="48">
        <v>44671</v>
      </c>
      <c r="M1545" s="48">
        <v>44672</v>
      </c>
      <c r="N1545" s="49" t="s">
        <v>209</v>
      </c>
      <c r="O1545" s="45"/>
      <c r="P1545" s="80" t="s">
        <v>494</v>
      </c>
      <c r="Q1545" s="48">
        <v>44677</v>
      </c>
      <c r="R1545" s="45"/>
      <c r="S1545" s="114"/>
      <c r="T1545" s="52"/>
      <c r="U1545" s="48"/>
      <c r="V1545" s="48"/>
      <c r="W1545" s="27"/>
    </row>
    <row r="1546" spans="1:23" ht="60" hidden="1" customHeight="1" x14ac:dyDescent="0.25">
      <c r="A1546" s="45" t="str">
        <f>CONCATENATE(Tabla2[[#This Row],[id_solicitud]],Tabla2[[#This Row],[tipo]])</f>
        <v>174Oficio_Solicitud</v>
      </c>
      <c r="B1546" s="45">
        <f>COUNTIF($A$2:A1546,A1546)</f>
        <v>1</v>
      </c>
      <c r="C1546" s="45" t="str">
        <f>Tabla2[[#This Row],[(id_solicitud-tipo_documento)]]&amp;B1546</f>
        <v>174Oficio_Solicitud1</v>
      </c>
      <c r="D1546" s="45">
        <v>1555</v>
      </c>
      <c r="E1546" s="45">
        <v>174</v>
      </c>
      <c r="F1546" s="45" t="s">
        <v>53</v>
      </c>
      <c r="G1546" s="45" t="s">
        <v>60</v>
      </c>
      <c r="H1546" s="50" t="s">
        <v>535</v>
      </c>
      <c r="I1546" s="51">
        <v>946</v>
      </c>
      <c r="J1546" s="80" t="s">
        <v>1241</v>
      </c>
      <c r="K154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946 DOH_FETCovid19correo</v>
      </c>
      <c r="L1546" s="48">
        <v>44672</v>
      </c>
      <c r="M1546" s="48">
        <v>44673</v>
      </c>
      <c r="N1546" s="49" t="s">
        <v>213</v>
      </c>
      <c r="O1546" s="45">
        <v>18</v>
      </c>
      <c r="P1546" s="80" t="s">
        <v>494</v>
      </c>
      <c r="Q1546" s="48">
        <v>44683</v>
      </c>
      <c r="R1546" s="45"/>
      <c r="S1546" s="114"/>
      <c r="T1546" s="52"/>
      <c r="U1546" s="48"/>
      <c r="V1546" s="48"/>
      <c r="W1546" s="27"/>
    </row>
    <row r="1547" spans="1:23" ht="60" hidden="1" customHeight="1" x14ac:dyDescent="0.25">
      <c r="A1547" s="45" t="str">
        <f>CONCATENATE(Tabla2[[#This Row],[id_solicitud]],Tabla2[[#This Row],[tipo]])</f>
        <v>391Oficio_Solicitud</v>
      </c>
      <c r="B1547" s="45">
        <f>COUNTIF($A$2:A1547,A1547)</f>
        <v>1</v>
      </c>
      <c r="C1547" s="45" t="str">
        <f>Tabla2[[#This Row],[(id_solicitud-tipo_documento)]]&amp;B1547</f>
        <v>391Oficio_Solicitud1</v>
      </c>
      <c r="D1547" s="45">
        <v>1556</v>
      </c>
      <c r="E1547" s="45">
        <v>391</v>
      </c>
      <c r="F1547" s="45" t="s">
        <v>53</v>
      </c>
      <c r="G1547" s="45" t="s">
        <v>42</v>
      </c>
      <c r="H1547" s="50" t="s">
        <v>8</v>
      </c>
      <c r="I1547" s="51">
        <v>901</v>
      </c>
      <c r="J1547" s="80"/>
      <c r="K154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901 DA</v>
      </c>
      <c r="L1547" s="48">
        <v>44797</v>
      </c>
      <c r="M1547" s="48"/>
      <c r="N1547" s="49" t="s">
        <v>387</v>
      </c>
      <c r="O1547" s="45"/>
      <c r="P1547" s="80" t="s">
        <v>497</v>
      </c>
      <c r="Q1547" s="48"/>
      <c r="R1547" s="45"/>
      <c r="S1547" s="114"/>
      <c r="T1547" s="52"/>
      <c r="U1547" s="48"/>
      <c r="V1547" s="48"/>
      <c r="W1547" s="27"/>
    </row>
    <row r="1548" spans="1:23" ht="60" hidden="1" customHeight="1" x14ac:dyDescent="0.25">
      <c r="A1548" s="45" t="str">
        <f>CONCATENATE(Tabla2[[#This Row],[id_solicitud]],Tabla2[[#This Row],[tipo]])</f>
        <v>183Oficio_Solicitud</v>
      </c>
      <c r="B1548" s="45">
        <f>COUNTIF($A$2:A1548,A1548)</f>
        <v>1</v>
      </c>
      <c r="C1548" s="45" t="str">
        <f>Tabla2[[#This Row],[(id_solicitud-tipo_documento)]]&amp;B1548</f>
        <v>183Oficio_Solicitud1</v>
      </c>
      <c r="D1548" s="45">
        <v>1557</v>
      </c>
      <c r="E1548" s="45">
        <v>183</v>
      </c>
      <c r="F1548" s="45" t="s">
        <v>53</v>
      </c>
      <c r="G1548" s="45" t="s">
        <v>60</v>
      </c>
      <c r="H1548" s="50" t="s">
        <v>6</v>
      </c>
      <c r="I1548" s="51">
        <v>990</v>
      </c>
      <c r="J1548" s="80" t="s">
        <v>1241</v>
      </c>
      <c r="K154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990 APRcorreo</v>
      </c>
      <c r="L1548" s="48">
        <v>44678</v>
      </c>
      <c r="M1548" s="48">
        <v>44679</v>
      </c>
      <c r="N1548" s="49" t="s">
        <v>218</v>
      </c>
      <c r="O1548" s="45">
        <v>28</v>
      </c>
      <c r="P1548" s="80" t="s">
        <v>494</v>
      </c>
      <c r="Q1548" s="48">
        <v>44697</v>
      </c>
      <c r="R1548" s="45"/>
      <c r="S1548" s="114"/>
      <c r="T1548" s="52"/>
      <c r="U1548" s="48"/>
      <c r="V1548" s="48"/>
      <c r="W1548" s="27"/>
    </row>
    <row r="1549" spans="1:23" ht="60" hidden="1" customHeight="1" x14ac:dyDescent="0.25">
      <c r="A1549" s="45" t="str">
        <f>CONCATENATE(Tabla2[[#This Row],[id_solicitud]],Tabla2[[#This Row],[tipo]])</f>
        <v>388Oficio_Solicitud</v>
      </c>
      <c r="B1549" s="45">
        <f>COUNTIF($A$2:A1549,A1549)</f>
        <v>1</v>
      </c>
      <c r="C1549" s="45" t="str">
        <f>Tabla2[[#This Row],[(id_solicitud-tipo_documento)]]&amp;B1549</f>
        <v>388Oficio_Solicitud1</v>
      </c>
      <c r="D1549" s="45">
        <v>1558</v>
      </c>
      <c r="E1549" s="45">
        <v>388</v>
      </c>
      <c r="F1549" s="45" t="s">
        <v>53</v>
      </c>
      <c r="G1549" s="45" t="s">
        <v>40</v>
      </c>
      <c r="H1549" s="50" t="s">
        <v>35</v>
      </c>
      <c r="I1549" s="51">
        <v>251</v>
      </c>
      <c r="J1549" s="80"/>
      <c r="K154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251 SOP</v>
      </c>
      <c r="L1549" s="48">
        <v>44771</v>
      </c>
      <c r="M1549" s="48">
        <v>44771</v>
      </c>
      <c r="N1549" s="49" t="s">
        <v>385</v>
      </c>
      <c r="O1549" s="45"/>
      <c r="P1549" s="80" t="s">
        <v>501</v>
      </c>
      <c r="Q1549" s="48">
        <v>44774</v>
      </c>
      <c r="R1549" s="45"/>
      <c r="S1549" s="114"/>
      <c r="T1549" s="52"/>
      <c r="U1549" s="48"/>
      <c r="V1549" s="48"/>
      <c r="W1549" s="27"/>
    </row>
    <row r="1550" spans="1:23" ht="60" hidden="1" customHeight="1" x14ac:dyDescent="0.25">
      <c r="A1550" s="45" t="str">
        <f>CONCATENATE(Tabla2[[#This Row],[id_solicitud]],Tabla2[[#This Row],[tipo]])</f>
        <v>388Oficio_Solicitud</v>
      </c>
      <c r="B1550" s="45">
        <f>COUNTIF($A$2:A1550,A1550)</f>
        <v>2</v>
      </c>
      <c r="C1550" s="45" t="str">
        <f>Tabla2[[#This Row],[(id_solicitud-tipo_documento)]]&amp;B1550</f>
        <v>388Oficio_Solicitud2</v>
      </c>
      <c r="D1550" s="45">
        <v>1559</v>
      </c>
      <c r="E1550" s="45">
        <v>388</v>
      </c>
      <c r="F1550" s="45" t="s">
        <v>53</v>
      </c>
      <c r="G1550" s="45" t="s">
        <v>40</v>
      </c>
      <c r="H1550" s="50" t="s">
        <v>18</v>
      </c>
      <c r="I1550" s="51">
        <v>456</v>
      </c>
      <c r="J1550" s="80"/>
      <c r="K155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456 DGOP</v>
      </c>
      <c r="L1550" s="48">
        <v>44771</v>
      </c>
      <c r="M1550" s="48">
        <v>44771</v>
      </c>
      <c r="N1550" s="49" t="s">
        <v>385</v>
      </c>
      <c r="O1550" s="45"/>
      <c r="P1550" s="80" t="s">
        <v>494</v>
      </c>
      <c r="Q1550" s="48">
        <v>44774</v>
      </c>
      <c r="R1550" s="45"/>
      <c r="S1550" s="114"/>
      <c r="T1550" s="52"/>
      <c r="U1550" s="48"/>
      <c r="V1550" s="48"/>
      <c r="W1550" s="27"/>
    </row>
    <row r="1551" spans="1:23" ht="60" hidden="1" customHeight="1" x14ac:dyDescent="0.25">
      <c r="A1551" s="45" t="str">
        <f>CONCATENATE(Tabla2[[#This Row],[id_solicitud]],Tabla2[[#This Row],[tipo]])</f>
        <v>30Resolucion</v>
      </c>
      <c r="B1551" s="45">
        <f>COUNTIF($A$2:A1551,A1551)</f>
        <v>1</v>
      </c>
      <c r="C1551" s="45" t="str">
        <f>Tabla2[[#This Row],[(id_solicitud-tipo_documento)]]&amp;B1551</f>
        <v>30Resolucion1</v>
      </c>
      <c r="D1551" s="45">
        <v>1561</v>
      </c>
      <c r="E1551" s="45">
        <v>30</v>
      </c>
      <c r="F1551" s="45" t="s">
        <v>48</v>
      </c>
      <c r="G1551" s="45"/>
      <c r="H1551" s="50" t="s">
        <v>538</v>
      </c>
      <c r="I1551" s="51">
        <v>328</v>
      </c>
      <c r="J1551" s="80"/>
      <c r="K155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551" s="48">
        <v>44603</v>
      </c>
      <c r="M1551" s="48"/>
      <c r="N1551" s="49"/>
      <c r="O1551" s="45"/>
      <c r="P1551" s="80"/>
      <c r="Q1551" s="48"/>
      <c r="R1551" s="45"/>
      <c r="S1551" s="114"/>
      <c r="T1551" s="45"/>
      <c r="U1551" s="48"/>
      <c r="V1551" s="48"/>
      <c r="W1551" s="27"/>
    </row>
    <row r="1552" spans="1:23" ht="60" hidden="1" customHeight="1" x14ac:dyDescent="0.25">
      <c r="A1552" s="45" t="str">
        <f>CONCATENATE(Tabla2[[#This Row],[id_solicitud]],Tabla2[[#This Row],[tipo]])</f>
        <v>29Resolucion</v>
      </c>
      <c r="B1552" s="45">
        <f>COUNTIF($A$2:A1552,A1552)</f>
        <v>2</v>
      </c>
      <c r="C1552" s="45" t="str">
        <f>Tabla2[[#This Row],[(id_solicitud-tipo_documento)]]&amp;B1552</f>
        <v>29Resolucion2</v>
      </c>
      <c r="D1552" s="45">
        <v>1562</v>
      </c>
      <c r="E1552" s="45">
        <v>29</v>
      </c>
      <c r="F1552" s="45" t="s">
        <v>48</v>
      </c>
      <c r="G1552" s="45"/>
      <c r="H1552" s="50" t="s">
        <v>26</v>
      </c>
      <c r="I1552" s="51">
        <v>419</v>
      </c>
      <c r="J1552" s="80"/>
      <c r="K155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552" s="48">
        <v>44615</v>
      </c>
      <c r="M1552" s="48"/>
      <c r="N1552" s="49"/>
      <c r="O1552" s="45"/>
      <c r="P1552" s="80"/>
      <c r="Q1552" s="48"/>
      <c r="R1552" s="45"/>
      <c r="S1552" s="114"/>
      <c r="T1552" s="45"/>
      <c r="U1552" s="48"/>
      <c r="V1552" s="48"/>
      <c r="W1552" s="27"/>
    </row>
    <row r="1553" spans="1:23" ht="60" hidden="1" customHeight="1" x14ac:dyDescent="0.25">
      <c r="A1553" s="45" t="str">
        <f>CONCATENATE(Tabla2[[#This Row],[id_solicitud]],Tabla2[[#This Row],[tipo]])</f>
        <v>29Resolucion</v>
      </c>
      <c r="B1553" s="45">
        <f>COUNTIF($A$2:A1553,A1553)</f>
        <v>3</v>
      </c>
      <c r="C1553" s="45" t="str">
        <f>Tabla2[[#This Row],[(id_solicitud-tipo_documento)]]&amp;B1553</f>
        <v>29Resolucion3</v>
      </c>
      <c r="D1553" s="45">
        <v>1563</v>
      </c>
      <c r="E1553" s="45">
        <v>29</v>
      </c>
      <c r="F1553" s="45" t="s">
        <v>48</v>
      </c>
      <c r="G1553" s="45"/>
      <c r="H1553" s="50" t="s">
        <v>26</v>
      </c>
      <c r="I1553" s="51">
        <v>421</v>
      </c>
      <c r="J1553" s="80"/>
      <c r="K155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553" s="48">
        <v>44615</v>
      </c>
      <c r="M1553" s="48"/>
      <c r="N1553" s="49"/>
      <c r="O1553" s="45"/>
      <c r="P1553" s="80"/>
      <c r="Q1553" s="48"/>
      <c r="R1553" s="45"/>
      <c r="S1553" s="114"/>
      <c r="T1553" s="45"/>
      <c r="U1553" s="48"/>
      <c r="V1553" s="48"/>
      <c r="W1553" s="27"/>
    </row>
    <row r="1554" spans="1:23" ht="60" hidden="1" customHeight="1" x14ac:dyDescent="0.25">
      <c r="A1554" s="45" t="str">
        <f>CONCATENATE(Tabla2[[#This Row],[id_solicitud]],Tabla2[[#This Row],[tipo]])</f>
        <v>284Resolucion</v>
      </c>
      <c r="B1554" s="45">
        <f>COUNTIF($A$2:A1554,A1554)</f>
        <v>1</v>
      </c>
      <c r="C1554" s="45" t="str">
        <f>Tabla2[[#This Row],[(id_solicitud-tipo_documento)]]&amp;B1554</f>
        <v>284Resolucion1</v>
      </c>
      <c r="D1554" s="45">
        <v>1643</v>
      </c>
      <c r="E1554" s="45">
        <v>284</v>
      </c>
      <c r="F1554" s="45" t="s">
        <v>48</v>
      </c>
      <c r="G1554" s="45"/>
      <c r="H1554" s="50" t="s">
        <v>20</v>
      </c>
      <c r="I1554" s="51">
        <v>4040</v>
      </c>
      <c r="J1554" s="80"/>
      <c r="K155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554" s="48">
        <v>44827</v>
      </c>
      <c r="M1554" s="48"/>
      <c r="N1554" s="49"/>
      <c r="O1554" s="45"/>
      <c r="P1554" s="80"/>
      <c r="Q1554" s="48"/>
      <c r="R1554" s="45"/>
      <c r="S1554" s="114"/>
      <c r="T1554" s="45"/>
      <c r="U1554" s="48"/>
      <c r="V1554" s="48"/>
      <c r="W1554" s="27"/>
    </row>
    <row r="1555" spans="1:23" ht="60" hidden="1" customHeight="1" x14ac:dyDescent="0.25">
      <c r="A1555" s="45" t="str">
        <f>CONCATENATE(Tabla2[[#This Row],[id_solicitud]],Tabla2[[#This Row],[tipo]])</f>
        <v>347Resolucion</v>
      </c>
      <c r="B1555" s="45">
        <f>COUNTIF($A$2:A1555,A1555)</f>
        <v>1</v>
      </c>
      <c r="C1555" s="45" t="str">
        <f>Tabla2[[#This Row],[(id_solicitud-tipo_documento)]]&amp;B1555</f>
        <v>347Resolucion1</v>
      </c>
      <c r="D1555" s="45">
        <v>1678</v>
      </c>
      <c r="E1555" s="45">
        <v>347</v>
      </c>
      <c r="F1555" s="45" t="s">
        <v>48</v>
      </c>
      <c r="G1555" s="45"/>
      <c r="H1555" s="50" t="s">
        <v>6</v>
      </c>
      <c r="I1555" s="51">
        <v>4523</v>
      </c>
      <c r="J1555" s="80"/>
      <c r="K155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555" s="48">
        <v>44868</v>
      </c>
      <c r="M1555" s="48"/>
      <c r="N1555" s="49"/>
      <c r="O1555" s="45"/>
      <c r="P1555" s="80"/>
      <c r="Q1555" s="48"/>
      <c r="R1555" s="45"/>
      <c r="S1555" s="114"/>
      <c r="T1555" s="45"/>
      <c r="U1555" s="48"/>
      <c r="V1555" s="48"/>
      <c r="W1555" s="27"/>
    </row>
    <row r="1556" spans="1:23" ht="60" customHeight="1" x14ac:dyDescent="0.25">
      <c r="A1556" s="45" t="str">
        <f>CONCATENATE(Tabla2[[#This Row],[id_solicitud]],Tabla2[[#This Row],[tipo]])</f>
        <v>540Proposicion</v>
      </c>
      <c r="B1556" s="45">
        <f>COUNTIF($A$2:A1556,A1556)</f>
        <v>1</v>
      </c>
      <c r="C1556" s="45" t="str">
        <f>Tabla2[[#This Row],[(id_solicitud-tipo_documento)]]&amp;B1556</f>
        <v>540Proposicion1</v>
      </c>
      <c r="D1556" s="45">
        <v>764</v>
      </c>
      <c r="E1556" s="45">
        <v>540</v>
      </c>
      <c r="F1556" s="45" t="s">
        <v>46</v>
      </c>
      <c r="G1556" s="45" t="s">
        <v>44</v>
      </c>
      <c r="H1556" s="50" t="s">
        <v>14</v>
      </c>
      <c r="I1556" s="51">
        <v>727</v>
      </c>
      <c r="J1556" s="80"/>
      <c r="K155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727 DGA</v>
      </c>
      <c r="L1556" s="48">
        <v>44875</v>
      </c>
      <c r="M1556" s="48">
        <v>44876</v>
      </c>
      <c r="N1556" s="49" t="s">
        <v>748</v>
      </c>
      <c r="O1556" s="45"/>
      <c r="P1556" s="80" t="s">
        <v>497</v>
      </c>
      <c r="Q1556" s="24"/>
      <c r="R1556" s="24" t="s">
        <v>12</v>
      </c>
      <c r="S1556" s="114"/>
      <c r="T1556" s="45"/>
      <c r="U1556" s="48"/>
      <c r="V1556" s="48"/>
      <c r="W1556" s="27"/>
    </row>
    <row r="1557" spans="1:23" ht="60" hidden="1" customHeight="1" x14ac:dyDescent="0.25">
      <c r="A1557" s="45" t="str">
        <f>CONCATENATE(Tabla2[[#This Row],[id_solicitud]],Tabla2[[#This Row],[tipo]])</f>
        <v>438Oficio_Solicitud</v>
      </c>
      <c r="B1557" s="45">
        <f>COUNTIF($A$2:A1557,A1557)</f>
        <v>2</v>
      </c>
      <c r="C1557" s="45" t="str">
        <f>Tabla2[[#This Row],[(id_solicitud-tipo_documento)]]&amp;B1557</f>
        <v>438Oficio_Solicitud2</v>
      </c>
      <c r="D1557" s="54">
        <v>1680</v>
      </c>
      <c r="E1557" s="45">
        <v>438</v>
      </c>
      <c r="F1557" s="45" t="s">
        <v>53</v>
      </c>
      <c r="G1557" s="45" t="s">
        <v>60</v>
      </c>
      <c r="H1557" s="50" t="s">
        <v>532</v>
      </c>
      <c r="I1557" s="51">
        <v>1082</v>
      </c>
      <c r="J1557" s="80" t="s">
        <v>1241</v>
      </c>
      <c r="K155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1082 DA_FETCovid19correo</v>
      </c>
      <c r="L1557" s="48">
        <v>44848</v>
      </c>
      <c r="M1557" s="48">
        <v>44851</v>
      </c>
      <c r="N1557" s="49" t="s">
        <v>418</v>
      </c>
      <c r="O1557" s="45">
        <v>2</v>
      </c>
      <c r="P1557" s="80" t="s">
        <v>494</v>
      </c>
      <c r="Q1557" s="48">
        <v>44851</v>
      </c>
      <c r="R1557" s="45"/>
      <c r="S1557" s="114"/>
      <c r="T1557" s="52"/>
      <c r="U1557" s="48"/>
      <c r="V1557" s="48"/>
      <c r="W1557" s="27"/>
    </row>
    <row r="1558" spans="1:23" ht="60" hidden="1" customHeight="1" x14ac:dyDescent="0.25">
      <c r="A1558" s="45" t="str">
        <f>CONCATENATE(Tabla2[[#This Row],[id_solicitud]],Tabla2[[#This Row],[tipo]])</f>
        <v>431Oficio_Solicitud</v>
      </c>
      <c r="B1558" s="45">
        <f>COUNTIF($A$2:A1558,A1558)</f>
        <v>2</v>
      </c>
      <c r="C1558" s="45" t="str">
        <f>Tabla2[[#This Row],[(id_solicitud-tipo_documento)]]&amp;B1558</f>
        <v>431Oficio_Solicitud2</v>
      </c>
      <c r="D1558" s="54">
        <v>1681</v>
      </c>
      <c r="E1558" s="45">
        <v>431</v>
      </c>
      <c r="F1558" s="45" t="s">
        <v>53</v>
      </c>
      <c r="G1558" s="45" t="s">
        <v>65</v>
      </c>
      <c r="H1558" s="50" t="s">
        <v>602</v>
      </c>
      <c r="I1558" s="51">
        <v>278</v>
      </c>
      <c r="J1558" s="80"/>
      <c r="K155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278 DOH-DGOP-FISC</v>
      </c>
      <c r="L1558" s="48">
        <v>44784</v>
      </c>
      <c r="M1558" s="48">
        <v>44784</v>
      </c>
      <c r="N1558" s="49" t="s">
        <v>414</v>
      </c>
      <c r="O1558" s="45"/>
      <c r="P1558" s="80" t="s">
        <v>498</v>
      </c>
      <c r="Q1558" s="48"/>
      <c r="R1558" s="45"/>
      <c r="S1558" s="114"/>
      <c r="T1558" s="52"/>
      <c r="U1558" s="48"/>
      <c r="V1558" s="48"/>
      <c r="W1558" s="27"/>
    </row>
    <row r="1559" spans="1:23" ht="60" hidden="1" customHeight="1" x14ac:dyDescent="0.25">
      <c r="A1559" s="45" t="str">
        <f>CONCATENATE(Tabla2[[#This Row],[id_solicitud]],Tabla2[[#This Row],[tipo]])</f>
        <v>286Oficio_Solicitud</v>
      </c>
      <c r="B1559" s="45">
        <f>COUNTIF($A$2:A1559,A1559)</f>
        <v>2</v>
      </c>
      <c r="C1559" s="45" t="str">
        <f>Tabla2[[#This Row],[(id_solicitud-tipo_documento)]]&amp;B1559</f>
        <v>286Oficio_Solicitud2</v>
      </c>
      <c r="D1559" s="54">
        <v>1682</v>
      </c>
      <c r="E1559" s="45">
        <v>286</v>
      </c>
      <c r="F1559" s="45" t="s">
        <v>53</v>
      </c>
      <c r="G1559" s="45" t="s">
        <v>1258</v>
      </c>
      <c r="H1559" s="50" t="s">
        <v>6</v>
      </c>
      <c r="I1559" s="51">
        <v>1472</v>
      </c>
      <c r="J1559" s="80"/>
      <c r="K1559"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1472 APR</v>
      </c>
      <c r="L1559" s="48">
        <v>44740</v>
      </c>
      <c r="M1559" s="48">
        <v>44740</v>
      </c>
      <c r="N1559" s="49" t="s">
        <v>303</v>
      </c>
      <c r="O1559" s="45">
        <v>2</v>
      </c>
      <c r="P1559" s="80" t="s">
        <v>494</v>
      </c>
      <c r="Q1559" s="48">
        <v>44740</v>
      </c>
      <c r="R1559" s="45"/>
      <c r="S1559" s="114"/>
      <c r="T1559" s="52"/>
      <c r="U1559" s="48"/>
      <c r="V1559" s="48"/>
      <c r="W1559" s="27"/>
    </row>
    <row r="1560" spans="1:23" ht="60" hidden="1" customHeight="1" x14ac:dyDescent="0.25">
      <c r="A1560" s="45" t="str">
        <f>CONCATENATE(Tabla2[[#This Row],[id_solicitud]],Tabla2[[#This Row],[tipo]])</f>
        <v>431Proposicion</v>
      </c>
      <c r="B1560" s="45">
        <f>COUNTIF($A$2:A1560,A1560)</f>
        <v>2</v>
      </c>
      <c r="C1560" s="45" t="str">
        <f>Tabla2[[#This Row],[(id_solicitud-tipo_documento)]]&amp;B1560</f>
        <v>431Proposicion2</v>
      </c>
      <c r="D1560" s="54">
        <v>1683</v>
      </c>
      <c r="E1560" s="45">
        <v>431</v>
      </c>
      <c r="F1560" s="45" t="s">
        <v>46</v>
      </c>
      <c r="G1560" s="45" t="s">
        <v>65</v>
      </c>
      <c r="H1560" s="50" t="s">
        <v>602</v>
      </c>
      <c r="I1560" s="51">
        <v>544</v>
      </c>
      <c r="J1560" s="80"/>
      <c r="K1560"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544 DOH-DGOP-FISC</v>
      </c>
      <c r="L1560" s="48">
        <v>44785</v>
      </c>
      <c r="M1560" s="48">
        <v>44785</v>
      </c>
      <c r="N1560" s="49" t="s">
        <v>414</v>
      </c>
      <c r="O1560" s="45"/>
      <c r="P1560" s="80" t="s">
        <v>498</v>
      </c>
      <c r="Q1560" s="24"/>
      <c r="R1560" s="24" t="s">
        <v>24</v>
      </c>
      <c r="S1560" s="114"/>
      <c r="T1560" s="45"/>
      <c r="U1560" s="48"/>
      <c r="V1560" s="48"/>
      <c r="W1560" s="27"/>
    </row>
    <row r="1561" spans="1:23" ht="60" hidden="1" customHeight="1" x14ac:dyDescent="0.25">
      <c r="A1561" s="45" t="str">
        <f>CONCATENATE(Tabla2[[#This Row],[id_solicitud]],Tabla2[[#This Row],[tipo]])</f>
        <v>432Proposicion</v>
      </c>
      <c r="B1561" s="45">
        <f>COUNTIF($A$2:A1561,A1561)</f>
        <v>2</v>
      </c>
      <c r="C1561" s="45" t="str">
        <f>Tabla2[[#This Row],[(id_solicitud-tipo_documento)]]&amp;B1561</f>
        <v>432Proposicion2</v>
      </c>
      <c r="D1561" s="54">
        <v>1684</v>
      </c>
      <c r="E1561" s="45">
        <v>432</v>
      </c>
      <c r="F1561" s="45" t="s">
        <v>46</v>
      </c>
      <c r="G1561" s="45" t="s">
        <v>60</v>
      </c>
      <c r="H1561" s="50" t="s">
        <v>26</v>
      </c>
      <c r="I1561" s="51">
        <v>582</v>
      </c>
      <c r="J1561" s="80"/>
      <c r="K1561"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582 DV</v>
      </c>
      <c r="L1561" s="48">
        <v>44799</v>
      </c>
      <c r="M1561" s="48">
        <v>44802</v>
      </c>
      <c r="N1561" s="49"/>
      <c r="O1561" s="45">
        <v>3</v>
      </c>
      <c r="P1561" s="80" t="s">
        <v>494</v>
      </c>
      <c r="Q1561" s="24"/>
      <c r="R1561" s="24" t="s">
        <v>24</v>
      </c>
      <c r="S1561" s="114"/>
      <c r="T1561" s="45"/>
      <c r="U1561" s="48"/>
      <c r="V1561" s="48"/>
      <c r="W1561" s="27"/>
    </row>
    <row r="1562" spans="1:23" ht="60" hidden="1" customHeight="1" x14ac:dyDescent="0.25">
      <c r="A1562" s="45" t="str">
        <f>CONCATENATE(Tabla2[[#This Row],[id_solicitud]],Tabla2[[#This Row],[tipo]])</f>
        <v>35Oficio_Solicitud</v>
      </c>
      <c r="B1562" s="45">
        <f>COUNTIF($A$2:A1562,A1562)</f>
        <v>2</v>
      </c>
      <c r="C1562" s="45" t="str">
        <f>Tabla2[[#This Row],[(id_solicitud-tipo_documento)]]&amp;B1562</f>
        <v>35Oficio_Solicitud2</v>
      </c>
      <c r="D1562" s="54">
        <v>1686</v>
      </c>
      <c r="E1562" s="45">
        <v>35</v>
      </c>
      <c r="F1562" s="45" t="s">
        <v>53</v>
      </c>
      <c r="G1562" s="45" t="s">
        <v>43</v>
      </c>
      <c r="H1562" s="50" t="s">
        <v>10</v>
      </c>
      <c r="I1562" s="51">
        <v>592</v>
      </c>
      <c r="J1562" s="80"/>
      <c r="K1562"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592 DAP</v>
      </c>
      <c r="L1562" s="48">
        <v>44531</v>
      </c>
      <c r="M1562" s="48">
        <v>44532</v>
      </c>
      <c r="N1562" s="49"/>
      <c r="O1562" s="45"/>
      <c r="P1562" s="80" t="s">
        <v>494</v>
      </c>
      <c r="Q1562" s="48"/>
      <c r="R1562" s="45"/>
      <c r="S1562" s="114"/>
      <c r="T1562" s="52"/>
      <c r="U1562" s="48"/>
      <c r="V1562" s="48"/>
      <c r="W1562" s="27"/>
    </row>
    <row r="1563" spans="1:23" ht="60" hidden="1" customHeight="1" x14ac:dyDescent="0.25">
      <c r="A1563" s="45" t="str">
        <f>CONCATENATE(Tabla2[[#This Row],[id_solicitud]],Tabla2[[#This Row],[tipo]])</f>
        <v>34Oficio_Solicitud</v>
      </c>
      <c r="B1563" s="45">
        <f>COUNTIF($A$2:A1563,A1563)</f>
        <v>2</v>
      </c>
      <c r="C1563" s="45" t="str">
        <f>Tabla2[[#This Row],[(id_solicitud-tipo_documento)]]&amp;B1563</f>
        <v>34Oficio_Solicitud2</v>
      </c>
      <c r="D1563" s="54">
        <v>1687</v>
      </c>
      <c r="E1563" s="45">
        <v>34</v>
      </c>
      <c r="F1563" s="45" t="s">
        <v>53</v>
      </c>
      <c r="G1563" s="45" t="s">
        <v>43</v>
      </c>
      <c r="H1563" s="50" t="s">
        <v>24</v>
      </c>
      <c r="I1563" s="51">
        <v>68</v>
      </c>
      <c r="J1563" s="80"/>
      <c r="K1563"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68 DP</v>
      </c>
      <c r="L1563" s="48">
        <v>44540</v>
      </c>
      <c r="M1563" s="48">
        <v>44543</v>
      </c>
      <c r="N1563" s="49"/>
      <c r="O1563" s="45"/>
      <c r="P1563" s="80" t="s">
        <v>494</v>
      </c>
      <c r="Q1563" s="48"/>
      <c r="R1563" s="45"/>
      <c r="S1563" s="114"/>
      <c r="T1563" s="52"/>
      <c r="U1563" s="48"/>
      <c r="V1563" s="48"/>
      <c r="W1563" s="27"/>
    </row>
    <row r="1564" spans="1:23" ht="60" hidden="1" customHeight="1" x14ac:dyDescent="0.25">
      <c r="A1564" s="45" t="str">
        <f>CONCATENATE(Tabla2[[#This Row],[id_solicitud]],Tabla2[[#This Row],[tipo]])</f>
        <v>432Oficio_Solicitud</v>
      </c>
      <c r="B1564" s="45">
        <f>COUNTIF($A$2:A1564,A1564)</f>
        <v>2</v>
      </c>
      <c r="C1564" s="45" t="str">
        <f>Tabla2[[#This Row],[(id_solicitud-tipo_documento)]]&amp;B1564</f>
        <v>432Oficio_Solicitud2</v>
      </c>
      <c r="D1564" s="54">
        <v>1688</v>
      </c>
      <c r="E1564" s="45">
        <v>432</v>
      </c>
      <c r="F1564" s="45" t="s">
        <v>53</v>
      </c>
      <c r="G1564" s="45" t="s">
        <v>60</v>
      </c>
      <c r="H1564" s="50" t="s">
        <v>26</v>
      </c>
      <c r="I1564" s="51">
        <v>7638</v>
      </c>
      <c r="J1564" s="80"/>
      <c r="K1564"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7638 DV</v>
      </c>
      <c r="L1564" s="48">
        <v>44783</v>
      </c>
      <c r="M1564" s="48">
        <v>44784</v>
      </c>
      <c r="N1564" s="49" t="s">
        <v>360</v>
      </c>
      <c r="O1564" s="45">
        <v>3</v>
      </c>
      <c r="P1564" s="80" t="s">
        <v>494</v>
      </c>
      <c r="Q1564" s="48"/>
      <c r="R1564" s="45"/>
      <c r="S1564" s="114"/>
      <c r="T1564" s="52"/>
      <c r="U1564" s="48"/>
      <c r="V1564" s="48"/>
      <c r="W1564" s="27"/>
    </row>
    <row r="1565" spans="1:23" ht="60" hidden="1" customHeight="1" x14ac:dyDescent="0.25">
      <c r="A1565" s="45" t="str">
        <f>CONCATENATE(Tabla2[[#This Row],[id_solicitud]],Tabla2[[#This Row],[tipo]])</f>
        <v>35Proposicion</v>
      </c>
      <c r="B1565" s="45">
        <f>COUNTIF($A$2:A1565,A1565)</f>
        <v>2</v>
      </c>
      <c r="C1565" s="45" t="str">
        <f>Tabla2[[#This Row],[(id_solicitud-tipo_documento)]]&amp;B1565</f>
        <v>35Proposicion2</v>
      </c>
      <c r="D1565" s="54">
        <v>1689</v>
      </c>
      <c r="E1565" s="45">
        <v>35</v>
      </c>
      <c r="F1565" s="45" t="s">
        <v>46</v>
      </c>
      <c r="G1565" s="45" t="s">
        <v>43</v>
      </c>
      <c r="H1565" s="50" t="s">
        <v>10</v>
      </c>
      <c r="I1565" s="51">
        <v>802</v>
      </c>
      <c r="J1565" s="80"/>
      <c r="K1565"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802 DAP</v>
      </c>
      <c r="L1565" s="48">
        <v>44539</v>
      </c>
      <c r="M1565" s="48">
        <v>44539</v>
      </c>
      <c r="N1565" s="49"/>
      <c r="O1565" s="45"/>
      <c r="P1565" s="80" t="s">
        <v>494</v>
      </c>
      <c r="Q1565" s="24"/>
      <c r="R1565" s="24" t="s">
        <v>24</v>
      </c>
      <c r="S1565" s="117"/>
      <c r="T1565" s="56"/>
      <c r="U1565" s="55"/>
      <c r="V1565" s="55"/>
      <c r="W1565" s="27"/>
    </row>
    <row r="1566" spans="1:23" ht="60" hidden="1" customHeight="1" x14ac:dyDescent="0.25">
      <c r="A1566" s="45" t="str">
        <f>CONCATENATE(Tabla2[[#This Row],[id_solicitud]],Tabla2[[#This Row],[tipo]])</f>
        <v>391Oficio_Solicitud</v>
      </c>
      <c r="B1566" s="45">
        <f>COUNTIF($A$2:A1566,A1566)</f>
        <v>2</v>
      </c>
      <c r="C1566" s="45" t="str">
        <f>Tabla2[[#This Row],[(id_solicitud-tipo_documento)]]&amp;B1566</f>
        <v>391Oficio_Solicitud2</v>
      </c>
      <c r="D1566" s="54">
        <v>1690</v>
      </c>
      <c r="E1566" s="45">
        <v>391</v>
      </c>
      <c r="F1566" s="45" t="s">
        <v>53</v>
      </c>
      <c r="G1566" s="45" t="s">
        <v>42</v>
      </c>
      <c r="H1566" s="50" t="s">
        <v>8</v>
      </c>
      <c r="I1566" s="51">
        <v>956</v>
      </c>
      <c r="J1566" s="80"/>
      <c r="K1566"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956 DA</v>
      </c>
      <c r="L1566" s="48">
        <v>44797</v>
      </c>
      <c r="M1566" s="48"/>
      <c r="N1566" s="49" t="s">
        <v>387</v>
      </c>
      <c r="O1566" s="45"/>
      <c r="P1566" s="80" t="s">
        <v>497</v>
      </c>
      <c r="Q1566" s="48"/>
      <c r="R1566" s="45"/>
      <c r="S1566" s="114"/>
      <c r="T1566" s="52"/>
      <c r="U1566" s="48"/>
      <c r="V1566" s="48"/>
      <c r="W1566" s="27"/>
    </row>
    <row r="1567" spans="1:23" ht="60" hidden="1" customHeight="1" x14ac:dyDescent="0.25">
      <c r="A1567" s="45" t="str">
        <f>CONCATENATE(Tabla2[[#This Row],[id_solicitud]],Tabla2[[#This Row],[tipo]])</f>
        <v>70Oficio_Solicitud</v>
      </c>
      <c r="B1567" s="45">
        <f>COUNTIF($A$2:A1567,A1567)</f>
        <v>2</v>
      </c>
      <c r="C1567" s="45" t="str">
        <f>Tabla2[[#This Row],[(id_solicitud-tipo_documento)]]&amp;B1567</f>
        <v>70Oficio_Solicitud2</v>
      </c>
      <c r="D1567" s="54">
        <v>1691</v>
      </c>
      <c r="E1567" s="45">
        <v>70</v>
      </c>
      <c r="F1567" s="45" t="s">
        <v>53</v>
      </c>
      <c r="G1567" s="45" t="s">
        <v>43</v>
      </c>
      <c r="H1567" s="50" t="s">
        <v>544</v>
      </c>
      <c r="I1567" s="51">
        <v>591</v>
      </c>
      <c r="J1567" s="80"/>
      <c r="K1567"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591 DAP_FETCovid19</v>
      </c>
      <c r="L1567" s="48">
        <v>44889</v>
      </c>
      <c r="M1567" s="48">
        <v>44889</v>
      </c>
      <c r="N1567" s="49" t="s">
        <v>126</v>
      </c>
      <c r="O1567" s="45">
        <v>5</v>
      </c>
      <c r="P1567" s="80" t="s">
        <v>494</v>
      </c>
      <c r="Q1567" s="48"/>
      <c r="R1567" s="45"/>
      <c r="S1567" s="114"/>
      <c r="T1567" s="52"/>
      <c r="U1567" s="48"/>
      <c r="V1567" s="48"/>
      <c r="W1567" s="27"/>
    </row>
    <row r="1568" spans="1:23" ht="60" hidden="1" customHeight="1" x14ac:dyDescent="0.25">
      <c r="A1568" s="45" t="str">
        <f>CONCATENATE(Tabla2[[#This Row],[id_solicitud]],Tabla2[[#This Row],[tipo]])</f>
        <v>146Oficio_Rechazo</v>
      </c>
      <c r="B1568" s="57">
        <f>COUNTIF($A$2:A1574,A1568)</f>
        <v>1</v>
      </c>
      <c r="C1568" s="45" t="str">
        <f>Tabla2[[#This Row],[(id_solicitud-tipo_documento)]]&amp;B1568</f>
        <v>146Oficio_Rechazo1</v>
      </c>
      <c r="D1568" s="45">
        <v>1692</v>
      </c>
      <c r="E1568" s="45">
        <v>146</v>
      </c>
      <c r="F1568" s="45" t="s">
        <v>1252</v>
      </c>
      <c r="G1568" s="45"/>
      <c r="H1568" s="50" t="s">
        <v>33</v>
      </c>
      <c r="I1568" s="51">
        <v>9999</v>
      </c>
      <c r="J1568" s="80"/>
      <c r="K1568" s="83"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
      </c>
      <c r="L1568" s="48">
        <v>44656</v>
      </c>
      <c r="M1568" s="48"/>
      <c r="N1568" s="49"/>
      <c r="O1568" s="45"/>
      <c r="P1568" s="80"/>
      <c r="Q1568" s="48"/>
      <c r="R1568" s="45"/>
      <c r="S1568" s="118"/>
      <c r="T1568" s="21"/>
      <c r="U1568" s="21"/>
      <c r="V1568" s="21"/>
      <c r="W1568" s="27"/>
    </row>
    <row r="1569" spans="1:23" ht="60" hidden="1" customHeight="1" x14ac:dyDescent="0.25">
      <c r="A1569" s="58" t="str">
        <f>CONCATENATE(Tabla2[[#This Row],[id_solicitud]],Tabla2[[#This Row],[tipo]])</f>
        <v>541Oficio_Solicitud</v>
      </c>
      <c r="B1569" s="111">
        <f>COUNTIF($A$2:A1570,A1569)</f>
        <v>1</v>
      </c>
      <c r="C1569" s="58" t="str">
        <f>Tabla2[[#This Row],[(id_solicitud-tipo_documento)]]&amp;B1569</f>
        <v>541Oficio_Solicitud1</v>
      </c>
      <c r="D1569" s="27">
        <v>1693</v>
      </c>
      <c r="E1569" s="27">
        <v>541</v>
      </c>
      <c r="F1569" s="27" t="s">
        <v>53</v>
      </c>
      <c r="G1569" s="27" t="s">
        <v>1268</v>
      </c>
      <c r="H1569" s="29" t="s">
        <v>8</v>
      </c>
      <c r="I1569" s="30">
        <v>9998</v>
      </c>
      <c r="J1569" s="112"/>
      <c r="K1569" s="84"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9998 DA</v>
      </c>
      <c r="L1569" s="31">
        <v>44907</v>
      </c>
      <c r="P1569" s="81"/>
      <c r="Q1569" s="59"/>
      <c r="U1569" s="59"/>
      <c r="W1569" s="27"/>
    </row>
    <row r="1570" spans="1:23" ht="60" hidden="1" customHeight="1" x14ac:dyDescent="0.25">
      <c r="A1570" s="58" t="str">
        <f>CONCATENATE(Tabla2[[#This Row],[id_solicitud]],Tabla2[[#This Row],[tipo]])</f>
        <v>542Oficio_Solicitud</v>
      </c>
      <c r="B1570" s="111">
        <f>COUNTIF($A$2:A1574,A1570)</f>
        <v>1</v>
      </c>
      <c r="C1570" s="58" t="str">
        <f>Tabla2[[#This Row],[(id_solicitud-tipo_documento)]]&amp;B1570</f>
        <v>542Oficio_Solicitud1</v>
      </c>
      <c r="D1570" s="27">
        <v>1694</v>
      </c>
      <c r="E1570" s="27">
        <v>542</v>
      </c>
      <c r="F1570" s="27" t="s">
        <v>53</v>
      </c>
      <c r="G1570" s="27" t="s">
        <v>2405</v>
      </c>
      <c r="H1570" s="29" t="s">
        <v>10</v>
      </c>
      <c r="I1570" s="30">
        <v>56656</v>
      </c>
      <c r="J1570" s="112" t="s">
        <v>2406</v>
      </c>
      <c r="K1570" s="84"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OF 56656 DAP+correo</v>
      </c>
      <c r="L1570" s="31">
        <v>44897</v>
      </c>
      <c r="M1570" s="31"/>
      <c r="N1570" s="60" t="s">
        <v>1313</v>
      </c>
      <c r="P1570" s="81" t="s">
        <v>2407</v>
      </c>
      <c r="Q1570" s="59"/>
      <c r="R1570" s="59" t="s">
        <v>12</v>
      </c>
      <c r="U1570" s="59"/>
      <c r="W1570" s="27"/>
    </row>
    <row r="1571" spans="1:23" ht="60" hidden="1" customHeight="1" x14ac:dyDescent="0.25">
      <c r="A1571" s="58" t="str">
        <f>CONCATENATE(Tabla2[[#This Row],[id_solicitud]],Tabla2[[#This Row],[tipo]])</f>
        <v>542Proposicion</v>
      </c>
      <c r="B1571" s="58">
        <f>COUNTIF($A$2:A1571,A1571)</f>
        <v>1</v>
      </c>
      <c r="C1571" s="58" t="str">
        <f>Tabla2[[#This Row],[(id_solicitud-tipo_documento)]]&amp;B1571</f>
        <v>542Proposicion1</v>
      </c>
      <c r="D1571" s="27">
        <v>1695</v>
      </c>
      <c r="E1571" s="27">
        <v>542</v>
      </c>
      <c r="F1571" s="27" t="s">
        <v>46</v>
      </c>
      <c r="G1571" s="27"/>
      <c r="H1571" s="29" t="s">
        <v>8</v>
      </c>
      <c r="I1571" s="30">
        <v>44444</v>
      </c>
      <c r="J1571" s="112"/>
      <c r="K1571" s="84"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44444 DA</v>
      </c>
      <c r="L1571" s="31">
        <v>44897</v>
      </c>
      <c r="M1571" s="31">
        <v>44897</v>
      </c>
      <c r="P1571" s="81"/>
      <c r="Q1571" s="59"/>
      <c r="U1571" s="59"/>
      <c r="W1571" s="27"/>
    </row>
    <row r="1572" spans="1:23" ht="60" hidden="1" customHeight="1" x14ac:dyDescent="0.25">
      <c r="A1572" s="58" t="str">
        <f>CONCATENATE(Tabla2[[#This Row],[id_solicitud]],Tabla2[[#This Row],[tipo]])</f>
        <v>542Proposicion</v>
      </c>
      <c r="B1572" s="58">
        <f>COUNTIF($A$2:A1572,A1572)</f>
        <v>2</v>
      </c>
      <c r="C1572" s="58" t="str">
        <f>Tabla2[[#This Row],[(id_solicitud-tipo_documento)]]&amp;B1572</f>
        <v>542Proposicion2</v>
      </c>
      <c r="D1572" s="27">
        <v>1696</v>
      </c>
      <c r="E1572" s="27">
        <v>542</v>
      </c>
      <c r="F1572" s="27" t="s">
        <v>46</v>
      </c>
      <c r="G1572" s="27"/>
      <c r="H1572" s="29" t="s">
        <v>16</v>
      </c>
      <c r="I1572" s="30">
        <v>554445</v>
      </c>
      <c r="J1572" s="112"/>
      <c r="K1572" s="84"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554445 DGC</v>
      </c>
      <c r="L1572" s="31">
        <v>44897</v>
      </c>
      <c r="P1572" s="81"/>
      <c r="Q1572" s="59"/>
      <c r="U1572" s="59"/>
      <c r="W1572" s="27"/>
    </row>
    <row r="1573" spans="1:23" ht="60" hidden="1" customHeight="1" x14ac:dyDescent="0.25">
      <c r="A1573" s="58" t="str">
        <f>CONCATENATE(Tabla2[[#This Row],[id_solicitud]],Tabla2[[#This Row],[tipo]])</f>
        <v>542Proposicion</v>
      </c>
      <c r="B1573" s="58">
        <f>COUNTIF($A$2:A1573,A1573)</f>
        <v>3</v>
      </c>
      <c r="C1573" s="58" t="str">
        <f>Tabla2[[#This Row],[(id_solicitud-tipo_documento)]]&amp;B1573</f>
        <v>542Proposicion3</v>
      </c>
      <c r="D1573" s="27">
        <v>1697</v>
      </c>
      <c r="E1573" s="27">
        <v>542</v>
      </c>
      <c r="F1573" s="27" t="s">
        <v>46</v>
      </c>
      <c r="G1573" s="27"/>
      <c r="H1573" s="29" t="s">
        <v>8</v>
      </c>
      <c r="I1573" s="30">
        <v>454554</v>
      </c>
      <c r="J1573" s="112"/>
      <c r="K1573" s="84"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SOL 454554 DA</v>
      </c>
      <c r="L1573" s="31">
        <v>44897</v>
      </c>
      <c r="P1573" s="81"/>
      <c r="Q1573" s="59"/>
      <c r="U1573" s="59"/>
      <c r="W1573" s="27"/>
    </row>
    <row r="1574" spans="1:23" ht="60" hidden="1" customHeight="1" x14ac:dyDescent="0.25">
      <c r="A1574" s="58" t="str">
        <f>CONCATENATE(Tabla2[[#This Row],[id_solicitud]],Tabla2[[#This Row],[tipo]])</f>
        <v>542Decreto</v>
      </c>
      <c r="B1574" s="58">
        <f>COUNTIF($A$2:A1574,A1574)</f>
        <v>1</v>
      </c>
      <c r="C1574" s="58" t="str">
        <f>Tabla2[[#This Row],[(id_solicitud-tipo_documento)]]&amp;B1574</f>
        <v>542Decreto1</v>
      </c>
      <c r="D1574" s="27">
        <v>1698</v>
      </c>
      <c r="E1574" s="27">
        <v>542</v>
      </c>
      <c r="F1574" s="27" t="s">
        <v>47</v>
      </c>
      <c r="G1574" s="27"/>
      <c r="H1574" s="29" t="s">
        <v>8</v>
      </c>
      <c r="I1574" s="30">
        <v>656</v>
      </c>
      <c r="J1574" s="112"/>
      <c r="K1574" s="84" t="str">
        <f>IFERROR(HYPERLINK(CONCATENATE('(No tocar)'!$G$2,IF(Tabla2[[#This Row],[tipo]]="Resoucion","RES",IF(Tabla2[[#This Row],[tipo]]="Oficio_Solicitud","OF",IF(Tabla2[[#This Row],[tipo]]="Proposicion","SOL",IF(Tabla2[[#This Row],[tipo]]="Decreto", "DEC",1/0)))),Tabla2[[#This Row],[numero_documento]],Tabla2[[#This Row],[servicios]],Tabla2[[#This Row],[sufijo_correo_memo]],".pdf"),CONCATENATE(IF(Tabla2[[#This Row],[tipo]]="Resoucion","RES",IF(Tabla2[[#This Row],[tipo]]="Oficio_Solicitud","OF",IF(Tabla2[[#This Row],[tipo]]="Proposicion","SOL",IF(Tabla2[[#This Row],[tipo]]="Decreto", "DEC",1/0))))," ",Tabla2[[#This Row],[numero_documento]]," ",Tabla2[[#This Row],[servicios]],Tabla2[[#This Row],[sufijo_correo_memo]])),"")</f>
        <v>DEC 656 DA</v>
      </c>
      <c r="L1574" s="31">
        <v>44897</v>
      </c>
      <c r="P1574" s="81"/>
      <c r="Q1574" s="59"/>
      <c r="U1574" s="59"/>
      <c r="W1574" s="27"/>
    </row>
  </sheetData>
  <conditionalFormatting sqref="T1062">
    <cfRule type="expression" dxfId="618" priority="71">
      <formula>T1062&lt;&gt;""</formula>
    </cfRule>
    <cfRule type="expression" dxfId="617" priority="72">
      <formula>#REF!&lt;&gt;""</formula>
    </cfRule>
  </conditionalFormatting>
  <dataValidations xWindow="234" yWindow="506" count="9">
    <dataValidation type="whole" allowBlank="1" showInputMessage="1" showErrorMessage="1" errorTitle="No es número" error="Sólo valores numéricos permitidos. _x000a_Para agregar un sufijo (ej: +correo) use columna sufijo_correo_memo" promptTitle="(Obligatorio)" prompt="Numero del documento. Ingresar sólo números. Para agregar sufijos como por ejemplo &quot;+memo13&quot;, usar la columna sufijo_correo_memo" sqref="I1:I1048576">
      <formula1>-1</formula1>
      <formula2>9999999999</formula2>
    </dataValidation>
    <dataValidation type="whole" allowBlank="1" showInputMessage="1" showErrorMessage="1" promptTitle="(Opcional)" prompt="Numero de iniciativas incluidas en le document" sqref="O1:O3 O5:O1048576">
      <formula1>1</formula1>
      <formula2>99999</formula2>
    </dataValidation>
    <dataValidation type="whole" allowBlank="1" showInputMessage="1" showErrorMessage="1" promptTitle="(Obligatorio)" prompt="Numero correlativo de la solicitud ingresada en la pestaña &quot;Solicitudes&quot;, a la cual pertenece el documento de la fila actual." sqref="E1:E1048576">
      <formula1>1</formula1>
      <formula2>9999999999999990000</formula2>
    </dataValidation>
    <dataValidation type="whole" allowBlank="1" showInputMessage="1" showErrorMessage="1" promptTitle="(Obligatorio)" prompt="Número correlativo que identifica al documento. Cada fila debe tenre un correlativo distinto" sqref="D1:D1048576">
      <formula1>1</formula1>
      <formula2>9999999999999990000</formula2>
    </dataValidation>
    <dataValidation allowBlank="1" showInputMessage="1" showErrorMessage="1" promptTitle="(Opcional)" prompt="Campo para lograr nombres de documento compuestos, por ejemplo en &quot;OF105DAP+correo&quot; el sufijo es &quot;+correo&quot;_x000a_" sqref="J1:J1048576"/>
    <dataValidation allowBlank="1" showInputMessage="1" showErrorMessage="1" promptTitle="(Autogenerado)" prompt="Link al pdf en colabora. No modificar" sqref="K1:K1048576"/>
    <dataValidation type="whole" allowBlank="1" showInputMessage="1" showErrorMessage="1" promptTitle="(Opcional)" prompt="Obligatorio en Decretos. _x000a_Número (Codigo) VV en la región superior del Decreto" sqref="S1:S1048576">
      <formula1>1</formula1>
      <formula2>9.99999999999999E+26</formula2>
    </dataValidation>
    <dataValidation allowBlank="1" showInputMessage="1" showErrorMessage="1" promptTitle="(Opcional)" prompt="Resumen del documento" sqref="N1:N1048576"/>
    <dataValidation type="whole" allowBlank="1" showInputMessage="1" showErrorMessage="1" promptTitle="(Opcional)" prompt="Numero de iniciativas incluidas en el documento" sqref="O4">
      <formula1>1</formula1>
      <formula2>99999</formula2>
    </dataValidation>
  </dataValidations>
  <pageMargins left="0.7" right="0.7" top="0.75" bottom="0.75" header="0.3" footer="0.3"/>
  <pageSetup orientation="portrait" verticalDpi="0" r:id="rId1"/>
  <tableParts count="1">
    <tablePart r:id="rId2"/>
  </tableParts>
  <extLst>
    <ext xmlns:x14="http://schemas.microsoft.com/office/spreadsheetml/2009/9/main" uri="{CCE6A557-97BC-4b89-ADB6-D9C93CAAB3DF}">
      <x14:dataValidations xmlns:xm="http://schemas.microsoft.com/office/excel/2006/main" xWindow="234" yWindow="506" count="11">
        <x14:dataValidation type="list" allowBlank="1" showInputMessage="1" showErrorMessage="1" errorTitle="Codigo Servicio Invalido" error="Use los codigos de servicio de la hoja (no tocar)" promptTitle="(Obligatorio)" prompt="Servicios asociados al documento. Un documento puede tener uno o varios servicios asociados._x000a__x000a_Seleccionar los servicios uno por uno de la lista desplegable en orden alfabético">
          <x14:formula1>
            <xm:f>'(No tocar)'!$A$2:$A$33</xm:f>
          </x14:formula1>
          <xm:sqref>H1:H1048576</xm:sqref>
        </x14:dataValidation>
        <x14:dataValidation type="list" allowBlank="1" showInputMessage="1" showErrorMessage="1" promptTitle="(Obligatorio)" prompt="Seleccionar los valores de la lista desplegable. Para varios subtítulos, seleccionar los valores en orden creciente.">
          <x14:formula1>
            <xm:f>'(No tocar)'!$J$2:$J$36</xm:f>
          </x14:formula1>
          <xm:sqref>P1:P1048576</xm:sqref>
        </x14:dataValidation>
        <x14:dataValidation type="list" allowBlank="1" showInputMessage="1" showErrorMessage="1" promptTitle="(Obligatorio)" prompt="Materias del documento. Un documento puede tener una o varias materias._x000a__x000a_Seleccionar las materias una por una de la lista desplegable _x000a_">
          <x14:formula1>
            <xm:f>'(No tocar)'!$D$2:$D$12</xm:f>
          </x14:formula1>
          <xm:sqref>G1:G1048576</xm:sqref>
        </x14:dataValidation>
        <x14:dataValidation type="list" allowBlank="1" showInputMessage="1" showErrorMessage="1" promptTitle="(Obligatorio)" prompt="Tipo del documento. Para más información ver el Diagrama de Proceso en el archivo &quot;Proceso Solicitud&quot; en la misma carpeta que este archivo excel">
          <x14:formula1>
            <xm:f>'(No tocar)'!$E$2:$E$7</xm:f>
          </x14:formula1>
          <xm:sqref>F1:F1048576 F1</xm:sqref>
        </x14:dataValidation>
        <x14:dataValidation type="list" allowBlank="1" showInputMessage="1" showErrorMessage="1" promptTitle="(Opcional)" prompt="Servicio que creó la proposición para enviar a DIPRES. Llenar sólo cuando el servicio no es Planeamiento (DP)">
          <x14:formula1>
            <xm:f>'(No tocar)'!$A$2:$A$33</xm:f>
          </x14:formula1>
          <xm:sqref>R1:R1048576</xm:sqref>
        </x14:dataValidation>
        <x14:dataValidation type="date" allowBlank="1" showInputMessage="1" showErrorMessage="1" promptTitle="(Opcional)" prompt="Obligatorio en Decretos._x000a_Fecha VV en la región superior del Decreto">
          <x14:formula1>
            <xm:f>'(No tocar)'!H2</xm:f>
          </x14:formula1>
          <x14:formula2>
            <xm:f>'(No tocar)'!I2</xm:f>
          </x14:formula2>
          <xm:sqref>T1:T1048576</xm:sqref>
        </x14:dataValidation>
        <x14:dataValidation type="date" allowBlank="1" showInputMessage="1" showErrorMessage="1" promptTitle="(Opcional)" prompt="Obligatorio en Decretos con Toma de Razón">
          <x14:formula1>
            <xm:f>'(No tocar)'!H2</xm:f>
          </x14:formula1>
          <x14:formula2>
            <xm:f>'(No tocar)'!I2</xm:f>
          </x14:formula2>
          <xm:sqref>U1:U1048576</xm:sqref>
        </x14:dataValidation>
        <x14:dataValidation type="date" allowBlank="1" showInputMessage="1" showErrorMessage="1" promptTitle="(Opcional)" prompt="Obligatorio en Decretos. _x000a_Esta fecha define el fin de la etapa &quot;Analisis Contraloria&quot; para solicitudes tramitadas aceptadas._x000a_">
          <x14:formula1>
            <xm:f>'(No tocar)'!H2</xm:f>
          </x14:formula1>
          <x14:formula2>
            <xm:f>'(No tocar)'!I2</xm:f>
          </x14:formula2>
          <xm:sqref>V1:V1048576</xm:sqref>
        </x14:dataValidation>
        <x14:dataValidation type="date" allowBlank="1" showInputMessage="1" showErrorMessage="1" promptTitle="(Obligatorio)" prompt="Fecha escrita en la sección superior del documento._x000a_Los documentos sin fecha no se consideran en los reportes.">
          <x14:formula1>
            <xm:f>'(No tocar)'!H2</xm:f>
          </x14:formula1>
          <x14:formula2>
            <xm:f>'(No tocar)'!I2</xm:f>
          </x14:formula2>
          <xm:sqref>L1:L1048576</xm:sqref>
        </x14:dataValidation>
        <x14:dataValidation type="date" allowBlank="1" showInputMessage="1" showErrorMessage="1" promptTitle="(Opcional)" prompt="Fecha timbre oficina de partes._x000a_Cuando se ingresa, define el inicio de la etapa &quot;analisis DP&quot;">
          <x14:formula1>
            <xm:f>'(No tocar)'!H2</xm:f>
          </x14:formula1>
          <x14:formula2>
            <xm:f>'(No tocar)'!I2</xm:f>
          </x14:formula2>
          <xm:sqref>M1:M1048576</xm:sqref>
        </x14:dataValidation>
        <x14:dataValidation type="date" allowBlank="1" showInputMessage="1" showErrorMessage="1" promptTitle="(Opcional)" prompt="Fecha de la ultima interacción con el servicio. _x000a_Cuando se ingresa, define el inicio de la etapa &quot;analisis DP&quot;_x000a_">
          <x14:formula1>
            <xm:f>'(No tocar)'!H2</xm:f>
          </x14:formula1>
          <x14:formula2>
            <xm:f>'(No tocar)'!I2</xm:f>
          </x14:formula2>
          <xm:sqref>Q1:Q1048576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Q545"/>
  <sheetViews>
    <sheetView workbookViewId="0">
      <pane ySplit="1" topLeftCell="A518" activePane="bottomLeft" state="frozen"/>
      <selection pane="bottomLeft" activeCell="D542" sqref="D542"/>
    </sheetView>
  </sheetViews>
  <sheetFormatPr baseColWidth="10" defaultRowHeight="15" x14ac:dyDescent="0.25"/>
  <cols>
    <col min="1" max="1" width="12.85546875" customWidth="1"/>
    <col min="2" max="4" width="12.85546875" style="94" customWidth="1"/>
    <col min="5" max="5" width="27.42578125" customWidth="1"/>
    <col min="6" max="6" width="12.85546875" style="28" customWidth="1"/>
    <col min="7" max="9" width="11.42578125" style="96"/>
    <col min="10" max="10" width="18.28515625" style="96" customWidth="1"/>
    <col min="11" max="11" width="16.85546875" customWidth="1"/>
    <col min="12" max="12" width="17.42578125" customWidth="1"/>
  </cols>
  <sheetData>
    <row r="1" spans="1:13" x14ac:dyDescent="0.25">
      <c r="A1" s="15" t="s">
        <v>55</v>
      </c>
      <c r="B1" s="86" t="s">
        <v>45</v>
      </c>
      <c r="C1" s="86" t="s">
        <v>1310</v>
      </c>
      <c r="D1" s="86" t="s">
        <v>49</v>
      </c>
      <c r="E1" t="s">
        <v>38</v>
      </c>
      <c r="F1" t="s">
        <v>1311</v>
      </c>
      <c r="G1" s="95" t="s">
        <v>1247</v>
      </c>
      <c r="H1" s="96" t="s">
        <v>1248</v>
      </c>
      <c r="I1" s="96" t="s">
        <v>1283</v>
      </c>
      <c r="J1" s="96" t="s">
        <v>1284</v>
      </c>
      <c r="K1" t="s">
        <v>1281</v>
      </c>
      <c r="L1" t="s">
        <v>1273</v>
      </c>
      <c r="M1" t="s">
        <v>1274</v>
      </c>
    </row>
    <row r="2" spans="1:13" x14ac:dyDescent="0.25">
      <c r="A2" s="37">
        <v>3</v>
      </c>
      <c r="B2" s="87" t="str">
        <f>VLOOKUP(A2,Documentos!D:F,3,FALSE)</f>
        <v>Proposicion</v>
      </c>
      <c r="C2" s="88" t="str">
        <f>VLOOKUP(A2,Documentos!D:H,5,FALSE)</f>
        <v>SISS</v>
      </c>
      <c r="D2" s="87">
        <f>VLOOKUP(A2,Documentos!D:I,6,FALSE)</f>
        <v>6</v>
      </c>
      <c r="E2" s="10" t="s">
        <v>43</v>
      </c>
      <c r="F2" s="10" t="s">
        <v>33</v>
      </c>
      <c r="G2" s="97" t="s">
        <v>494</v>
      </c>
      <c r="H2" s="38"/>
      <c r="I2" s="38"/>
      <c r="J2" s="38"/>
      <c r="K2" s="38" t="s">
        <v>1236</v>
      </c>
      <c r="L2" s="39">
        <v>183723</v>
      </c>
      <c r="M2" s="40"/>
    </row>
    <row r="3" spans="1:13" x14ac:dyDescent="0.25">
      <c r="A3" s="32">
        <v>4</v>
      </c>
      <c r="B3" s="87" t="str">
        <f>VLOOKUP(A3,Documentos!D:F,3,FALSE)</f>
        <v>Proposicion</v>
      </c>
      <c r="C3" s="88" t="str">
        <f>VLOOKUP(A3,Documentos!D:H,5,FALSE)</f>
        <v>APR</v>
      </c>
      <c r="D3" s="87">
        <f>VLOOKUP(A3,Documentos!D:I,6,FALSE)</f>
        <v>7</v>
      </c>
      <c r="E3" s="7" t="s">
        <v>43</v>
      </c>
      <c r="F3" s="10" t="s">
        <v>6</v>
      </c>
      <c r="G3" s="97" t="s">
        <v>494</v>
      </c>
      <c r="H3" s="33"/>
      <c r="I3" s="33"/>
      <c r="J3" s="33"/>
      <c r="K3" s="33" t="s">
        <v>1278</v>
      </c>
      <c r="L3" s="41">
        <v>95339530</v>
      </c>
      <c r="M3" s="41">
        <v>0</v>
      </c>
    </row>
    <row r="4" spans="1:13" x14ac:dyDescent="0.25">
      <c r="A4" s="32">
        <v>6</v>
      </c>
      <c r="B4" s="87" t="str">
        <f>VLOOKUP(A4,Documentos!D:F,3,FALSE)</f>
        <v>Oficio_Solicitud</v>
      </c>
      <c r="C4" s="88" t="str">
        <f>VLOOKUP(A4,Documentos!D:H,5,FALSE)</f>
        <v>INH</v>
      </c>
      <c r="D4" s="87">
        <f>VLOOKUP(A4,Documentos!D:I,6,FALSE)</f>
        <v>13</v>
      </c>
      <c r="E4" s="7" t="s">
        <v>60</v>
      </c>
      <c r="F4" s="10" t="s">
        <v>30</v>
      </c>
      <c r="G4" s="97" t="s">
        <v>494</v>
      </c>
      <c r="H4" s="33"/>
      <c r="I4" s="33"/>
      <c r="J4" s="33"/>
      <c r="K4" s="33" t="s">
        <v>1278</v>
      </c>
      <c r="L4" s="41">
        <v>25612</v>
      </c>
      <c r="M4" s="41"/>
    </row>
    <row r="5" spans="1:13" x14ac:dyDescent="0.25">
      <c r="A5" s="32">
        <v>7</v>
      </c>
      <c r="B5" s="87" t="str">
        <f>VLOOKUP(A5,Documentos!D:F,3,FALSE)</f>
        <v>Proposicion</v>
      </c>
      <c r="C5" s="88" t="str">
        <f>VLOOKUP(A5,Documentos!D:H,5,FALSE)</f>
        <v>DA</v>
      </c>
      <c r="D5" s="87">
        <f>VLOOKUP(A5,Documentos!D:I,6,FALSE)</f>
        <v>14</v>
      </c>
      <c r="E5" s="7" t="s">
        <v>43</v>
      </c>
      <c r="F5" s="10" t="s">
        <v>8</v>
      </c>
      <c r="G5" s="97" t="s">
        <v>494</v>
      </c>
      <c r="H5" s="33"/>
      <c r="I5" s="33"/>
      <c r="J5" s="33"/>
      <c r="K5" s="33" t="s">
        <v>1282</v>
      </c>
      <c r="L5" s="41">
        <v>3444018</v>
      </c>
      <c r="M5" s="41">
        <v>0</v>
      </c>
    </row>
    <row r="6" spans="1:13" x14ac:dyDescent="0.25">
      <c r="A6" s="32">
        <v>9</v>
      </c>
      <c r="B6" s="87" t="str">
        <f>VLOOKUP(A6,Documentos!D:F,3,FALSE)</f>
        <v>Proposicion</v>
      </c>
      <c r="C6" s="88" t="str">
        <f>VLOOKUP(A6,Documentos!D:H,5,FALSE)</f>
        <v>DOH_FETCovid19</v>
      </c>
      <c r="D6" s="87">
        <f>VLOOKUP(A6,Documentos!D:I,6,FALSE)</f>
        <v>16</v>
      </c>
      <c r="E6" s="7" t="s">
        <v>43</v>
      </c>
      <c r="F6" s="10" t="s">
        <v>535</v>
      </c>
      <c r="G6" s="97" t="s">
        <v>494</v>
      </c>
      <c r="H6" s="33"/>
      <c r="I6" s="33"/>
      <c r="J6" s="33"/>
      <c r="K6" s="33" t="s">
        <v>1278</v>
      </c>
      <c r="L6" s="41">
        <v>88504701</v>
      </c>
      <c r="M6" s="41"/>
    </row>
    <row r="7" spans="1:13" x14ac:dyDescent="0.25">
      <c r="A7" s="32">
        <v>11</v>
      </c>
      <c r="B7" s="87" t="str">
        <f>VLOOKUP(A7,Documentos!D:F,3,FALSE)</f>
        <v>Oficio_Solicitud</v>
      </c>
      <c r="C7" s="88" t="str">
        <f>VLOOKUP(A7,Documentos!D:H,5,FALSE)</f>
        <v>DA_FETCovid19</v>
      </c>
      <c r="D7" s="89">
        <f>VLOOKUP(A7,Documentos!D:I,6,FALSE)</f>
        <v>19</v>
      </c>
      <c r="E7" s="7" t="s">
        <v>1236</v>
      </c>
      <c r="F7" s="10" t="s">
        <v>532</v>
      </c>
      <c r="G7" s="97" t="s">
        <v>495</v>
      </c>
      <c r="H7" s="33"/>
      <c r="I7" s="33"/>
      <c r="J7" s="33"/>
      <c r="K7" s="7" t="s">
        <v>1236</v>
      </c>
      <c r="L7" s="41">
        <v>12336348</v>
      </c>
      <c r="M7" s="41"/>
    </row>
    <row r="8" spans="1:13" x14ac:dyDescent="0.25">
      <c r="A8" s="32">
        <v>15</v>
      </c>
      <c r="B8" s="87" t="str">
        <f>VLOOKUP(A8,Documentos!D:F,3,FALSE)</f>
        <v>Proposicion</v>
      </c>
      <c r="C8" s="88" t="str">
        <f>VLOOKUP(A8,Documentos!D:H,5,FALSE)</f>
        <v>DA_FETCovid19</v>
      </c>
      <c r="D8" s="87">
        <f>VLOOKUP(A8,Documentos!D:I,6,FALSE)</f>
        <v>29</v>
      </c>
      <c r="E8" s="7" t="s">
        <v>43</v>
      </c>
      <c r="F8" s="10" t="s">
        <v>532</v>
      </c>
      <c r="G8" s="97" t="s">
        <v>494</v>
      </c>
      <c r="H8" s="33"/>
      <c r="I8" s="33"/>
      <c r="J8" s="33"/>
      <c r="K8" s="33" t="s">
        <v>1236</v>
      </c>
      <c r="L8" s="41">
        <v>3669133</v>
      </c>
      <c r="M8" s="41">
        <v>0</v>
      </c>
    </row>
    <row r="9" spans="1:13" x14ac:dyDescent="0.25">
      <c r="A9" s="32">
        <v>17</v>
      </c>
      <c r="B9" s="87" t="str">
        <f>VLOOKUP(A9,Documentos!D:F,3,FALSE)</f>
        <v>Proposicion</v>
      </c>
      <c r="C9" s="88" t="str">
        <f>VLOOKUP(A9,Documentos!D:H,5,FALSE)</f>
        <v>DA</v>
      </c>
      <c r="D9" s="87">
        <f>VLOOKUP(A9,Documentos!D:I,6,FALSE)</f>
        <v>29</v>
      </c>
      <c r="E9" s="7" t="s">
        <v>43</v>
      </c>
      <c r="F9" s="10" t="s">
        <v>8</v>
      </c>
      <c r="G9" s="97" t="s">
        <v>494</v>
      </c>
      <c r="H9" s="33"/>
      <c r="I9" s="33"/>
      <c r="J9" s="33"/>
      <c r="K9" s="33" t="s">
        <v>1278</v>
      </c>
      <c r="L9" s="41">
        <v>3669133</v>
      </c>
      <c r="M9" s="41">
        <v>0</v>
      </c>
    </row>
    <row r="10" spans="1:13" x14ac:dyDescent="0.25">
      <c r="A10" s="32">
        <v>19</v>
      </c>
      <c r="B10" s="87" t="str">
        <f>VLOOKUP(A10,Documentos!D:F,3,FALSE)</f>
        <v>Proposicion</v>
      </c>
      <c r="C10" s="88" t="str">
        <f>VLOOKUP(A10,Documentos!D:H,5,FALSE)</f>
        <v>DGC</v>
      </c>
      <c r="D10" s="87">
        <f>VLOOKUP(A10,Documentos!D:I,6,FALSE)</f>
        <v>30</v>
      </c>
      <c r="E10" s="7" t="s">
        <v>57</v>
      </c>
      <c r="F10" s="10" t="s">
        <v>16</v>
      </c>
      <c r="G10" s="97" t="s">
        <v>494</v>
      </c>
      <c r="H10" s="33"/>
      <c r="I10" s="33"/>
      <c r="J10" s="33"/>
      <c r="K10" s="33" t="s">
        <v>1282</v>
      </c>
      <c r="L10" s="41">
        <v>3855675</v>
      </c>
      <c r="M10" s="41">
        <v>0</v>
      </c>
    </row>
    <row r="11" spans="1:13" x14ac:dyDescent="0.25">
      <c r="A11" s="32">
        <v>21</v>
      </c>
      <c r="B11" s="87" t="str">
        <f>VLOOKUP(A11,Documentos!D:F,3,FALSE)</f>
        <v>Oficio_Solicitud</v>
      </c>
      <c r="C11" s="88" t="str">
        <f>VLOOKUP(A11,Documentos!D:H,5,FALSE)</f>
        <v>DAP</v>
      </c>
      <c r="D11" s="87">
        <f>VLOOKUP(A11,Documentos!D:I,6,FALSE)</f>
        <v>32</v>
      </c>
      <c r="E11" s="7" t="s">
        <v>1258</v>
      </c>
      <c r="F11" s="10" t="s">
        <v>10</v>
      </c>
      <c r="G11" s="97" t="s">
        <v>494</v>
      </c>
      <c r="H11" s="33"/>
      <c r="I11" s="33"/>
      <c r="J11" s="33"/>
      <c r="K11" s="33" t="s">
        <v>1236</v>
      </c>
      <c r="L11" s="41">
        <v>88697</v>
      </c>
      <c r="M11" s="41">
        <v>88697</v>
      </c>
    </row>
    <row r="12" spans="1:13" x14ac:dyDescent="0.25">
      <c r="A12" s="32">
        <v>22</v>
      </c>
      <c r="B12" s="87" t="str">
        <f>VLOOKUP(A12,Documentos!D:F,3,FALSE)</f>
        <v>Proposicion</v>
      </c>
      <c r="C12" s="88" t="str">
        <f>VLOOKUP(A12,Documentos!D:H,5,FALSE)</f>
        <v>DV</v>
      </c>
      <c r="D12" s="87">
        <f>VLOOKUP(A12,Documentos!D:I,6,FALSE)</f>
        <v>34</v>
      </c>
      <c r="E12" s="7" t="s">
        <v>43</v>
      </c>
      <c r="F12" s="10" t="s">
        <v>26</v>
      </c>
      <c r="G12" s="97" t="s">
        <v>494</v>
      </c>
      <c r="H12" s="33"/>
      <c r="I12" s="33"/>
      <c r="J12" s="33"/>
      <c r="K12" s="33" t="s">
        <v>1236</v>
      </c>
      <c r="L12" s="41">
        <v>1410000</v>
      </c>
      <c r="M12" s="41">
        <v>0</v>
      </c>
    </row>
    <row r="13" spans="1:13" x14ac:dyDescent="0.25">
      <c r="A13" s="32">
        <v>23</v>
      </c>
      <c r="B13" s="87" t="str">
        <f>VLOOKUP(A13,Documentos!D:F,3,FALSE)</f>
        <v>Proposicion</v>
      </c>
      <c r="C13" s="88" t="str">
        <f>VLOOKUP(A13,Documentos!D:H,5,FALSE)</f>
        <v>DA_FETCovid19</v>
      </c>
      <c r="D13" s="87">
        <f>VLOOKUP(A13,Documentos!D:I,6,FALSE)</f>
        <v>36</v>
      </c>
      <c r="E13" s="7" t="s">
        <v>43</v>
      </c>
      <c r="F13" s="10" t="s">
        <v>532</v>
      </c>
      <c r="G13" s="97" t="s">
        <v>494</v>
      </c>
      <c r="H13" s="33"/>
      <c r="I13" s="33"/>
      <c r="J13" s="33"/>
      <c r="K13" s="33" t="s">
        <v>1236</v>
      </c>
      <c r="L13" s="41">
        <v>2018018</v>
      </c>
      <c r="M13" s="41"/>
    </row>
    <row r="14" spans="1:13" x14ac:dyDescent="0.25">
      <c r="A14" s="32">
        <v>27</v>
      </c>
      <c r="B14" s="87" t="str">
        <f>VLOOKUP(A14,Documentos!D:F,3,FALSE)</f>
        <v>Proposicion</v>
      </c>
      <c r="C14" s="88" t="str">
        <f>VLOOKUP(A14,Documentos!D:H,5,FALSE)</f>
        <v>DA</v>
      </c>
      <c r="D14" s="87">
        <f>VLOOKUP(A14,Documentos!D:I,6,FALSE)</f>
        <v>43</v>
      </c>
      <c r="E14" s="7" t="s">
        <v>43</v>
      </c>
      <c r="F14" s="10" t="s">
        <v>8</v>
      </c>
      <c r="G14" s="97" t="s">
        <v>494</v>
      </c>
      <c r="H14" s="33"/>
      <c r="I14" s="33"/>
      <c r="J14" s="33"/>
      <c r="K14" s="33" t="s">
        <v>1278</v>
      </c>
      <c r="L14" s="41">
        <v>2724429</v>
      </c>
      <c r="M14" s="41">
        <v>0</v>
      </c>
    </row>
    <row r="15" spans="1:13" x14ac:dyDescent="0.25">
      <c r="A15" s="32">
        <v>30</v>
      </c>
      <c r="B15" s="87" t="str">
        <f>VLOOKUP(A15,Documentos!D:F,3,FALSE)</f>
        <v>Proposicion</v>
      </c>
      <c r="C15" s="88" t="str">
        <f>VLOOKUP(A15,Documentos!D:H,5,FALSE)</f>
        <v>DV</v>
      </c>
      <c r="D15" s="87">
        <f>VLOOKUP(A15,Documentos!D:I,6,FALSE)</f>
        <v>44</v>
      </c>
      <c r="E15" s="7" t="s">
        <v>43</v>
      </c>
      <c r="F15" s="10" t="s">
        <v>26</v>
      </c>
      <c r="G15" s="97" t="s">
        <v>494</v>
      </c>
      <c r="H15" s="33"/>
      <c r="I15" s="33"/>
      <c r="J15" s="33"/>
      <c r="K15" s="33" t="s">
        <v>1236</v>
      </c>
      <c r="L15" s="41">
        <v>32708732</v>
      </c>
      <c r="M15" s="41">
        <v>0</v>
      </c>
    </row>
    <row r="16" spans="1:13" x14ac:dyDescent="0.25">
      <c r="A16" s="32">
        <v>33</v>
      </c>
      <c r="B16" s="87" t="str">
        <f>VLOOKUP(A16,Documentos!D:F,3,FALSE)</f>
        <v>Proposicion</v>
      </c>
      <c r="C16" s="88" t="str">
        <f>VLOOKUP(A16,Documentos!D:H,5,FALSE)</f>
        <v>DGC</v>
      </c>
      <c r="D16" s="87">
        <f>VLOOKUP(A16,Documentos!D:I,6,FALSE)</f>
        <v>45</v>
      </c>
      <c r="E16" s="7" t="s">
        <v>60</v>
      </c>
      <c r="F16" s="10" t="s">
        <v>16</v>
      </c>
      <c r="G16" s="97" t="s">
        <v>494</v>
      </c>
      <c r="H16" s="33"/>
      <c r="I16" s="33"/>
      <c r="J16" s="33"/>
      <c r="K16" s="33" t="s">
        <v>1278</v>
      </c>
      <c r="L16" s="41">
        <v>6416380</v>
      </c>
      <c r="M16" s="41">
        <v>0</v>
      </c>
    </row>
    <row r="17" spans="1:13" x14ac:dyDescent="0.25">
      <c r="A17" s="32">
        <v>38</v>
      </c>
      <c r="B17" s="87" t="str">
        <f>VLOOKUP(A17,Documentos!D:F,3,FALSE)</f>
        <v>Oficio_Solicitud</v>
      </c>
      <c r="C17" s="88" t="str">
        <f>VLOOKUP(A17,Documentos!D:H,5,FALSE)</f>
        <v>DP</v>
      </c>
      <c r="D17" s="87">
        <f>VLOOKUP(A17,Documentos!D:I,6,FALSE)</f>
        <v>50</v>
      </c>
      <c r="E17" s="7" t="s">
        <v>60</v>
      </c>
      <c r="F17" s="10" t="s">
        <v>24</v>
      </c>
      <c r="G17" s="97" t="s">
        <v>494</v>
      </c>
      <c r="H17" s="33"/>
      <c r="I17" s="33"/>
      <c r="J17" s="33"/>
      <c r="K17" s="33" t="s">
        <v>1278</v>
      </c>
      <c r="L17" s="41">
        <v>10</v>
      </c>
      <c r="M17" s="41">
        <v>10</v>
      </c>
    </row>
    <row r="18" spans="1:13" x14ac:dyDescent="0.25">
      <c r="A18" s="32">
        <v>39</v>
      </c>
      <c r="B18" s="87" t="str">
        <f>VLOOKUP(A18,Documentos!D:F,3,FALSE)</f>
        <v>Proposicion</v>
      </c>
      <c r="C18" s="88" t="str">
        <f>VLOOKUP(A18,Documentos!D:H,5,FALSE)</f>
        <v>DGC</v>
      </c>
      <c r="D18" s="87">
        <f>VLOOKUP(A18,Documentos!D:I,6,FALSE)</f>
        <v>51</v>
      </c>
      <c r="E18" s="7" t="s">
        <v>60</v>
      </c>
      <c r="F18" s="10" t="s">
        <v>16</v>
      </c>
      <c r="G18" s="97" t="s">
        <v>494</v>
      </c>
      <c r="H18" s="33"/>
      <c r="I18" s="33"/>
      <c r="J18" s="33"/>
      <c r="K18" s="33" t="s">
        <v>1278</v>
      </c>
      <c r="L18" s="41">
        <v>25545442</v>
      </c>
      <c r="M18" s="41">
        <v>25545442</v>
      </c>
    </row>
    <row r="19" spans="1:13" x14ac:dyDescent="0.25">
      <c r="A19" s="32">
        <v>40</v>
      </c>
      <c r="B19" s="87" t="str">
        <f>VLOOKUP(A19,Documentos!D:F,3,FALSE)</f>
        <v>Proposicion</v>
      </c>
      <c r="C19" s="88" t="str">
        <f>VLOOKUP(A19,Documentos!D:H,5,FALSE)</f>
        <v>DA_FETCovid19</v>
      </c>
      <c r="D19" s="89">
        <f>VLOOKUP(A19,Documentos!D:I,6,FALSE)</f>
        <v>52</v>
      </c>
      <c r="E19" s="7" t="s">
        <v>1236</v>
      </c>
      <c r="F19" s="10" t="s">
        <v>532</v>
      </c>
      <c r="G19" s="97" t="s">
        <v>495</v>
      </c>
      <c r="H19" s="33"/>
      <c r="I19" s="33"/>
      <c r="J19" s="33"/>
      <c r="K19" s="7" t="s">
        <v>1236</v>
      </c>
      <c r="L19" s="41">
        <v>12336348</v>
      </c>
      <c r="M19" s="41"/>
    </row>
    <row r="20" spans="1:13" x14ac:dyDescent="0.25">
      <c r="A20" s="32">
        <v>41</v>
      </c>
      <c r="B20" s="87" t="str">
        <f>VLOOKUP(A20,Documentos!D:F,3,FALSE)</f>
        <v>Oficio_Solicitud</v>
      </c>
      <c r="C20" s="88" t="str">
        <f>VLOOKUP(A20,Documentos!D:H,5,FALSE)</f>
        <v>DP</v>
      </c>
      <c r="D20" s="87">
        <f>VLOOKUP(A20,Documentos!D:I,6,FALSE)</f>
        <v>52</v>
      </c>
      <c r="E20" s="7" t="s">
        <v>41</v>
      </c>
      <c r="F20" s="10" t="s">
        <v>24</v>
      </c>
      <c r="G20" s="97" t="s">
        <v>494</v>
      </c>
      <c r="H20" s="33"/>
      <c r="I20" s="33"/>
      <c r="J20" s="33"/>
      <c r="K20" s="33" t="s">
        <v>1236</v>
      </c>
      <c r="L20" s="41">
        <v>0</v>
      </c>
      <c r="M20" s="41">
        <v>29800</v>
      </c>
    </row>
    <row r="21" spans="1:13" x14ac:dyDescent="0.25">
      <c r="A21" s="32">
        <v>42</v>
      </c>
      <c r="B21" s="87" t="str">
        <f>VLOOKUP(A21,Documentos!D:F,3,FALSE)</f>
        <v>Proposicion</v>
      </c>
      <c r="C21" s="88" t="str">
        <f>VLOOKUP(A21,Documentos!D:H,5,FALSE)</f>
        <v>DOP_FETCovid19</v>
      </c>
      <c r="D21" s="87">
        <f>VLOOKUP(A21,Documentos!D:I,6,FALSE)</f>
        <v>53</v>
      </c>
      <c r="E21" s="7" t="s">
        <v>60</v>
      </c>
      <c r="F21" s="10" t="s">
        <v>541</v>
      </c>
      <c r="G21" s="97" t="s">
        <v>494</v>
      </c>
      <c r="H21" s="33"/>
      <c r="I21" s="33"/>
      <c r="J21" s="33"/>
      <c r="K21" s="33" t="s">
        <v>1278</v>
      </c>
      <c r="L21" s="41">
        <v>2921000</v>
      </c>
      <c r="M21" s="41">
        <v>4440205</v>
      </c>
    </row>
    <row r="22" spans="1:13" x14ac:dyDescent="0.25">
      <c r="A22" s="32">
        <v>44</v>
      </c>
      <c r="B22" s="87" t="str">
        <f>VLOOKUP(A22,Documentos!D:F,3,FALSE)</f>
        <v>Proposicion</v>
      </c>
      <c r="C22" s="88" t="str">
        <f>VLOOKUP(A22,Documentos!D:H,5,FALSE)</f>
        <v>DAP</v>
      </c>
      <c r="D22" s="87">
        <f>VLOOKUP(A22,Documentos!D:I,6,FALSE)</f>
        <v>54</v>
      </c>
      <c r="E22" s="7" t="s">
        <v>1258</v>
      </c>
      <c r="F22" s="10" t="s">
        <v>10</v>
      </c>
      <c r="G22" s="97" t="s">
        <v>494</v>
      </c>
      <c r="H22" s="33"/>
      <c r="I22" s="33"/>
      <c r="J22" s="33"/>
      <c r="K22" s="33" t="s">
        <v>1236</v>
      </c>
      <c r="L22" s="41">
        <v>88697</v>
      </c>
      <c r="M22" s="41">
        <v>88697</v>
      </c>
    </row>
    <row r="23" spans="1:13" x14ac:dyDescent="0.25">
      <c r="A23" s="32">
        <v>49</v>
      </c>
      <c r="B23" s="87" t="str">
        <f>VLOOKUP(A23,Documentos!D:F,3,FALSE)</f>
        <v>Proposicion</v>
      </c>
      <c r="C23" s="88" t="str">
        <f>VLOOKUP(A23,Documentos!D:H,5,FALSE)</f>
        <v>DOH</v>
      </c>
      <c r="D23" s="87">
        <f>VLOOKUP(A23,Documentos!D:I,6,FALSE)</f>
        <v>58</v>
      </c>
      <c r="E23" s="7" t="s">
        <v>43</v>
      </c>
      <c r="F23" s="10" t="s">
        <v>20</v>
      </c>
      <c r="G23" s="97" t="s">
        <v>494</v>
      </c>
      <c r="H23" s="33"/>
      <c r="I23" s="33"/>
      <c r="J23" s="33"/>
      <c r="K23" s="33" t="s">
        <v>1278</v>
      </c>
      <c r="L23" s="41">
        <v>53430461</v>
      </c>
      <c r="M23" s="41"/>
    </row>
    <row r="24" spans="1:13" x14ac:dyDescent="0.25">
      <c r="A24" s="32">
        <v>50</v>
      </c>
      <c r="B24" s="87" t="str">
        <f>VLOOKUP(A24,Documentos!D:F,3,FALSE)</f>
        <v>Proposicion</v>
      </c>
      <c r="C24" s="88" t="str">
        <f>VLOOKUP(A24,Documentos!D:H,5,FALSE)</f>
        <v>DOH_FETCovid19</v>
      </c>
      <c r="D24" s="87">
        <f>VLOOKUP(A24,Documentos!D:I,6,FALSE)</f>
        <v>61</v>
      </c>
      <c r="E24" s="7" t="s">
        <v>43</v>
      </c>
      <c r="F24" s="10" t="s">
        <v>535</v>
      </c>
      <c r="G24" s="97" t="s">
        <v>494</v>
      </c>
      <c r="H24" s="33"/>
      <c r="I24" s="33"/>
      <c r="J24" s="33"/>
      <c r="K24" s="33" t="s">
        <v>1282</v>
      </c>
      <c r="L24" s="41">
        <v>33582658</v>
      </c>
      <c r="M24" s="41"/>
    </row>
    <row r="25" spans="1:13" x14ac:dyDescent="0.25">
      <c r="A25" s="32">
        <v>51</v>
      </c>
      <c r="B25" s="87" t="str">
        <f>VLOOKUP(A25,Documentos!D:F,3,FALSE)</f>
        <v>Proposicion</v>
      </c>
      <c r="C25" s="88" t="str">
        <f>VLOOKUP(A25,Documentos!D:H,5,FALSE)</f>
        <v>APR</v>
      </c>
      <c r="D25" s="87">
        <f>VLOOKUP(A25,Documentos!D:I,6,FALSE)</f>
        <v>63</v>
      </c>
      <c r="E25" s="7" t="s">
        <v>43</v>
      </c>
      <c r="F25" s="10" t="s">
        <v>6</v>
      </c>
      <c r="G25" s="97" t="s">
        <v>494</v>
      </c>
      <c r="H25" s="33"/>
      <c r="I25" s="33"/>
      <c r="J25" s="33"/>
      <c r="K25" s="33" t="s">
        <v>1278</v>
      </c>
      <c r="L25" s="41">
        <v>24198473</v>
      </c>
      <c r="M25" s="41">
        <v>0</v>
      </c>
    </row>
    <row r="26" spans="1:13" x14ac:dyDescent="0.25">
      <c r="A26" s="32">
        <v>52</v>
      </c>
      <c r="B26" s="87" t="str">
        <f>VLOOKUP(A26,Documentos!D:F,3,FALSE)</f>
        <v>Proposicion</v>
      </c>
      <c r="C26" s="88" t="str">
        <f>VLOOKUP(A26,Documentos!D:H,5,FALSE)</f>
        <v>DV</v>
      </c>
      <c r="D26" s="87">
        <f>VLOOKUP(A26,Documentos!D:I,6,FALSE)</f>
        <v>64</v>
      </c>
      <c r="E26" s="7" t="s">
        <v>60</v>
      </c>
      <c r="F26" s="10" t="s">
        <v>26</v>
      </c>
      <c r="G26" s="97" t="s">
        <v>494</v>
      </c>
      <c r="H26" s="33"/>
      <c r="I26" s="33"/>
      <c r="J26" s="33"/>
      <c r="K26" s="33" t="s">
        <v>1278</v>
      </c>
      <c r="L26" s="41">
        <v>5200000</v>
      </c>
      <c r="M26" s="41"/>
    </row>
    <row r="27" spans="1:13" x14ac:dyDescent="0.25">
      <c r="A27" s="32">
        <v>53</v>
      </c>
      <c r="B27" s="87" t="str">
        <f>VLOOKUP(A27,Documentos!D:F,3,FALSE)</f>
        <v>Proposicion</v>
      </c>
      <c r="C27" s="88" t="str">
        <f>VLOOKUP(A27,Documentos!D:H,5,FALSE)</f>
        <v>APR_FETCovid19</v>
      </c>
      <c r="D27" s="87">
        <f>VLOOKUP(A27,Documentos!D:I,6,FALSE)</f>
        <v>65</v>
      </c>
      <c r="E27" s="7" t="s">
        <v>43</v>
      </c>
      <c r="F27" s="10" t="s">
        <v>559</v>
      </c>
      <c r="G27" s="97" t="s">
        <v>494</v>
      </c>
      <c r="H27" s="33"/>
      <c r="I27" s="33"/>
      <c r="J27" s="33"/>
      <c r="K27" s="33" t="s">
        <v>1282</v>
      </c>
      <c r="L27" s="41">
        <v>5217767</v>
      </c>
      <c r="M27" s="41">
        <v>0</v>
      </c>
    </row>
    <row r="28" spans="1:13" x14ac:dyDescent="0.25">
      <c r="A28" s="32">
        <v>54</v>
      </c>
      <c r="B28" s="87" t="str">
        <f>VLOOKUP(A28,Documentos!D:F,3,FALSE)</f>
        <v>Oficio_Solicitud</v>
      </c>
      <c r="C28" s="88" t="str">
        <f>VLOOKUP(A28,Documentos!D:H,5,FALSE)</f>
        <v>DOP_FETCovid19</v>
      </c>
      <c r="D28" s="87">
        <f>VLOOKUP(A28,Documentos!D:I,6,FALSE)</f>
        <v>65</v>
      </c>
      <c r="E28" s="7" t="s">
        <v>60</v>
      </c>
      <c r="F28" s="10" t="s">
        <v>541</v>
      </c>
      <c r="G28" s="97" t="s">
        <v>494</v>
      </c>
      <c r="H28" s="33"/>
      <c r="I28" s="33"/>
      <c r="J28" s="33"/>
      <c r="K28" s="33" t="s">
        <v>1278</v>
      </c>
      <c r="L28" s="41">
        <v>2921000</v>
      </c>
      <c r="M28" s="41">
        <v>4440205</v>
      </c>
    </row>
    <row r="29" spans="1:13" x14ac:dyDescent="0.25">
      <c r="A29" s="32">
        <v>58</v>
      </c>
      <c r="B29" s="87" t="str">
        <f>VLOOKUP(A29,Documentos!D:F,3,FALSE)</f>
        <v>Proposicion</v>
      </c>
      <c r="C29" s="88" t="str">
        <f>VLOOKUP(A29,Documentos!D:H,5,FALSE)</f>
        <v>DOP_FETCovid19</v>
      </c>
      <c r="D29" s="87">
        <f>VLOOKUP(A29,Documentos!D:I,6,FALSE)</f>
        <v>66</v>
      </c>
      <c r="E29" s="7" t="s">
        <v>60</v>
      </c>
      <c r="F29" s="10" t="s">
        <v>541</v>
      </c>
      <c r="G29" s="97" t="s">
        <v>494</v>
      </c>
      <c r="H29" s="33"/>
      <c r="I29" s="33"/>
      <c r="J29" s="33"/>
      <c r="K29" s="33" t="s">
        <v>1278</v>
      </c>
      <c r="L29" s="41">
        <v>800000</v>
      </c>
      <c r="M29" s="41"/>
    </row>
    <row r="30" spans="1:13" x14ac:dyDescent="0.25">
      <c r="A30" s="32">
        <v>59</v>
      </c>
      <c r="B30" s="87" t="str">
        <f>VLOOKUP(A30,Documentos!D:F,3,FALSE)</f>
        <v>Proposicion</v>
      </c>
      <c r="C30" s="88" t="str">
        <f>VLOOKUP(A30,Documentos!D:H,5,FALSE)</f>
        <v>DOP</v>
      </c>
      <c r="D30" s="87">
        <f>VLOOKUP(A30,Documentos!D:I,6,FALSE)</f>
        <v>67</v>
      </c>
      <c r="E30" s="7" t="s">
        <v>60</v>
      </c>
      <c r="F30" s="10" t="s">
        <v>22</v>
      </c>
      <c r="G30" s="97" t="s">
        <v>494</v>
      </c>
      <c r="H30" s="33"/>
      <c r="I30" s="33"/>
      <c r="J30" s="33"/>
      <c r="K30" s="33" t="s">
        <v>1278</v>
      </c>
      <c r="L30" s="41">
        <v>2925645</v>
      </c>
      <c r="M30" s="41">
        <v>404658</v>
      </c>
    </row>
    <row r="31" spans="1:13" x14ac:dyDescent="0.25">
      <c r="A31" s="32">
        <v>60</v>
      </c>
      <c r="B31" s="87" t="str">
        <f>VLOOKUP(A31,Documentos!D:F,3,FALSE)</f>
        <v>Oficio_Solicitud</v>
      </c>
      <c r="C31" s="88" t="str">
        <f>VLOOKUP(A31,Documentos!D:H,5,FALSE)</f>
        <v>DP</v>
      </c>
      <c r="D31" s="87">
        <f>VLOOKUP(A31,Documentos!D:I,6,FALSE)</f>
        <v>68</v>
      </c>
      <c r="E31" s="7" t="s">
        <v>43</v>
      </c>
      <c r="F31" s="10" t="s">
        <v>24</v>
      </c>
      <c r="G31" s="97" t="s">
        <v>494</v>
      </c>
      <c r="H31" s="33"/>
      <c r="I31" s="33"/>
      <c r="J31" s="33"/>
      <c r="K31" s="33" t="s">
        <v>1236</v>
      </c>
      <c r="L31" s="41">
        <v>60300</v>
      </c>
      <c r="M31" s="41">
        <v>0</v>
      </c>
    </row>
    <row r="32" spans="1:13" x14ac:dyDescent="0.25">
      <c r="A32" s="32">
        <v>63</v>
      </c>
      <c r="B32" s="87" t="str">
        <f>VLOOKUP(A32,Documentos!D:F,3,FALSE)</f>
        <v>Oficio_Solicitud</v>
      </c>
      <c r="C32" s="88" t="str">
        <f>VLOOKUP(A32,Documentos!D:H,5,FALSE)</f>
        <v>DP</v>
      </c>
      <c r="D32" s="87">
        <f>VLOOKUP(A32,Documentos!D:I,6,FALSE)</f>
        <v>72</v>
      </c>
      <c r="E32" s="7" t="s">
        <v>43</v>
      </c>
      <c r="F32" s="10" t="s">
        <v>24</v>
      </c>
      <c r="G32" s="97" t="s">
        <v>494</v>
      </c>
      <c r="H32" s="33"/>
      <c r="I32" s="33"/>
      <c r="J32" s="33"/>
      <c r="K32" s="33" t="s">
        <v>1278</v>
      </c>
      <c r="L32" s="41">
        <v>60200</v>
      </c>
      <c r="M32" s="41">
        <v>0</v>
      </c>
    </row>
    <row r="33" spans="1:13" x14ac:dyDescent="0.25">
      <c r="A33" s="32">
        <v>65</v>
      </c>
      <c r="B33" s="87" t="str">
        <f>VLOOKUP(A33,Documentos!D:F,3,FALSE)</f>
        <v>Proposicion</v>
      </c>
      <c r="C33" s="88" t="str">
        <f>VLOOKUP(A33,Documentos!D:H,5,FALSE)</f>
        <v>DV_FETCovid19</v>
      </c>
      <c r="D33" s="87">
        <f>VLOOKUP(A33,Documentos!D:I,6,FALSE)</f>
        <v>75</v>
      </c>
      <c r="E33" s="7" t="s">
        <v>43</v>
      </c>
      <c r="F33" s="10" t="s">
        <v>538</v>
      </c>
      <c r="G33" s="97" t="s">
        <v>494</v>
      </c>
      <c r="H33" s="33"/>
      <c r="I33" s="33"/>
      <c r="J33" s="33"/>
      <c r="K33" s="33" t="s">
        <v>1236</v>
      </c>
      <c r="L33" s="41">
        <v>410000</v>
      </c>
      <c r="M33" s="41">
        <v>0</v>
      </c>
    </row>
    <row r="34" spans="1:13" x14ac:dyDescent="0.25">
      <c r="A34" s="32">
        <v>68</v>
      </c>
      <c r="B34" s="87" t="str">
        <f>VLOOKUP(A34,Documentos!D:F,3,FALSE)</f>
        <v>Proposicion</v>
      </c>
      <c r="C34" s="88" t="str">
        <f>VLOOKUP(A34,Documentos!D:H,5,FALSE)</f>
        <v>DV-SISS</v>
      </c>
      <c r="D34" s="87">
        <f>VLOOKUP(A34,Documentos!D:I,6,FALSE)</f>
        <v>77</v>
      </c>
      <c r="E34" s="7" t="s">
        <v>59</v>
      </c>
      <c r="F34" s="10" t="s">
        <v>26</v>
      </c>
      <c r="G34" s="97" t="s">
        <v>494</v>
      </c>
      <c r="H34" s="33"/>
      <c r="I34" s="33"/>
      <c r="J34" s="33"/>
      <c r="K34" s="33" t="s">
        <v>1236</v>
      </c>
      <c r="L34" s="41">
        <v>449427</v>
      </c>
      <c r="M34" s="41"/>
    </row>
    <row r="35" spans="1:13" x14ac:dyDescent="0.25">
      <c r="A35" s="32">
        <v>69</v>
      </c>
      <c r="B35" s="87" t="str">
        <f>VLOOKUP(A35,Documentos!D:F,3,FALSE)</f>
        <v>Proposicion</v>
      </c>
      <c r="C35" s="88" t="str">
        <f>VLOOKUP(A35,Documentos!D:H,5,FALSE)</f>
        <v>DV</v>
      </c>
      <c r="D35" s="87">
        <f>VLOOKUP(A35,Documentos!D:I,6,FALSE)</f>
        <v>78</v>
      </c>
      <c r="E35" s="7" t="s">
        <v>43</v>
      </c>
      <c r="F35" s="10" t="s">
        <v>26</v>
      </c>
      <c r="G35" s="97" t="s">
        <v>494</v>
      </c>
      <c r="H35" s="33"/>
      <c r="I35" s="33"/>
      <c r="J35" s="33"/>
      <c r="K35" s="33" t="s">
        <v>1278</v>
      </c>
      <c r="L35" s="41">
        <v>38315614</v>
      </c>
      <c r="M35" s="41">
        <v>0</v>
      </c>
    </row>
    <row r="36" spans="1:13" x14ac:dyDescent="0.25">
      <c r="A36" s="32">
        <v>71</v>
      </c>
      <c r="B36" s="87" t="str">
        <f>VLOOKUP(A36,Documentos!D:F,3,FALSE)</f>
        <v>Proposicion</v>
      </c>
      <c r="C36" s="88" t="str">
        <f>VLOOKUP(A36,Documentos!D:H,5,FALSE)</f>
        <v>APR_FETCovid19</v>
      </c>
      <c r="D36" s="87">
        <f>VLOOKUP(A36,Documentos!D:I,6,FALSE)</f>
        <v>79</v>
      </c>
      <c r="E36" s="7" t="s">
        <v>60</v>
      </c>
      <c r="F36" s="10" t="s">
        <v>559</v>
      </c>
      <c r="G36" s="97" t="s">
        <v>494</v>
      </c>
      <c r="H36" s="33"/>
      <c r="I36" s="33"/>
      <c r="J36" s="33"/>
      <c r="K36" s="33" t="s">
        <v>1278</v>
      </c>
      <c r="L36" s="41">
        <v>9050247</v>
      </c>
      <c r="M36" s="41">
        <v>0</v>
      </c>
    </row>
    <row r="37" spans="1:13" x14ac:dyDescent="0.25">
      <c r="A37" s="32">
        <v>72</v>
      </c>
      <c r="B37" s="87" t="str">
        <f>VLOOKUP(A37,Documentos!D:F,3,FALSE)</f>
        <v>Oficio_Solicitud</v>
      </c>
      <c r="C37" s="88" t="str">
        <f>VLOOKUP(A37,Documentos!D:H,5,FALSE)</f>
        <v>DAP_FETCovid19</v>
      </c>
      <c r="D37" s="87">
        <f>VLOOKUP(A37,Documentos!D:I,6,FALSE)</f>
        <v>82</v>
      </c>
      <c r="E37" s="7" t="s">
        <v>1258</v>
      </c>
      <c r="F37" s="10" t="s">
        <v>544</v>
      </c>
      <c r="G37" s="97" t="s">
        <v>494</v>
      </c>
      <c r="H37" s="33"/>
      <c r="I37" s="33"/>
      <c r="J37" s="33"/>
      <c r="K37" s="33" t="s">
        <v>1236</v>
      </c>
      <c r="L37" s="41">
        <v>26000</v>
      </c>
      <c r="M37" s="41">
        <v>26000</v>
      </c>
    </row>
    <row r="38" spans="1:13" x14ac:dyDescent="0.25">
      <c r="A38" s="32">
        <v>74</v>
      </c>
      <c r="B38" s="87" t="str">
        <f>VLOOKUP(A38,Documentos!D:F,3,FALSE)</f>
        <v>Proposicion</v>
      </c>
      <c r="C38" s="88" t="str">
        <f>VLOOKUP(A38,Documentos!D:H,5,FALSE)</f>
        <v>DGC</v>
      </c>
      <c r="D38" s="87">
        <f>VLOOKUP(A38,Documentos!D:I,6,FALSE)</f>
        <v>84</v>
      </c>
      <c r="E38" s="7" t="s">
        <v>60</v>
      </c>
      <c r="F38" s="10" t="s">
        <v>16</v>
      </c>
      <c r="G38" s="97" t="s">
        <v>494</v>
      </c>
      <c r="H38" s="33"/>
      <c r="I38" s="33"/>
      <c r="J38" s="33"/>
      <c r="K38" s="33" t="s">
        <v>1278</v>
      </c>
      <c r="L38" s="41">
        <v>65653</v>
      </c>
      <c r="M38" s="41"/>
    </row>
    <row r="39" spans="1:13" x14ac:dyDescent="0.25">
      <c r="A39" s="32">
        <v>75</v>
      </c>
      <c r="B39" s="87" t="str">
        <f>VLOOKUP(A39,Documentos!D:F,3,FALSE)</f>
        <v>Proposicion</v>
      </c>
      <c r="C39" s="88" t="str">
        <f>VLOOKUP(A39,Documentos!D:H,5,FALSE)</f>
        <v>DAP_FETCovid19</v>
      </c>
      <c r="D39" s="87">
        <f>VLOOKUP(A39,Documentos!D:I,6,FALSE)</f>
        <v>86</v>
      </c>
      <c r="E39" s="7" t="s">
        <v>1258</v>
      </c>
      <c r="F39" s="10" t="s">
        <v>544</v>
      </c>
      <c r="G39" s="97" t="s">
        <v>494</v>
      </c>
      <c r="H39" s="33"/>
      <c r="I39" s="33"/>
      <c r="J39" s="33"/>
      <c r="K39" s="33" t="s">
        <v>1236</v>
      </c>
      <c r="L39" s="41">
        <v>26000</v>
      </c>
      <c r="M39" s="41">
        <v>26000</v>
      </c>
    </row>
    <row r="40" spans="1:13" x14ac:dyDescent="0.25">
      <c r="A40" s="32">
        <v>76</v>
      </c>
      <c r="B40" s="87" t="str">
        <f>VLOOKUP(A40,Documentos!D:F,3,FALSE)</f>
        <v>Proposicion</v>
      </c>
      <c r="C40" s="88" t="str">
        <f>VLOOKUP(A40,Documentos!D:H,5,FALSE)</f>
        <v>APR</v>
      </c>
      <c r="D40" s="87">
        <f>VLOOKUP(A40,Documentos!D:I,6,FALSE)</f>
        <v>87</v>
      </c>
      <c r="E40" s="7" t="s">
        <v>60</v>
      </c>
      <c r="F40" s="10" t="s">
        <v>6</v>
      </c>
      <c r="G40" s="97" t="s">
        <v>494</v>
      </c>
      <c r="H40" s="33"/>
      <c r="I40" s="33"/>
      <c r="J40" s="33"/>
      <c r="K40" s="33" t="s">
        <v>1278</v>
      </c>
      <c r="L40" s="41">
        <v>9463690</v>
      </c>
      <c r="M40" s="41">
        <v>0</v>
      </c>
    </row>
    <row r="41" spans="1:13" x14ac:dyDescent="0.25">
      <c r="A41" s="32">
        <v>77</v>
      </c>
      <c r="B41" s="87" t="str">
        <f>VLOOKUP(A41,Documentos!D:F,3,FALSE)</f>
        <v>Proposicion</v>
      </c>
      <c r="C41" s="88" t="str">
        <f>VLOOKUP(A41,Documentos!D:H,5,FALSE)</f>
        <v>APR</v>
      </c>
      <c r="D41" s="87">
        <f>VLOOKUP(A41,Documentos!D:I,6,FALSE)</f>
        <v>88</v>
      </c>
      <c r="E41" s="7" t="s">
        <v>60</v>
      </c>
      <c r="F41" s="10" t="s">
        <v>6</v>
      </c>
      <c r="G41" s="97" t="s">
        <v>494</v>
      </c>
      <c r="H41" s="33"/>
      <c r="I41" s="33"/>
      <c r="J41" s="33"/>
      <c r="K41" s="33" t="s">
        <v>1278</v>
      </c>
      <c r="L41" s="41">
        <v>15752216</v>
      </c>
      <c r="M41" s="41">
        <v>0</v>
      </c>
    </row>
    <row r="42" spans="1:13" x14ac:dyDescent="0.25">
      <c r="A42" s="32">
        <v>78</v>
      </c>
      <c r="B42" s="87" t="str">
        <f>VLOOKUP(A42,Documentos!D:F,3,FALSE)</f>
        <v>Proposicion</v>
      </c>
      <c r="C42" s="88" t="str">
        <f>VLOOKUP(A42,Documentos!D:H,5,FALSE)</f>
        <v>APR</v>
      </c>
      <c r="D42" s="87">
        <f>VLOOKUP(A42,Documentos!D:I,6,FALSE)</f>
        <v>89</v>
      </c>
      <c r="E42" s="7" t="s">
        <v>60</v>
      </c>
      <c r="F42" s="10" t="s">
        <v>6</v>
      </c>
      <c r="G42" s="97" t="s">
        <v>494</v>
      </c>
      <c r="H42" s="33"/>
      <c r="I42" s="33"/>
      <c r="J42" s="33"/>
      <c r="K42" s="33" t="s">
        <v>1278</v>
      </c>
      <c r="L42" s="41">
        <v>11361926</v>
      </c>
      <c r="M42" s="41">
        <v>0</v>
      </c>
    </row>
    <row r="43" spans="1:13" x14ac:dyDescent="0.25">
      <c r="A43" s="32">
        <v>80</v>
      </c>
      <c r="B43" s="87" t="str">
        <f>VLOOKUP(A43,Documentos!D:F,3,FALSE)</f>
        <v>Oficio_Solicitud</v>
      </c>
      <c r="C43" s="88" t="str">
        <f>VLOOKUP(A43,Documentos!D:H,5,FALSE)</f>
        <v>DGC</v>
      </c>
      <c r="D43" s="87">
        <f>VLOOKUP(A43,Documentos!D:I,6,FALSE)</f>
        <v>94</v>
      </c>
      <c r="E43" s="7" t="s">
        <v>60</v>
      </c>
      <c r="F43" s="10" t="s">
        <v>16</v>
      </c>
      <c r="G43" s="97" t="s">
        <v>494</v>
      </c>
      <c r="H43" s="33"/>
      <c r="I43" s="33"/>
      <c r="J43" s="33"/>
      <c r="K43" s="33" t="s">
        <v>1278</v>
      </c>
      <c r="L43" s="41">
        <v>6416380</v>
      </c>
      <c r="M43" s="41">
        <v>0</v>
      </c>
    </row>
    <row r="44" spans="1:13" x14ac:dyDescent="0.25">
      <c r="A44" s="32">
        <v>81</v>
      </c>
      <c r="B44" s="87" t="str">
        <f>VLOOKUP(A44,Documentos!D:F,3,FALSE)</f>
        <v>Oficio_Solicitud</v>
      </c>
      <c r="C44" s="88" t="str">
        <f>VLOOKUP(A44,Documentos!D:H,5,FALSE)</f>
        <v>DAP_FETCovid19</v>
      </c>
      <c r="D44" s="87">
        <f>VLOOKUP(A44,Documentos!D:I,6,FALSE)</f>
        <v>94</v>
      </c>
      <c r="E44" s="7" t="s">
        <v>60</v>
      </c>
      <c r="F44" s="10" t="s">
        <v>544</v>
      </c>
      <c r="G44" s="97" t="s">
        <v>494</v>
      </c>
      <c r="H44" s="33"/>
      <c r="I44" s="33"/>
      <c r="J44" s="33"/>
      <c r="K44" s="33" t="s">
        <v>1278</v>
      </c>
      <c r="L44" s="41">
        <v>2899501</v>
      </c>
      <c r="M44" s="41">
        <v>2841378</v>
      </c>
    </row>
    <row r="45" spans="1:13" x14ac:dyDescent="0.25">
      <c r="A45" s="32">
        <v>82</v>
      </c>
      <c r="B45" s="87" t="str">
        <f>VLOOKUP(A45,Documentos!D:F,3,FALSE)</f>
        <v>Oficio_Solicitud</v>
      </c>
      <c r="C45" s="88" t="str">
        <f>VLOOKUP(A45,Documentos!D:H,5,FALSE)</f>
        <v>DOP_FETCovid19</v>
      </c>
      <c r="D45" s="87">
        <f>VLOOKUP(A45,Documentos!D:I,6,FALSE)</f>
        <v>95</v>
      </c>
      <c r="E45" s="7" t="s">
        <v>60</v>
      </c>
      <c r="F45" s="10" t="s">
        <v>541</v>
      </c>
      <c r="G45" s="97" t="s">
        <v>494</v>
      </c>
      <c r="H45" s="33"/>
      <c r="I45" s="33"/>
      <c r="J45" s="33"/>
      <c r="K45" s="33" t="s">
        <v>1278</v>
      </c>
      <c r="L45" s="41">
        <v>800000</v>
      </c>
      <c r="M45" s="41"/>
    </row>
    <row r="46" spans="1:13" x14ac:dyDescent="0.25">
      <c r="A46" s="32">
        <v>86</v>
      </c>
      <c r="B46" s="87" t="str">
        <f>VLOOKUP(A46,Documentos!D:F,3,FALSE)</f>
        <v>Oficio_Solicitud</v>
      </c>
      <c r="C46" s="88" t="str">
        <f>VLOOKUP(A46,Documentos!D:H,5,FALSE)</f>
        <v>DGC</v>
      </c>
      <c r="D46" s="87">
        <f>VLOOKUP(A46,Documentos!D:I,6,FALSE)</f>
        <v>96</v>
      </c>
      <c r="E46" s="7" t="s">
        <v>60</v>
      </c>
      <c r="F46" s="10" t="s">
        <v>16</v>
      </c>
      <c r="G46" s="97" t="s">
        <v>494</v>
      </c>
      <c r="H46" s="33"/>
      <c r="I46" s="33"/>
      <c r="J46" s="33"/>
      <c r="K46" s="33" t="s">
        <v>1278</v>
      </c>
      <c r="L46" s="41">
        <v>25545442</v>
      </c>
      <c r="M46" s="41">
        <v>25545442</v>
      </c>
    </row>
    <row r="47" spans="1:13" x14ac:dyDescent="0.25">
      <c r="A47" s="32">
        <v>87</v>
      </c>
      <c r="B47" s="87" t="str">
        <f>VLOOKUP(A47,Documentos!D:F,3,FALSE)</f>
        <v>Oficio_Solicitud</v>
      </c>
      <c r="C47" s="88" t="str">
        <f>VLOOKUP(A47,Documentos!D:H,5,FALSE)</f>
        <v>DOP</v>
      </c>
      <c r="D47" s="87">
        <f>VLOOKUP(A47,Documentos!D:I,6,FALSE)</f>
        <v>96</v>
      </c>
      <c r="E47" s="7" t="s">
        <v>60</v>
      </c>
      <c r="F47" s="10" t="s">
        <v>22</v>
      </c>
      <c r="G47" s="97" t="s">
        <v>494</v>
      </c>
      <c r="H47" s="33"/>
      <c r="I47" s="33"/>
      <c r="J47" s="33"/>
      <c r="K47" s="33" t="s">
        <v>1278</v>
      </c>
      <c r="L47" s="41">
        <v>2925645</v>
      </c>
      <c r="M47" s="41">
        <v>404658</v>
      </c>
    </row>
    <row r="48" spans="1:13" x14ac:dyDescent="0.25">
      <c r="A48" s="32">
        <v>91</v>
      </c>
      <c r="B48" s="87" t="str">
        <f>VLOOKUP(A48,Documentos!D:F,3,FALSE)</f>
        <v>Proposicion</v>
      </c>
      <c r="C48" s="88" t="str">
        <f>VLOOKUP(A48,Documentos!D:H,5,FALSE)</f>
        <v>DOH</v>
      </c>
      <c r="D48" s="87">
        <f>VLOOKUP(A48,Documentos!D:I,6,FALSE)</f>
        <v>98</v>
      </c>
      <c r="E48" s="7" t="s">
        <v>60</v>
      </c>
      <c r="F48" s="10" t="s">
        <v>20</v>
      </c>
      <c r="G48" s="97" t="s">
        <v>494</v>
      </c>
      <c r="H48" s="33"/>
      <c r="I48" s="33"/>
      <c r="J48" s="33"/>
      <c r="K48" s="33" t="s">
        <v>1278</v>
      </c>
      <c r="L48" s="41">
        <v>2483960</v>
      </c>
      <c r="M48" s="41">
        <v>0</v>
      </c>
    </row>
    <row r="49" spans="1:17" x14ac:dyDescent="0.25">
      <c r="A49" s="42">
        <v>92</v>
      </c>
      <c r="B49" s="87" t="str">
        <f>VLOOKUP(A49,Documentos!D:F,3,FALSE)</f>
        <v>Oficio_Solicitud</v>
      </c>
      <c r="C49" s="88" t="str">
        <f>VLOOKUP(A49,Documentos!D:H,5,FALSE)</f>
        <v>DAP</v>
      </c>
      <c r="D49" s="89">
        <f>VLOOKUP(A49,Documentos!D:I,6,FALSE)</f>
        <v>100</v>
      </c>
      <c r="E49" s="7" t="s">
        <v>44</v>
      </c>
      <c r="F49" s="10" t="s">
        <v>10</v>
      </c>
      <c r="G49" s="97" t="s">
        <v>498</v>
      </c>
      <c r="H49" s="33"/>
      <c r="I49" s="33"/>
      <c r="J49" s="33"/>
      <c r="K49" s="33" t="s">
        <v>1282</v>
      </c>
      <c r="L49" s="41">
        <v>0</v>
      </c>
      <c r="M49" s="41">
        <v>0</v>
      </c>
    </row>
    <row r="50" spans="1:17" x14ac:dyDescent="0.25">
      <c r="A50" s="32">
        <v>93</v>
      </c>
      <c r="B50" s="87" t="str">
        <f>VLOOKUP(A50,Documentos!D:F,3,FALSE)</f>
        <v>Proposicion</v>
      </c>
      <c r="C50" s="88" t="str">
        <f>VLOOKUP(A50,Documentos!D:H,5,FALSE)</f>
        <v>DAP_FETCovid19</v>
      </c>
      <c r="D50" s="87">
        <f>VLOOKUP(A50,Documentos!D:I,6,FALSE)</f>
        <v>102</v>
      </c>
      <c r="E50" s="7" t="s">
        <v>60</v>
      </c>
      <c r="F50" s="10" t="s">
        <v>544</v>
      </c>
      <c r="G50" s="97" t="s">
        <v>494</v>
      </c>
      <c r="H50" s="33"/>
      <c r="I50" s="33"/>
      <c r="J50" s="33"/>
      <c r="K50" s="33" t="s">
        <v>1278</v>
      </c>
      <c r="L50" s="41">
        <v>2899501</v>
      </c>
      <c r="M50" s="41">
        <v>2841378</v>
      </c>
    </row>
    <row r="51" spans="1:17" x14ac:dyDescent="0.25">
      <c r="A51" s="32">
        <v>94</v>
      </c>
      <c r="B51" s="87" t="str">
        <f>VLOOKUP(A51,Documentos!D:F,3,FALSE)</f>
        <v>Proposicion</v>
      </c>
      <c r="C51" s="88" t="str">
        <f>VLOOKUP(A51,Documentos!D:H,5,FALSE)</f>
        <v>DAP</v>
      </c>
      <c r="D51" s="89">
        <f>VLOOKUP(A51,Documentos!D:I,6,FALSE)</f>
        <v>103</v>
      </c>
      <c r="E51" s="7" t="s">
        <v>44</v>
      </c>
      <c r="F51" s="10" t="s">
        <v>10</v>
      </c>
      <c r="G51" s="97" t="s">
        <v>498</v>
      </c>
      <c r="H51" s="33"/>
      <c r="I51" s="33"/>
      <c r="J51" s="33"/>
      <c r="K51" s="33" t="s">
        <v>1282</v>
      </c>
      <c r="L51" s="41">
        <v>0</v>
      </c>
      <c r="M51" s="41">
        <v>0</v>
      </c>
    </row>
    <row r="52" spans="1:17" x14ac:dyDescent="0.25">
      <c r="A52" s="32">
        <v>95</v>
      </c>
      <c r="B52" s="87" t="str">
        <f>VLOOKUP(A52,Documentos!D:F,3,FALSE)</f>
        <v>Proposicion</v>
      </c>
      <c r="C52" s="88" t="str">
        <f>VLOOKUP(A52,Documentos!D:H,5,FALSE)</f>
        <v>DGC</v>
      </c>
      <c r="D52" s="87">
        <f>VLOOKUP(A52,Documentos!D:I,6,FALSE)</f>
        <v>104</v>
      </c>
      <c r="E52" s="7" t="s">
        <v>60</v>
      </c>
      <c r="F52" s="10" t="s">
        <v>16</v>
      </c>
      <c r="G52" s="97" t="s">
        <v>494</v>
      </c>
      <c r="H52" s="33"/>
      <c r="I52" s="33"/>
      <c r="J52" s="33"/>
      <c r="K52" s="33" t="s">
        <v>1278</v>
      </c>
      <c r="L52" s="41">
        <v>27385</v>
      </c>
      <c r="M52" s="41">
        <v>61576</v>
      </c>
    </row>
    <row r="53" spans="1:17" x14ac:dyDescent="0.25">
      <c r="A53" s="32">
        <v>101</v>
      </c>
      <c r="B53" s="87" t="str">
        <f>VLOOKUP(A53,Documentos!D:F,3,FALSE)</f>
        <v>Proposicion</v>
      </c>
      <c r="C53" s="88" t="str">
        <f>VLOOKUP(A53,Documentos!D:H,5,FALSE)</f>
        <v>DA</v>
      </c>
      <c r="D53" s="87">
        <f>VLOOKUP(A53,Documentos!D:I,6,FALSE)</f>
        <v>107</v>
      </c>
      <c r="E53" s="7" t="s">
        <v>60</v>
      </c>
      <c r="F53" s="10" t="s">
        <v>8</v>
      </c>
      <c r="G53" s="97" t="s">
        <v>494</v>
      </c>
      <c r="H53" s="33"/>
      <c r="I53" s="33"/>
      <c r="J53" s="33"/>
      <c r="K53" s="33" t="s">
        <v>1278</v>
      </c>
      <c r="L53" s="41">
        <v>1605058</v>
      </c>
      <c r="M53" s="41">
        <v>0</v>
      </c>
    </row>
    <row r="54" spans="1:17" x14ac:dyDescent="0.25">
      <c r="A54" s="32">
        <v>102</v>
      </c>
      <c r="B54" s="87" t="str">
        <f>VLOOKUP(A54,Documentos!D:F,3,FALSE)</f>
        <v>Proposicion</v>
      </c>
      <c r="C54" s="88" t="str">
        <f>VLOOKUP(A54,Documentos!D:H,5,FALSE)</f>
        <v>APR_FETCovid19</v>
      </c>
      <c r="D54" s="87">
        <f>VLOOKUP(A54,Documentos!D:I,6,FALSE)</f>
        <v>108</v>
      </c>
      <c r="E54" s="7" t="s">
        <v>60</v>
      </c>
      <c r="F54" s="10" t="s">
        <v>559</v>
      </c>
      <c r="G54" s="97" t="s">
        <v>494</v>
      </c>
      <c r="H54" s="33"/>
      <c r="I54" s="33"/>
      <c r="J54" s="33"/>
      <c r="K54" s="33" t="s">
        <v>1278</v>
      </c>
      <c r="L54" s="41">
        <v>12333508</v>
      </c>
      <c r="M54" s="41">
        <v>0</v>
      </c>
      <c r="Q54" s="11"/>
    </row>
    <row r="55" spans="1:17" x14ac:dyDescent="0.25">
      <c r="A55" s="32">
        <v>104</v>
      </c>
      <c r="B55" s="87" t="str">
        <f>VLOOKUP(A55,Documentos!D:F,3,FALSE)</f>
        <v>Proposicion</v>
      </c>
      <c r="C55" s="88" t="str">
        <f>VLOOKUP(A55,Documentos!D:H,5,FALSE)</f>
        <v>DOP</v>
      </c>
      <c r="D55" s="87">
        <f>VLOOKUP(A55,Documentos!D:I,6,FALSE)</f>
        <v>110</v>
      </c>
      <c r="E55" s="7" t="s">
        <v>1258</v>
      </c>
      <c r="F55" s="10" t="s">
        <v>22</v>
      </c>
      <c r="G55" s="97" t="s">
        <v>494</v>
      </c>
      <c r="H55" s="33"/>
      <c r="I55" s="33"/>
      <c r="J55" s="33"/>
      <c r="K55" s="33" t="s">
        <v>1236</v>
      </c>
      <c r="L55" s="41">
        <v>300</v>
      </c>
      <c r="M55" s="41">
        <v>300</v>
      </c>
      <c r="Q55" s="11"/>
    </row>
    <row r="56" spans="1:17" x14ac:dyDescent="0.25">
      <c r="A56" s="32">
        <v>108</v>
      </c>
      <c r="B56" s="87" t="str">
        <f>VLOOKUP(A56,Documentos!D:F,3,FALSE)</f>
        <v>Proposicion</v>
      </c>
      <c r="C56" s="88" t="str">
        <f>VLOOKUP(A56,Documentos!D:H,5,FALSE)</f>
        <v>DOP_FETCovid19</v>
      </c>
      <c r="D56" s="87">
        <f>VLOOKUP(A56,Documentos!D:I,6,FALSE)</f>
        <v>113</v>
      </c>
      <c r="E56" s="7" t="s">
        <v>60</v>
      </c>
      <c r="F56" s="10" t="s">
        <v>541</v>
      </c>
      <c r="G56" s="97" t="s">
        <v>494</v>
      </c>
      <c r="H56" s="33"/>
      <c r="I56" s="33"/>
      <c r="J56" s="33"/>
      <c r="K56" s="33" t="s">
        <v>1278</v>
      </c>
      <c r="L56" s="41">
        <v>405019</v>
      </c>
      <c r="M56" s="41">
        <v>499430</v>
      </c>
    </row>
    <row r="57" spans="1:17" x14ac:dyDescent="0.25">
      <c r="A57" s="32">
        <v>112</v>
      </c>
      <c r="B57" s="87" t="str">
        <f>VLOOKUP(A57,Documentos!D:F,3,FALSE)</f>
        <v>Proposicion</v>
      </c>
      <c r="C57" s="88" t="str">
        <f>VLOOKUP(A57,Documentos!D:H,5,FALSE)</f>
        <v>DA_FETCovid19</v>
      </c>
      <c r="D57" s="87">
        <f>VLOOKUP(A57,Documentos!D:I,6,FALSE)</f>
        <v>115</v>
      </c>
      <c r="E57" s="7" t="s">
        <v>60</v>
      </c>
      <c r="F57" s="10" t="s">
        <v>532</v>
      </c>
      <c r="G57" s="97" t="s">
        <v>494</v>
      </c>
      <c r="H57" s="33"/>
      <c r="I57" s="33"/>
      <c r="J57" s="33"/>
      <c r="K57" s="33" t="s">
        <v>1278</v>
      </c>
      <c r="L57" s="41">
        <v>1605</v>
      </c>
      <c r="M57" s="41">
        <v>0</v>
      </c>
    </row>
    <row r="58" spans="1:17" x14ac:dyDescent="0.25">
      <c r="A58" s="32">
        <v>119</v>
      </c>
      <c r="B58" s="87" t="str">
        <f>VLOOKUP(A58,Documentos!D:F,3,FALSE)</f>
        <v>Oficio_Solicitud</v>
      </c>
      <c r="C58" s="88" t="str">
        <f>VLOOKUP(A58,Documentos!D:H,5,FALSE)</f>
        <v>DAP_FETCovid19</v>
      </c>
      <c r="D58" s="87">
        <f>VLOOKUP(A58,Documentos!D:I,6,FALSE)</f>
        <v>121</v>
      </c>
      <c r="E58" s="7" t="s">
        <v>1258</v>
      </c>
      <c r="F58" s="10" t="s">
        <v>544</v>
      </c>
      <c r="G58" s="97" t="s">
        <v>494</v>
      </c>
      <c r="H58" s="33"/>
      <c r="I58" s="33"/>
      <c r="J58" s="33"/>
      <c r="K58" s="33" t="s">
        <v>1236</v>
      </c>
      <c r="L58" s="41">
        <v>10630</v>
      </c>
      <c r="M58" s="41">
        <v>10630</v>
      </c>
    </row>
    <row r="59" spans="1:17" x14ac:dyDescent="0.25">
      <c r="A59" s="32">
        <v>121</v>
      </c>
      <c r="B59" s="87" t="str">
        <f>VLOOKUP(A59,Documentos!D:F,3,FALSE)</f>
        <v>Proposicion</v>
      </c>
      <c r="C59" s="88" t="str">
        <f>VLOOKUP(A59,Documentos!D:H,5,FALSE)</f>
        <v>DAP_FETCovid19</v>
      </c>
      <c r="D59" s="87">
        <f>VLOOKUP(A59,Documentos!D:I,6,FALSE)</f>
        <v>124</v>
      </c>
      <c r="E59" s="7" t="s">
        <v>1258</v>
      </c>
      <c r="F59" s="10" t="s">
        <v>544</v>
      </c>
      <c r="G59" s="97" t="s">
        <v>494</v>
      </c>
      <c r="H59" s="33"/>
      <c r="I59" s="33"/>
      <c r="J59" s="33"/>
      <c r="K59" s="33" t="s">
        <v>1236</v>
      </c>
      <c r="L59" s="41">
        <v>10630</v>
      </c>
      <c r="M59" s="41">
        <v>10630</v>
      </c>
    </row>
    <row r="60" spans="1:17" x14ac:dyDescent="0.25">
      <c r="A60" s="32">
        <v>125</v>
      </c>
      <c r="B60" s="87" t="str">
        <f>VLOOKUP(A60,Documentos!D:F,3,FALSE)</f>
        <v>Oficio_Solicitud</v>
      </c>
      <c r="C60" s="88" t="str">
        <f>VLOOKUP(A60,Documentos!D:H,5,FALSE)</f>
        <v>DAP_FETCovid19</v>
      </c>
      <c r="D60" s="87">
        <f>VLOOKUP(A60,Documentos!D:I,6,FALSE)</f>
        <v>128</v>
      </c>
      <c r="E60" s="7" t="s">
        <v>1258</v>
      </c>
      <c r="F60" s="10" t="s">
        <v>544</v>
      </c>
      <c r="G60" s="97" t="s">
        <v>494</v>
      </c>
      <c r="H60" s="33"/>
      <c r="I60" s="33"/>
      <c r="J60" s="33"/>
      <c r="K60" s="33" t="s">
        <v>1236</v>
      </c>
      <c r="L60" s="41">
        <v>78600</v>
      </c>
      <c r="M60" s="41">
        <v>78600</v>
      </c>
    </row>
    <row r="61" spans="1:17" x14ac:dyDescent="0.25">
      <c r="A61" s="32">
        <v>126</v>
      </c>
      <c r="B61" s="87" t="str">
        <f>VLOOKUP(A61,Documentos!D:F,3,FALSE)</f>
        <v>Proposicion</v>
      </c>
      <c r="C61" s="88" t="str">
        <f>VLOOKUP(A61,Documentos!D:H,5,FALSE)</f>
        <v>DOH_FETCovid19</v>
      </c>
      <c r="D61" s="87">
        <f>VLOOKUP(A61,Documentos!D:I,6,FALSE)</f>
        <v>128</v>
      </c>
      <c r="E61" s="7" t="s">
        <v>1258</v>
      </c>
      <c r="F61" s="10" t="s">
        <v>535</v>
      </c>
      <c r="G61" s="97" t="s">
        <v>494</v>
      </c>
      <c r="H61" s="33"/>
      <c r="I61" s="33"/>
      <c r="J61" s="33"/>
      <c r="K61" s="33" t="s">
        <v>1236</v>
      </c>
      <c r="L61" s="41">
        <v>6226</v>
      </c>
      <c r="M61" s="41">
        <v>6226</v>
      </c>
    </row>
    <row r="62" spans="1:17" x14ac:dyDescent="0.25">
      <c r="A62" s="32">
        <v>127</v>
      </c>
      <c r="B62" s="87" t="str">
        <f>VLOOKUP(A62,Documentos!D:F,3,FALSE)</f>
        <v>Proposicion</v>
      </c>
      <c r="C62" s="88" t="str">
        <f>VLOOKUP(A62,Documentos!D:H,5,FALSE)</f>
        <v>DOH</v>
      </c>
      <c r="D62" s="87">
        <f>VLOOKUP(A62,Documentos!D:I,6,FALSE)</f>
        <v>129</v>
      </c>
      <c r="E62" s="7" t="s">
        <v>1258</v>
      </c>
      <c r="F62" s="10" t="s">
        <v>20</v>
      </c>
      <c r="G62" s="97" t="s">
        <v>494</v>
      </c>
      <c r="H62" s="33"/>
      <c r="I62" s="33"/>
      <c r="J62" s="33"/>
      <c r="K62" s="33" t="s">
        <v>1236</v>
      </c>
      <c r="L62" s="41">
        <v>1337</v>
      </c>
      <c r="M62" s="41">
        <v>1337</v>
      </c>
    </row>
    <row r="63" spans="1:17" x14ac:dyDescent="0.25">
      <c r="A63" s="32">
        <v>128</v>
      </c>
      <c r="B63" s="87" t="str">
        <f>VLOOKUP(A63,Documentos!D:F,3,FALSE)</f>
        <v>Oficio_Solicitud</v>
      </c>
      <c r="C63" s="88" t="str">
        <f>VLOOKUP(A63,Documentos!D:H,5,FALSE)</f>
        <v>DAP</v>
      </c>
      <c r="D63" s="87">
        <f>VLOOKUP(A63,Documentos!D:I,6,FALSE)</f>
        <v>130</v>
      </c>
      <c r="E63" s="7" t="s">
        <v>1258</v>
      </c>
      <c r="F63" s="10" t="s">
        <v>10</v>
      </c>
      <c r="G63" s="97" t="s">
        <v>494</v>
      </c>
      <c r="H63" s="33"/>
      <c r="I63" s="33"/>
      <c r="J63" s="33"/>
      <c r="K63" s="33" t="s">
        <v>1236</v>
      </c>
      <c r="L63" s="41">
        <v>14256</v>
      </c>
      <c r="M63" s="41">
        <v>14256</v>
      </c>
    </row>
    <row r="64" spans="1:17" x14ac:dyDescent="0.25">
      <c r="A64" s="32">
        <v>129</v>
      </c>
      <c r="B64" s="87" t="str">
        <f>VLOOKUP(A64,Documentos!D:F,3,FALSE)</f>
        <v>Proposicion</v>
      </c>
      <c r="C64" s="88" t="str">
        <f>VLOOKUP(A64,Documentos!D:H,5,FALSE)</f>
        <v>DOP</v>
      </c>
      <c r="D64" s="87">
        <f>VLOOKUP(A64,Documentos!D:I,6,FALSE)</f>
        <v>130</v>
      </c>
      <c r="E64" s="7" t="s">
        <v>1258</v>
      </c>
      <c r="F64" s="10" t="s">
        <v>22</v>
      </c>
      <c r="G64" s="97" t="s">
        <v>494</v>
      </c>
      <c r="H64" s="33"/>
      <c r="I64" s="33"/>
      <c r="J64" s="33"/>
      <c r="K64" s="33" t="s">
        <v>1236</v>
      </c>
      <c r="L64" s="41">
        <v>35067</v>
      </c>
      <c r="M64" s="41">
        <v>35067</v>
      </c>
    </row>
    <row r="65" spans="1:13" x14ac:dyDescent="0.25">
      <c r="A65" s="32">
        <v>130</v>
      </c>
      <c r="B65" s="87" t="str">
        <f>VLOOKUP(A65,Documentos!D:F,3,FALSE)</f>
        <v>Proposicion</v>
      </c>
      <c r="C65" s="88" t="str">
        <f>VLOOKUP(A65,Documentos!D:H,5,FALSE)</f>
        <v>DOP</v>
      </c>
      <c r="D65" s="87">
        <f>VLOOKUP(A65,Documentos!D:I,6,FALSE)</f>
        <v>131</v>
      </c>
      <c r="E65" s="7" t="s">
        <v>1258</v>
      </c>
      <c r="F65" s="10" t="s">
        <v>22</v>
      </c>
      <c r="G65" s="97" t="s">
        <v>494</v>
      </c>
      <c r="H65" s="33"/>
      <c r="I65" s="33"/>
      <c r="J65" s="33"/>
      <c r="K65" s="33" t="s">
        <v>1236</v>
      </c>
      <c r="L65" s="41">
        <v>42</v>
      </c>
      <c r="M65" s="41">
        <v>42</v>
      </c>
    </row>
    <row r="66" spans="1:13" x14ac:dyDescent="0.25">
      <c r="A66" s="32">
        <v>131</v>
      </c>
      <c r="B66" s="87" t="str">
        <f>VLOOKUP(A66,Documentos!D:F,3,FALSE)</f>
        <v>Proposicion</v>
      </c>
      <c r="C66" s="88" t="str">
        <f>VLOOKUP(A66,Documentos!D:H,5,FALSE)</f>
        <v>DOP</v>
      </c>
      <c r="D66" s="87">
        <f>VLOOKUP(A66,Documentos!D:I,6,FALSE)</f>
        <v>132</v>
      </c>
      <c r="E66" s="7" t="s">
        <v>1258</v>
      </c>
      <c r="F66" s="10" t="s">
        <v>22</v>
      </c>
      <c r="G66" s="97" t="s">
        <v>494</v>
      </c>
      <c r="H66" s="33"/>
      <c r="I66" s="33"/>
      <c r="J66" s="33"/>
      <c r="K66" s="33" t="s">
        <v>1236</v>
      </c>
      <c r="L66" s="41">
        <v>120</v>
      </c>
      <c r="M66" s="41">
        <v>120</v>
      </c>
    </row>
    <row r="67" spans="1:13" x14ac:dyDescent="0.25">
      <c r="A67" s="32">
        <v>138</v>
      </c>
      <c r="B67" s="87" t="str">
        <f>VLOOKUP(A67,Documentos!D:F,3,FALSE)</f>
        <v>Oficio_Solicitud</v>
      </c>
      <c r="C67" s="88" t="str">
        <f>VLOOKUP(A67,Documentos!D:H,5,FALSE)</f>
        <v>DAP</v>
      </c>
      <c r="D67" s="87">
        <f>VLOOKUP(A67,Documentos!D:I,6,FALSE)</f>
        <v>141</v>
      </c>
      <c r="E67" s="7" t="s">
        <v>60</v>
      </c>
      <c r="F67" s="10" t="s">
        <v>10</v>
      </c>
      <c r="G67" s="97" t="s">
        <v>494</v>
      </c>
      <c r="H67" s="33"/>
      <c r="I67" s="33"/>
      <c r="J67" s="33"/>
      <c r="K67" s="33" t="s">
        <v>1278</v>
      </c>
      <c r="L67" s="41">
        <v>621205</v>
      </c>
      <c r="M67" s="41">
        <v>621205</v>
      </c>
    </row>
    <row r="68" spans="1:13" x14ac:dyDescent="0.25">
      <c r="A68" s="32">
        <v>141</v>
      </c>
      <c r="B68" s="87" t="str">
        <f>VLOOKUP(A68,Documentos!D:F,3,FALSE)</f>
        <v>Proposicion</v>
      </c>
      <c r="C68" s="88" t="str">
        <f>VLOOKUP(A68,Documentos!D:H,5,FALSE)</f>
        <v>DAP</v>
      </c>
      <c r="D68" s="87">
        <f>VLOOKUP(A68,Documentos!D:I,6,FALSE)</f>
        <v>143</v>
      </c>
      <c r="E68" s="7" t="s">
        <v>1258</v>
      </c>
      <c r="F68" s="10" t="s">
        <v>10</v>
      </c>
      <c r="G68" s="97" t="s">
        <v>494</v>
      </c>
      <c r="H68" s="33"/>
      <c r="I68" s="33"/>
      <c r="J68" s="33"/>
      <c r="K68" s="33" t="s">
        <v>1236</v>
      </c>
      <c r="L68" s="41">
        <v>14256</v>
      </c>
      <c r="M68" s="41">
        <v>14256</v>
      </c>
    </row>
    <row r="69" spans="1:13" x14ac:dyDescent="0.25">
      <c r="A69" s="32">
        <v>142</v>
      </c>
      <c r="B69" s="87" t="str">
        <f>VLOOKUP(A69,Documentos!D:F,3,FALSE)</f>
        <v>Proposicion</v>
      </c>
      <c r="C69" s="88" t="str">
        <f>VLOOKUP(A69,Documentos!D:H,5,FALSE)</f>
        <v>DAP_FETCovid19</v>
      </c>
      <c r="D69" s="87">
        <f>VLOOKUP(A69,Documentos!D:I,6,FALSE)</f>
        <v>144</v>
      </c>
      <c r="E69" s="7" t="s">
        <v>1258</v>
      </c>
      <c r="F69" s="10" t="s">
        <v>544</v>
      </c>
      <c r="G69" s="97" t="s">
        <v>494</v>
      </c>
      <c r="H69" s="33"/>
      <c r="I69" s="33"/>
      <c r="J69" s="33"/>
      <c r="K69" s="33" t="s">
        <v>1236</v>
      </c>
      <c r="L69" s="41">
        <v>78600</v>
      </c>
      <c r="M69" s="41">
        <v>78600</v>
      </c>
    </row>
    <row r="70" spans="1:13" x14ac:dyDescent="0.25">
      <c r="A70" s="32">
        <v>150</v>
      </c>
      <c r="B70" s="87" t="str">
        <f>VLOOKUP(A70,Documentos!D:F,3,FALSE)</f>
        <v>Oficio_Solicitud</v>
      </c>
      <c r="C70" s="88" t="str">
        <f>VLOOKUP(A70,Documentos!D:H,5,FALSE)</f>
        <v>DOH_FETCovid19</v>
      </c>
      <c r="D70" s="87">
        <f>VLOOKUP(A70,Documentos!D:I,6,FALSE)</f>
        <v>156</v>
      </c>
      <c r="E70" s="7" t="s">
        <v>43</v>
      </c>
      <c r="F70" s="10" t="s">
        <v>535</v>
      </c>
      <c r="G70" s="97" t="s">
        <v>494</v>
      </c>
      <c r="H70" s="33"/>
      <c r="I70" s="33"/>
      <c r="J70" s="33"/>
      <c r="K70" s="33" t="s">
        <v>1282</v>
      </c>
      <c r="L70" s="41">
        <v>33582658</v>
      </c>
      <c r="M70" s="41"/>
    </row>
    <row r="71" spans="1:13" x14ac:dyDescent="0.25">
      <c r="A71" s="32">
        <v>155</v>
      </c>
      <c r="B71" s="87" t="str">
        <f>VLOOKUP(A71,Documentos!D:F,3,FALSE)</f>
        <v>Oficio_Solicitud</v>
      </c>
      <c r="C71" s="88" t="str">
        <f>VLOOKUP(A71,Documentos!D:H,5,FALSE)</f>
        <v>DOP</v>
      </c>
      <c r="D71" s="87">
        <f>VLOOKUP(A71,Documentos!D:I,6,FALSE)</f>
        <v>158</v>
      </c>
      <c r="E71" s="7" t="s">
        <v>1258</v>
      </c>
      <c r="F71" s="10" t="s">
        <v>22</v>
      </c>
      <c r="G71" s="97" t="s">
        <v>494</v>
      </c>
      <c r="H71" s="33"/>
      <c r="I71" s="33"/>
      <c r="J71" s="33"/>
      <c r="K71" s="33" t="s">
        <v>1236</v>
      </c>
      <c r="L71" s="41">
        <v>300</v>
      </c>
      <c r="M71" s="41">
        <v>300</v>
      </c>
    </row>
    <row r="72" spans="1:13" x14ac:dyDescent="0.25">
      <c r="A72" s="32">
        <v>156</v>
      </c>
      <c r="B72" s="87" t="str">
        <f>VLOOKUP(A72,Documentos!D:F,3,FALSE)</f>
        <v>Oficio_Solicitud</v>
      </c>
      <c r="C72" s="88" t="str">
        <f>VLOOKUP(A72,Documentos!D:H,5,FALSE)</f>
        <v>DOP_FETCovid19</v>
      </c>
      <c r="D72" s="87">
        <f>VLOOKUP(A72,Documentos!D:I,6,FALSE)</f>
        <v>159</v>
      </c>
      <c r="E72" s="7" t="s">
        <v>60</v>
      </c>
      <c r="F72" s="10" t="s">
        <v>541</v>
      </c>
      <c r="G72" s="97" t="s">
        <v>494</v>
      </c>
      <c r="H72" s="33"/>
      <c r="I72" s="33"/>
      <c r="J72" s="33"/>
      <c r="K72" s="33" t="s">
        <v>1278</v>
      </c>
      <c r="L72" s="41">
        <v>405019</v>
      </c>
      <c r="M72" s="41">
        <v>499430</v>
      </c>
    </row>
    <row r="73" spans="1:13" x14ac:dyDescent="0.25">
      <c r="A73" s="32">
        <v>159</v>
      </c>
      <c r="B73" s="87" t="str">
        <f>VLOOKUP(A73,Documentos!D:F,3,FALSE)</f>
        <v>Proposicion</v>
      </c>
      <c r="C73" s="88" t="str">
        <f>VLOOKUP(A73,Documentos!D:H,5,FALSE)</f>
        <v>APR_FETCovid19</v>
      </c>
      <c r="D73" s="87">
        <f>VLOOKUP(A73,Documentos!D:I,6,FALSE)</f>
        <v>161</v>
      </c>
      <c r="E73" s="7" t="s">
        <v>1258</v>
      </c>
      <c r="F73" s="10" t="s">
        <v>559</v>
      </c>
      <c r="G73" s="97" t="s">
        <v>494</v>
      </c>
      <c r="H73" s="33"/>
      <c r="I73" s="33"/>
      <c r="J73" s="33"/>
      <c r="K73" s="33" t="s">
        <v>1236</v>
      </c>
      <c r="L73" s="41">
        <v>13052</v>
      </c>
      <c r="M73" s="41">
        <v>13052</v>
      </c>
    </row>
    <row r="74" spans="1:13" x14ac:dyDescent="0.25">
      <c r="A74" s="32">
        <v>160</v>
      </c>
      <c r="B74" s="87" t="str">
        <f>VLOOKUP(A74,Documentos!D:F,3,FALSE)</f>
        <v>Oficio_Solicitud</v>
      </c>
      <c r="C74" s="88" t="str">
        <f>VLOOKUP(A74,Documentos!D:H,5,FALSE)</f>
        <v>DOH</v>
      </c>
      <c r="D74" s="87">
        <f>VLOOKUP(A74,Documentos!D:I,6,FALSE)</f>
        <v>163</v>
      </c>
      <c r="E74" s="7" t="s">
        <v>43</v>
      </c>
      <c r="F74" s="10" t="s">
        <v>20</v>
      </c>
      <c r="G74" s="97" t="s">
        <v>494</v>
      </c>
      <c r="H74" s="33"/>
      <c r="I74" s="33"/>
      <c r="J74" s="33"/>
      <c r="K74" s="33" t="s">
        <v>1236</v>
      </c>
      <c r="L74" s="41">
        <v>53430461</v>
      </c>
      <c r="M74" s="41"/>
    </row>
    <row r="75" spans="1:13" x14ac:dyDescent="0.25">
      <c r="A75" s="32">
        <v>163</v>
      </c>
      <c r="B75" s="87" t="str">
        <f>VLOOKUP(A75,Documentos!D:F,3,FALSE)</f>
        <v>Oficio_Solicitud</v>
      </c>
      <c r="C75" s="88" t="str">
        <f>VLOOKUP(A75,Documentos!D:H,5,FALSE)</f>
        <v>APR_FETCovid19</v>
      </c>
      <c r="D75" s="87">
        <f>VLOOKUP(A75,Documentos!D:I,6,FALSE)</f>
        <v>165</v>
      </c>
      <c r="E75" s="7" t="s">
        <v>60</v>
      </c>
      <c r="F75" s="10" t="s">
        <v>559</v>
      </c>
      <c r="G75" s="97" t="s">
        <v>494</v>
      </c>
      <c r="H75" s="33"/>
      <c r="I75" s="33"/>
      <c r="J75" s="33"/>
      <c r="K75" s="33" t="s">
        <v>1278</v>
      </c>
      <c r="L75" s="41">
        <v>9050247</v>
      </c>
      <c r="M75" s="41">
        <v>0</v>
      </c>
    </row>
    <row r="76" spans="1:13" x14ac:dyDescent="0.25">
      <c r="A76" s="32">
        <v>168</v>
      </c>
      <c r="B76" s="87" t="str">
        <f>VLOOKUP(A76,Documentos!D:F,3,FALSE)</f>
        <v>Oficio_Solicitud</v>
      </c>
      <c r="C76" s="88" t="str">
        <f>VLOOKUP(A76,Documentos!D:H,5,FALSE)</f>
        <v>DAP_FETCovid19</v>
      </c>
      <c r="D76" s="87">
        <f>VLOOKUP(A76,Documentos!D:I,6,FALSE)</f>
        <v>171</v>
      </c>
      <c r="E76" s="7" t="s">
        <v>1258</v>
      </c>
      <c r="F76" s="10" t="s">
        <v>544</v>
      </c>
      <c r="G76" s="97" t="s">
        <v>494</v>
      </c>
      <c r="H76" s="33"/>
      <c r="I76" s="33"/>
      <c r="J76" s="33"/>
      <c r="K76" s="33" t="s">
        <v>1236</v>
      </c>
      <c r="L76" s="41">
        <v>8201</v>
      </c>
      <c r="M76" s="41">
        <v>8201</v>
      </c>
    </row>
    <row r="77" spans="1:13" x14ac:dyDescent="0.25">
      <c r="A77" s="32">
        <v>173</v>
      </c>
      <c r="B77" s="87" t="str">
        <f>VLOOKUP(A77,Documentos!D:F,3,FALSE)</f>
        <v>Proposicion</v>
      </c>
      <c r="C77" s="88" t="str">
        <f>VLOOKUP(A77,Documentos!D:H,5,FALSE)</f>
        <v>DV</v>
      </c>
      <c r="D77" s="87">
        <f>VLOOKUP(A77,Documentos!D:I,6,FALSE)</f>
        <v>175</v>
      </c>
      <c r="E77" s="7" t="s">
        <v>60</v>
      </c>
      <c r="F77" s="10" t="s">
        <v>26</v>
      </c>
      <c r="G77" s="97" t="s">
        <v>494</v>
      </c>
      <c r="H77" s="33"/>
      <c r="I77" s="33"/>
      <c r="J77" s="33"/>
      <c r="K77" s="33" t="s">
        <v>1278</v>
      </c>
      <c r="L77" s="41">
        <v>20000</v>
      </c>
      <c r="M77" s="41">
        <v>0</v>
      </c>
    </row>
    <row r="78" spans="1:13" x14ac:dyDescent="0.25">
      <c r="A78" s="32">
        <v>175</v>
      </c>
      <c r="B78" s="87" t="str">
        <f>VLOOKUP(A78,Documentos!D:F,3,FALSE)</f>
        <v>Proposicion</v>
      </c>
      <c r="C78" s="88" t="str">
        <f>VLOOKUP(A78,Documentos!D:H,5,FALSE)</f>
        <v>DV</v>
      </c>
      <c r="D78" s="87">
        <f>VLOOKUP(A78,Documentos!D:I,6,FALSE)</f>
        <v>176</v>
      </c>
      <c r="E78" s="7" t="s">
        <v>60</v>
      </c>
      <c r="F78" s="10" t="s">
        <v>26</v>
      </c>
      <c r="G78" s="97" t="s">
        <v>494</v>
      </c>
      <c r="H78" s="33"/>
      <c r="I78" s="33"/>
      <c r="J78" s="33"/>
      <c r="K78" s="33" t="s">
        <v>1278</v>
      </c>
      <c r="L78" s="41">
        <v>5796067</v>
      </c>
      <c r="M78" s="41">
        <v>0</v>
      </c>
    </row>
    <row r="79" spans="1:13" x14ac:dyDescent="0.25">
      <c r="A79" s="32">
        <v>177</v>
      </c>
      <c r="B79" s="87" t="str">
        <f>VLOOKUP(A79,Documentos!D:F,3,FALSE)</f>
        <v>Proposicion</v>
      </c>
      <c r="C79" s="88" t="str">
        <f>VLOOKUP(A79,Documentos!D:H,5,FALSE)</f>
        <v>DV_FETCovid19</v>
      </c>
      <c r="D79" s="87">
        <f>VLOOKUP(A79,Documentos!D:I,6,FALSE)</f>
        <v>177</v>
      </c>
      <c r="E79" s="7" t="s">
        <v>60</v>
      </c>
      <c r="F79" s="10" t="s">
        <v>538</v>
      </c>
      <c r="G79" s="97" t="s">
        <v>494</v>
      </c>
      <c r="H79" s="33"/>
      <c r="I79" s="33"/>
      <c r="J79" s="33"/>
      <c r="K79" s="33" t="s">
        <v>1278</v>
      </c>
      <c r="L79" s="41">
        <v>1500000</v>
      </c>
      <c r="M79" s="41">
        <v>1500000</v>
      </c>
    </row>
    <row r="80" spans="1:13" x14ac:dyDescent="0.25">
      <c r="A80" s="32">
        <v>178</v>
      </c>
      <c r="B80" s="87" t="str">
        <f>VLOOKUP(A80,Documentos!D:F,3,FALSE)</f>
        <v>Proposicion</v>
      </c>
      <c r="C80" s="88" t="str">
        <f>VLOOKUP(A80,Documentos!D:H,5,FALSE)</f>
        <v>DV_FETCovid19</v>
      </c>
      <c r="D80" s="87">
        <f>VLOOKUP(A80,Documentos!D:I,6,FALSE)</f>
        <v>178</v>
      </c>
      <c r="E80" s="7" t="s">
        <v>1258</v>
      </c>
      <c r="F80" s="10" t="s">
        <v>538</v>
      </c>
      <c r="G80" s="97" t="s">
        <v>494</v>
      </c>
      <c r="H80" s="33"/>
      <c r="I80" s="33"/>
      <c r="J80" s="33"/>
      <c r="K80" s="33" t="s">
        <v>1236</v>
      </c>
      <c r="L80" s="41">
        <v>546300</v>
      </c>
      <c r="M80" s="41">
        <v>546300</v>
      </c>
    </row>
    <row r="81" spans="1:13" x14ac:dyDescent="0.25">
      <c r="A81" s="32">
        <v>179</v>
      </c>
      <c r="B81" s="87" t="str">
        <f>VLOOKUP(A81,Documentos!D:F,3,FALSE)</f>
        <v>Oficio_Solicitud</v>
      </c>
      <c r="C81" s="88" t="str">
        <f>VLOOKUP(A81,Documentos!D:H,5,FALSE)</f>
        <v>DOP</v>
      </c>
      <c r="D81" s="87">
        <f>VLOOKUP(A81,Documentos!D:I,6,FALSE)</f>
        <v>179</v>
      </c>
      <c r="E81" s="7" t="s">
        <v>1258</v>
      </c>
      <c r="F81" s="10" t="s">
        <v>22</v>
      </c>
      <c r="G81" s="97" t="s">
        <v>494</v>
      </c>
      <c r="H81" s="33"/>
      <c r="I81" s="33"/>
      <c r="J81" s="33"/>
      <c r="K81" s="33" t="s">
        <v>1236</v>
      </c>
      <c r="L81" s="41">
        <v>120</v>
      </c>
      <c r="M81" s="41">
        <v>120</v>
      </c>
    </row>
    <row r="82" spans="1:13" x14ac:dyDescent="0.25">
      <c r="A82" s="32">
        <v>180</v>
      </c>
      <c r="B82" s="87" t="str">
        <f>VLOOKUP(A82,Documentos!D:F,3,FALSE)</f>
        <v>Proposicion</v>
      </c>
      <c r="C82" s="88" t="str">
        <f>VLOOKUP(A82,Documentos!D:H,5,FALSE)</f>
        <v>DV</v>
      </c>
      <c r="D82" s="87">
        <f>VLOOKUP(A82,Documentos!D:I,6,FALSE)</f>
        <v>179</v>
      </c>
      <c r="E82" s="7" t="s">
        <v>1258</v>
      </c>
      <c r="F82" s="10" t="s">
        <v>26</v>
      </c>
      <c r="G82" s="97" t="s">
        <v>494</v>
      </c>
      <c r="H82" s="33"/>
      <c r="I82" s="33"/>
      <c r="J82" s="33"/>
      <c r="K82" s="33" t="s">
        <v>1236</v>
      </c>
      <c r="L82" s="41">
        <v>127495</v>
      </c>
      <c r="M82" s="41">
        <v>127495</v>
      </c>
    </row>
    <row r="83" spans="1:13" x14ac:dyDescent="0.25">
      <c r="A83" s="32">
        <v>182</v>
      </c>
      <c r="B83" s="87" t="str">
        <f>VLOOKUP(A83,Documentos!D:F,3,FALSE)</f>
        <v>Oficio_Solicitud</v>
      </c>
      <c r="C83" s="88" t="str">
        <f>VLOOKUP(A83,Documentos!D:H,5,FALSE)</f>
        <v>DOP</v>
      </c>
      <c r="D83" s="87">
        <f>VLOOKUP(A83,Documentos!D:I,6,FALSE)</f>
        <v>180</v>
      </c>
      <c r="E83" s="7" t="s">
        <v>1258</v>
      </c>
      <c r="F83" s="10" t="s">
        <v>22</v>
      </c>
      <c r="G83" s="97" t="s">
        <v>494</v>
      </c>
      <c r="H83" s="33"/>
      <c r="I83" s="33"/>
      <c r="J83" s="33"/>
      <c r="K83" s="33" t="s">
        <v>1236</v>
      </c>
      <c r="L83" s="41">
        <v>11100</v>
      </c>
      <c r="M83" s="41">
        <v>11100</v>
      </c>
    </row>
    <row r="84" spans="1:13" x14ac:dyDescent="0.25">
      <c r="A84" s="32">
        <v>183</v>
      </c>
      <c r="B84" s="87" t="str">
        <f>VLOOKUP(A84,Documentos!D:F,3,FALSE)</f>
        <v>Oficio_Solicitud</v>
      </c>
      <c r="C84" s="88" t="str">
        <f>VLOOKUP(A84,Documentos!D:H,5,FALSE)</f>
        <v>DGC</v>
      </c>
      <c r="D84" s="87">
        <f>VLOOKUP(A84,Documentos!D:I,6,FALSE)</f>
        <v>181</v>
      </c>
      <c r="E84" s="7" t="s">
        <v>60</v>
      </c>
      <c r="F84" s="10" t="s">
        <v>16</v>
      </c>
      <c r="G84" s="97" t="s">
        <v>494</v>
      </c>
      <c r="H84" s="33"/>
      <c r="I84" s="33"/>
      <c r="J84" s="33"/>
      <c r="K84" s="33" t="s">
        <v>1278</v>
      </c>
      <c r="L84" s="41">
        <v>65653</v>
      </c>
      <c r="M84" s="41"/>
    </row>
    <row r="85" spans="1:13" x14ac:dyDescent="0.25">
      <c r="A85" s="32">
        <v>184</v>
      </c>
      <c r="B85" s="87" t="str">
        <f>VLOOKUP(A85,Documentos!D:F,3,FALSE)</f>
        <v>Oficio_Solicitud</v>
      </c>
      <c r="C85" s="88" t="str">
        <f>VLOOKUP(A85,Documentos!D:H,5,FALSE)</f>
        <v>DOP</v>
      </c>
      <c r="D85" s="87">
        <f>VLOOKUP(A85,Documentos!D:I,6,FALSE)</f>
        <v>181</v>
      </c>
      <c r="E85" s="7" t="s">
        <v>1258</v>
      </c>
      <c r="F85" s="10" t="s">
        <v>22</v>
      </c>
      <c r="G85" s="97" t="s">
        <v>494</v>
      </c>
      <c r="H85" s="33"/>
      <c r="I85" s="33"/>
      <c r="J85" s="33"/>
      <c r="K85" s="33" t="s">
        <v>1236</v>
      </c>
      <c r="L85" s="41">
        <v>42</v>
      </c>
      <c r="M85" s="41">
        <v>42</v>
      </c>
    </row>
    <row r="86" spans="1:13" x14ac:dyDescent="0.25">
      <c r="A86" s="32">
        <v>186</v>
      </c>
      <c r="B86" s="87" t="str">
        <f>VLOOKUP(A86,Documentos!D:F,3,FALSE)</f>
        <v>Proposicion</v>
      </c>
      <c r="C86" s="88" t="str">
        <f>VLOOKUP(A86,Documentos!D:H,5,FALSE)</f>
        <v>DV</v>
      </c>
      <c r="D86" s="87">
        <f>VLOOKUP(A86,Documentos!D:I,6,FALSE)</f>
        <v>183</v>
      </c>
      <c r="E86" s="7" t="s">
        <v>1258</v>
      </c>
      <c r="F86" s="10" t="s">
        <v>26</v>
      </c>
      <c r="G86" s="97" t="s">
        <v>494</v>
      </c>
      <c r="H86" s="33"/>
      <c r="I86" s="33"/>
      <c r="J86" s="33"/>
      <c r="K86" s="33" t="s">
        <v>1236</v>
      </c>
      <c r="L86" s="41">
        <v>129793</v>
      </c>
      <c r="M86" s="41">
        <v>129793</v>
      </c>
    </row>
    <row r="87" spans="1:13" x14ac:dyDescent="0.25">
      <c r="A87" s="32">
        <v>187</v>
      </c>
      <c r="B87" s="87" t="str">
        <f>VLOOKUP(A87,Documentos!D:F,3,FALSE)</f>
        <v>Oficio_Solicitud</v>
      </c>
      <c r="C87" s="88" t="str">
        <f>VLOOKUP(A87,Documentos!D:H,5,FALSE)</f>
        <v>DGA_FETCovid19</v>
      </c>
      <c r="D87" s="87">
        <f>VLOOKUP(A87,Documentos!D:I,6,FALSE)</f>
        <v>183</v>
      </c>
      <c r="E87" s="7" t="s">
        <v>60</v>
      </c>
      <c r="F87" s="10" t="s">
        <v>565</v>
      </c>
      <c r="G87" s="97" t="s">
        <v>494</v>
      </c>
      <c r="H87" s="33"/>
      <c r="I87" s="33"/>
      <c r="J87" s="33"/>
      <c r="K87" s="33" t="s">
        <v>1278</v>
      </c>
      <c r="L87" s="41">
        <v>817228</v>
      </c>
      <c r="M87" s="41">
        <v>0</v>
      </c>
    </row>
    <row r="88" spans="1:13" x14ac:dyDescent="0.25">
      <c r="A88" s="32">
        <v>190</v>
      </c>
      <c r="B88" s="87" t="str">
        <f>VLOOKUP(A88,Documentos!D:F,3,FALSE)</f>
        <v>Proposicion</v>
      </c>
      <c r="C88" s="88" t="str">
        <f>VLOOKUP(A88,Documentos!D:H,5,FALSE)</f>
        <v>DOP</v>
      </c>
      <c r="D88" s="87">
        <f>VLOOKUP(A88,Documentos!D:I,6,FALSE)</f>
        <v>184</v>
      </c>
      <c r="E88" s="7" t="s">
        <v>1258</v>
      </c>
      <c r="F88" s="10" t="s">
        <v>22</v>
      </c>
      <c r="G88" s="97" t="s">
        <v>494</v>
      </c>
      <c r="H88" s="33"/>
      <c r="I88" s="33"/>
      <c r="J88" s="33"/>
      <c r="K88" s="33" t="s">
        <v>1236</v>
      </c>
      <c r="L88" s="41">
        <v>61</v>
      </c>
      <c r="M88" s="41">
        <v>61</v>
      </c>
    </row>
    <row r="89" spans="1:13" x14ac:dyDescent="0.25">
      <c r="A89" s="32">
        <v>193</v>
      </c>
      <c r="B89" s="87" t="str">
        <f>VLOOKUP(A89,Documentos!D:F,3,FALSE)</f>
        <v>Proposicion</v>
      </c>
      <c r="C89" s="88" t="str">
        <f>VLOOKUP(A89,Documentos!D:H,5,FALSE)</f>
        <v>DV_FETCovid19</v>
      </c>
      <c r="D89" s="87">
        <f>VLOOKUP(A89,Documentos!D:I,6,FALSE)</f>
        <v>185</v>
      </c>
      <c r="E89" s="7" t="s">
        <v>1258</v>
      </c>
      <c r="F89" s="10" t="s">
        <v>538</v>
      </c>
      <c r="G89" s="97" t="s">
        <v>494</v>
      </c>
      <c r="H89" s="33"/>
      <c r="I89" s="33"/>
      <c r="J89" s="33"/>
      <c r="K89" s="33" t="s">
        <v>1236</v>
      </c>
      <c r="L89" s="41">
        <v>53400</v>
      </c>
      <c r="M89" s="41">
        <v>53400</v>
      </c>
    </row>
    <row r="90" spans="1:13" x14ac:dyDescent="0.25">
      <c r="A90" s="32">
        <v>194</v>
      </c>
      <c r="B90" s="87" t="str">
        <f>VLOOKUP(A90,Documentos!D:F,3,FALSE)</f>
        <v>Proposicion</v>
      </c>
      <c r="C90" s="88" t="str">
        <f>VLOOKUP(A90,Documentos!D:H,5,FALSE)</f>
        <v>DAP_FETCovid19</v>
      </c>
      <c r="D90" s="87">
        <f>VLOOKUP(A90,Documentos!D:I,6,FALSE)</f>
        <v>186</v>
      </c>
      <c r="E90" s="7" t="s">
        <v>1258</v>
      </c>
      <c r="F90" s="10" t="s">
        <v>544</v>
      </c>
      <c r="G90" s="97" t="s">
        <v>494</v>
      </c>
      <c r="H90" s="33"/>
      <c r="I90" s="33"/>
      <c r="J90" s="33"/>
      <c r="K90" s="33" t="s">
        <v>1236</v>
      </c>
      <c r="L90" s="41">
        <v>8201</v>
      </c>
      <c r="M90" s="41">
        <v>8201</v>
      </c>
    </row>
    <row r="91" spans="1:13" x14ac:dyDescent="0.25">
      <c r="A91" s="32">
        <v>197</v>
      </c>
      <c r="B91" s="87" t="str">
        <f>VLOOKUP(A91,Documentos!D:F,3,FALSE)</f>
        <v>Proposicion</v>
      </c>
      <c r="C91" s="88" t="str">
        <f>VLOOKUP(A91,Documentos!D:H,5,FALSE)</f>
        <v>DOH</v>
      </c>
      <c r="D91" s="87">
        <f>VLOOKUP(A91,Documentos!D:I,6,FALSE)</f>
        <v>188</v>
      </c>
      <c r="E91" s="7" t="s">
        <v>60</v>
      </c>
      <c r="F91" s="10" t="s">
        <v>20</v>
      </c>
      <c r="G91" s="97" t="s">
        <v>494</v>
      </c>
      <c r="H91" s="33"/>
      <c r="I91" s="33"/>
      <c r="J91" s="33"/>
      <c r="K91" s="33" t="s">
        <v>1278</v>
      </c>
      <c r="L91" s="41">
        <v>1086193</v>
      </c>
      <c r="M91" s="41"/>
    </row>
    <row r="92" spans="1:13" x14ac:dyDescent="0.25">
      <c r="A92" s="32">
        <v>198</v>
      </c>
      <c r="B92" s="87" t="str">
        <f>VLOOKUP(A92,Documentos!D:F,3,FALSE)</f>
        <v>Oficio_Solicitud</v>
      </c>
      <c r="C92" s="88" t="str">
        <f>VLOOKUP(A92,Documentos!D:H,5,FALSE)</f>
        <v>DOP</v>
      </c>
      <c r="D92" s="87">
        <f>VLOOKUP(A92,Documentos!D:I,6,FALSE)</f>
        <v>188</v>
      </c>
      <c r="E92" s="7" t="s">
        <v>1258</v>
      </c>
      <c r="F92" s="10" t="s">
        <v>22</v>
      </c>
      <c r="G92" s="97" t="s">
        <v>494</v>
      </c>
      <c r="H92" s="33"/>
      <c r="I92" s="33"/>
      <c r="J92" s="33"/>
      <c r="K92" s="33" t="s">
        <v>1236</v>
      </c>
      <c r="L92" s="41">
        <v>35067</v>
      </c>
      <c r="M92" s="41">
        <v>35067</v>
      </c>
    </row>
    <row r="93" spans="1:13" x14ac:dyDescent="0.25">
      <c r="A93" s="32">
        <v>201</v>
      </c>
      <c r="B93" s="87" t="str">
        <f>VLOOKUP(A93,Documentos!D:F,3,FALSE)</f>
        <v>Proposicion</v>
      </c>
      <c r="C93" s="88" t="str">
        <f>VLOOKUP(A93,Documentos!D:H,5,FALSE)</f>
        <v>DAP_FETCovid19</v>
      </c>
      <c r="D93" s="87">
        <f>VLOOKUP(A93,Documentos!D:I,6,FALSE)</f>
        <v>191</v>
      </c>
      <c r="E93" s="7" t="s">
        <v>60</v>
      </c>
      <c r="F93" s="10" t="s">
        <v>544</v>
      </c>
      <c r="G93" s="97" t="s">
        <v>494</v>
      </c>
      <c r="H93" s="33"/>
      <c r="I93" s="33"/>
      <c r="J93" s="33"/>
      <c r="K93" s="33" t="s">
        <v>1278</v>
      </c>
      <c r="L93" s="41">
        <v>201730</v>
      </c>
      <c r="M93" s="41">
        <v>201730</v>
      </c>
    </row>
    <row r="94" spans="1:13" x14ac:dyDescent="0.25">
      <c r="A94" s="32">
        <v>205</v>
      </c>
      <c r="B94" s="87" t="str">
        <f>VLOOKUP(A94,Documentos!D:F,3,FALSE)</f>
        <v>Oficio_Solicitud</v>
      </c>
      <c r="C94" s="88" t="str">
        <f>VLOOKUP(A94,Documentos!D:H,5,FALSE)</f>
        <v>DAP_FETCovid19</v>
      </c>
      <c r="D94" s="87">
        <f>VLOOKUP(A94,Documentos!D:I,6,FALSE)</f>
        <v>195</v>
      </c>
      <c r="E94" s="7" t="s">
        <v>1258</v>
      </c>
      <c r="F94" s="10" t="s">
        <v>544</v>
      </c>
      <c r="G94" s="97" t="s">
        <v>494</v>
      </c>
      <c r="H94" s="33"/>
      <c r="I94" s="33"/>
      <c r="J94" s="33"/>
      <c r="K94" s="33" t="s">
        <v>1236</v>
      </c>
      <c r="L94" s="41">
        <v>140010</v>
      </c>
      <c r="M94" s="41">
        <v>140010</v>
      </c>
    </row>
    <row r="95" spans="1:13" x14ac:dyDescent="0.25">
      <c r="A95" s="32">
        <v>206</v>
      </c>
      <c r="B95" s="87" t="str">
        <f>VLOOKUP(A95,Documentos!D:F,3,FALSE)</f>
        <v>Oficio_Solicitud</v>
      </c>
      <c r="C95" s="88" t="str">
        <f>VLOOKUP(A95,Documentos!D:H,5,FALSE)</f>
        <v>DAP</v>
      </c>
      <c r="D95" s="87">
        <f>VLOOKUP(A95,Documentos!D:I,6,FALSE)</f>
        <v>196</v>
      </c>
      <c r="E95" s="7" t="s">
        <v>1258</v>
      </c>
      <c r="F95" s="10" t="s">
        <v>10</v>
      </c>
      <c r="G95" s="97" t="s">
        <v>494</v>
      </c>
      <c r="H95" s="33"/>
      <c r="I95" s="33"/>
      <c r="J95" s="33"/>
      <c r="K95" s="33" t="s">
        <v>1236</v>
      </c>
      <c r="L95" s="41">
        <v>83700</v>
      </c>
      <c r="M95" s="41">
        <v>83700</v>
      </c>
    </row>
    <row r="96" spans="1:13" x14ac:dyDescent="0.25">
      <c r="A96" s="32">
        <v>207</v>
      </c>
      <c r="B96" s="87" t="str">
        <f>VLOOKUP(A96,Documentos!D:F,3,FALSE)</f>
        <v>Proposicion</v>
      </c>
      <c r="C96" s="88" t="str">
        <f>VLOOKUP(A96,Documentos!D:H,5,FALSE)</f>
        <v>DOP_FETCovid19</v>
      </c>
      <c r="D96" s="87">
        <f>VLOOKUP(A96,Documentos!D:I,6,FALSE)</f>
        <v>198</v>
      </c>
      <c r="E96" s="7" t="s">
        <v>60</v>
      </c>
      <c r="F96" s="10" t="s">
        <v>541</v>
      </c>
      <c r="G96" s="97" t="s">
        <v>494</v>
      </c>
      <c r="H96" s="33"/>
      <c r="I96" s="33"/>
      <c r="J96" s="33"/>
      <c r="K96" s="33" t="s">
        <v>1278</v>
      </c>
      <c r="L96" s="41">
        <v>1480190</v>
      </c>
      <c r="M96" s="41">
        <v>269559</v>
      </c>
    </row>
    <row r="97" spans="1:13" x14ac:dyDescent="0.25">
      <c r="A97" s="32">
        <v>210</v>
      </c>
      <c r="B97" s="87" t="str">
        <f>VLOOKUP(A97,Documentos!D:F,3,FALSE)</f>
        <v>Proposicion</v>
      </c>
      <c r="C97" s="88" t="str">
        <f>VLOOKUP(A97,Documentos!D:H,5,FALSE)</f>
        <v>DOP</v>
      </c>
      <c r="D97" s="87">
        <f>VLOOKUP(A97,Documentos!D:I,6,FALSE)</f>
        <v>199</v>
      </c>
      <c r="E97" s="7" t="s">
        <v>60</v>
      </c>
      <c r="F97" s="10" t="s">
        <v>22</v>
      </c>
      <c r="G97" s="97" t="s">
        <v>494</v>
      </c>
      <c r="H97" s="33"/>
      <c r="I97" s="33"/>
      <c r="J97" s="33"/>
      <c r="K97" s="33" t="s">
        <v>1278</v>
      </c>
      <c r="L97" s="41">
        <v>5635664</v>
      </c>
      <c r="M97" s="41">
        <v>3538610</v>
      </c>
    </row>
    <row r="98" spans="1:13" x14ac:dyDescent="0.25">
      <c r="A98" s="32">
        <v>212</v>
      </c>
      <c r="B98" s="87" t="str">
        <f>VLOOKUP(A98,Documentos!D:F,3,FALSE)</f>
        <v>Proposicion</v>
      </c>
      <c r="C98" s="88" t="str">
        <f>VLOOKUP(A98,Documentos!D:H,5,FALSE)</f>
        <v>APR</v>
      </c>
      <c r="D98" s="87">
        <f>VLOOKUP(A98,Documentos!D:I,6,FALSE)</f>
        <v>201</v>
      </c>
      <c r="E98" s="7" t="s">
        <v>60</v>
      </c>
      <c r="F98" s="10" t="s">
        <v>6</v>
      </c>
      <c r="G98" s="97" t="s">
        <v>494</v>
      </c>
      <c r="H98" s="33"/>
      <c r="I98" s="33"/>
      <c r="J98" s="33"/>
      <c r="K98" s="33" t="s">
        <v>1278</v>
      </c>
      <c r="L98" s="41">
        <v>2736385</v>
      </c>
      <c r="M98" s="41">
        <v>0</v>
      </c>
    </row>
    <row r="99" spans="1:13" x14ac:dyDescent="0.25">
      <c r="A99" s="32">
        <v>213</v>
      </c>
      <c r="B99" s="87" t="str">
        <f>VLOOKUP(A99,Documentos!D:F,3,FALSE)</f>
        <v>Proposicion</v>
      </c>
      <c r="C99" s="88" t="str">
        <f>VLOOKUP(A99,Documentos!D:H,5,FALSE)</f>
        <v>DA</v>
      </c>
      <c r="D99" s="87">
        <f>VLOOKUP(A99,Documentos!D:I,6,FALSE)</f>
        <v>202</v>
      </c>
      <c r="E99" s="7" t="s">
        <v>60</v>
      </c>
      <c r="F99" s="10" t="s">
        <v>8</v>
      </c>
      <c r="G99" s="97" t="s">
        <v>494</v>
      </c>
      <c r="H99" s="33"/>
      <c r="I99" s="33"/>
      <c r="J99" s="33"/>
      <c r="K99" s="33" t="s">
        <v>1278</v>
      </c>
      <c r="L99" s="41">
        <v>852460</v>
      </c>
      <c r="M99" s="41">
        <v>0</v>
      </c>
    </row>
    <row r="100" spans="1:13" x14ac:dyDescent="0.25">
      <c r="A100" s="32">
        <v>214</v>
      </c>
      <c r="B100" s="87" t="str">
        <f>VLOOKUP(A100,Documentos!D:F,3,FALSE)</f>
        <v>Oficio_Solicitud</v>
      </c>
      <c r="C100" s="88" t="str">
        <f>VLOOKUP(A100,Documentos!D:H,5,FALSE)</f>
        <v>DA</v>
      </c>
      <c r="D100" s="87">
        <f>VLOOKUP(A100,Documentos!D:I,6,FALSE)</f>
        <v>203</v>
      </c>
      <c r="E100" s="7" t="s">
        <v>60</v>
      </c>
      <c r="F100" s="10" t="s">
        <v>8</v>
      </c>
      <c r="G100" s="97" t="s">
        <v>494</v>
      </c>
      <c r="H100" s="33"/>
      <c r="I100" s="33"/>
      <c r="J100" s="33"/>
      <c r="K100" s="33" t="s">
        <v>1278</v>
      </c>
      <c r="L100" s="41">
        <v>1605058</v>
      </c>
      <c r="M100" s="41">
        <v>0</v>
      </c>
    </row>
    <row r="101" spans="1:13" x14ac:dyDescent="0.25">
      <c r="A101" s="32">
        <v>217</v>
      </c>
      <c r="B101" s="87" t="str">
        <f>VLOOKUP(A101,Documentos!D:F,3,FALSE)</f>
        <v>Proposicion</v>
      </c>
      <c r="C101" s="88" t="str">
        <f>VLOOKUP(A101,Documentos!D:H,5,FALSE)</f>
        <v>DAP</v>
      </c>
      <c r="D101" s="87">
        <f>VLOOKUP(A101,Documentos!D:I,6,FALSE)</f>
        <v>216</v>
      </c>
      <c r="E101" s="7" t="s">
        <v>60</v>
      </c>
      <c r="F101" s="10" t="s">
        <v>10</v>
      </c>
      <c r="G101" s="97" t="s">
        <v>494</v>
      </c>
      <c r="H101" s="33"/>
      <c r="I101" s="33"/>
      <c r="J101" s="33"/>
      <c r="K101" s="33" t="s">
        <v>1278</v>
      </c>
      <c r="L101" s="41">
        <v>4698360</v>
      </c>
      <c r="M101" s="41">
        <v>4698360</v>
      </c>
    </row>
    <row r="102" spans="1:13" x14ac:dyDescent="0.25">
      <c r="A102" s="32">
        <v>218</v>
      </c>
      <c r="B102" s="87" t="str">
        <f>VLOOKUP(A102,Documentos!D:F,3,FALSE)</f>
        <v>Proposicion</v>
      </c>
      <c r="C102" s="88" t="str">
        <f>VLOOKUP(A102,Documentos!D:H,5,FALSE)</f>
        <v>DV</v>
      </c>
      <c r="D102" s="87">
        <f>VLOOKUP(A102,Documentos!D:I,6,FALSE)</f>
        <v>217</v>
      </c>
      <c r="E102" s="7" t="s">
        <v>60</v>
      </c>
      <c r="F102" s="10" t="s">
        <v>26</v>
      </c>
      <c r="G102" s="97" t="s">
        <v>494</v>
      </c>
      <c r="H102" s="33"/>
      <c r="I102" s="33"/>
      <c r="J102" s="33"/>
      <c r="K102" s="33" t="s">
        <v>1278</v>
      </c>
      <c r="L102" s="41">
        <v>1391000</v>
      </c>
      <c r="M102" s="41"/>
    </row>
    <row r="103" spans="1:13" x14ac:dyDescent="0.25">
      <c r="A103" s="32">
        <v>221</v>
      </c>
      <c r="B103" s="87" t="str">
        <f>VLOOKUP(A103,Documentos!D:F,3,FALSE)</f>
        <v>Proposicion</v>
      </c>
      <c r="C103" s="88" t="str">
        <f>VLOOKUP(A103,Documentos!D:H,5,FALSE)</f>
        <v>DA</v>
      </c>
      <c r="D103" s="87">
        <f>VLOOKUP(A103,Documentos!D:I,6,FALSE)</f>
        <v>218</v>
      </c>
      <c r="E103" s="7" t="s">
        <v>1258</v>
      </c>
      <c r="F103" s="10" t="s">
        <v>8</v>
      </c>
      <c r="G103" s="97" t="s">
        <v>494</v>
      </c>
      <c r="H103" s="33"/>
      <c r="I103" s="33"/>
      <c r="J103" s="33"/>
      <c r="K103" s="33" t="s">
        <v>1236</v>
      </c>
      <c r="L103" s="41">
        <v>500</v>
      </c>
      <c r="M103" s="41">
        <v>500</v>
      </c>
    </row>
    <row r="104" spans="1:13" x14ac:dyDescent="0.25">
      <c r="A104" s="32">
        <v>223</v>
      </c>
      <c r="B104" s="87" t="str">
        <f>VLOOKUP(A104,Documentos!D:F,3,FALSE)</f>
        <v>Proposicion</v>
      </c>
      <c r="C104" s="88" t="str">
        <f>VLOOKUP(A104,Documentos!D:H,5,FALSE)</f>
        <v>DOP</v>
      </c>
      <c r="D104" s="87">
        <f>VLOOKUP(A104,Documentos!D:I,6,FALSE)</f>
        <v>219</v>
      </c>
      <c r="E104" s="7" t="s">
        <v>1258</v>
      </c>
      <c r="F104" s="10" t="s">
        <v>22</v>
      </c>
      <c r="G104" s="97" t="s">
        <v>494</v>
      </c>
      <c r="H104" s="33"/>
      <c r="I104" s="33"/>
      <c r="J104" s="33"/>
      <c r="K104" s="33" t="s">
        <v>1236</v>
      </c>
      <c r="L104" s="41">
        <v>180</v>
      </c>
      <c r="M104" s="41">
        <v>180</v>
      </c>
    </row>
    <row r="105" spans="1:13" x14ac:dyDescent="0.25">
      <c r="A105" s="32">
        <v>225</v>
      </c>
      <c r="B105" s="87" t="str">
        <f>VLOOKUP(A105,Documentos!D:F,3,FALSE)</f>
        <v>Oficio_Solicitud</v>
      </c>
      <c r="C105" s="88" t="str">
        <f>VLOOKUP(A105,Documentos!D:H,5,FALSE)</f>
        <v>DGA_FETCovid19</v>
      </c>
      <c r="D105" s="87">
        <f>VLOOKUP(A105,Documentos!D:I,6,FALSE)</f>
        <v>220</v>
      </c>
      <c r="E105" s="7" t="s">
        <v>60</v>
      </c>
      <c r="F105" s="10" t="s">
        <v>565</v>
      </c>
      <c r="G105" s="97" t="s">
        <v>494</v>
      </c>
      <c r="H105" s="33"/>
      <c r="I105" s="33"/>
      <c r="J105" s="33"/>
      <c r="K105" s="33" t="s">
        <v>1278</v>
      </c>
      <c r="L105" s="41">
        <v>3338900</v>
      </c>
      <c r="M105" s="41">
        <v>0</v>
      </c>
    </row>
    <row r="106" spans="1:13" x14ac:dyDescent="0.25">
      <c r="A106" s="32">
        <v>227</v>
      </c>
      <c r="B106" s="87" t="str">
        <f>VLOOKUP(A106,Documentos!D:F,3,FALSE)</f>
        <v>Oficio_Solicitud</v>
      </c>
      <c r="C106" s="88" t="str">
        <f>VLOOKUP(A106,Documentos!D:H,5,FALSE)</f>
        <v>DA_FETCovid19</v>
      </c>
      <c r="D106" s="87">
        <f>VLOOKUP(A106,Documentos!D:I,6,FALSE)</f>
        <v>225</v>
      </c>
      <c r="E106" s="7" t="s">
        <v>60</v>
      </c>
      <c r="F106" s="10" t="s">
        <v>532</v>
      </c>
      <c r="G106" s="97" t="s">
        <v>494</v>
      </c>
      <c r="H106" s="33"/>
      <c r="I106" s="33"/>
      <c r="J106" s="33"/>
      <c r="K106" s="33" t="s">
        <v>1278</v>
      </c>
      <c r="L106" s="41">
        <v>1605</v>
      </c>
      <c r="M106" s="41">
        <v>0</v>
      </c>
    </row>
    <row r="107" spans="1:13" x14ac:dyDescent="0.25">
      <c r="A107" s="32">
        <v>231</v>
      </c>
      <c r="B107" s="87" t="str">
        <f>VLOOKUP(A107,Documentos!D:F,3,FALSE)</f>
        <v>Proposicion</v>
      </c>
      <c r="C107" s="88" t="str">
        <f>VLOOKUP(A107,Documentos!D:H,5,FALSE)</f>
        <v>DOH_FETCovid19</v>
      </c>
      <c r="D107" s="87">
        <f>VLOOKUP(A107,Documentos!D:I,6,FALSE)</f>
        <v>233</v>
      </c>
      <c r="E107" s="7" t="s">
        <v>1258</v>
      </c>
      <c r="F107" s="10" t="s">
        <v>535</v>
      </c>
      <c r="G107" s="97" t="s">
        <v>494</v>
      </c>
      <c r="H107" s="33"/>
      <c r="I107" s="33"/>
      <c r="J107" s="33"/>
      <c r="K107" s="33" t="s">
        <v>1236</v>
      </c>
      <c r="L107" s="41">
        <v>408906</v>
      </c>
      <c r="M107" s="41">
        <v>408906</v>
      </c>
    </row>
    <row r="108" spans="1:13" x14ac:dyDescent="0.25">
      <c r="A108" s="32">
        <v>233</v>
      </c>
      <c r="B108" s="87" t="str">
        <f>VLOOKUP(A108,Documentos!D:F,3,FALSE)</f>
        <v>Proposicion</v>
      </c>
      <c r="C108" s="88" t="str">
        <f>VLOOKUP(A108,Documentos!D:H,5,FALSE)</f>
        <v>DOH</v>
      </c>
      <c r="D108" s="87">
        <f>VLOOKUP(A108,Documentos!D:I,6,FALSE)</f>
        <v>234</v>
      </c>
      <c r="E108" s="7" t="s">
        <v>1258</v>
      </c>
      <c r="F108" s="10" t="s">
        <v>20</v>
      </c>
      <c r="G108" s="97" t="s">
        <v>494</v>
      </c>
      <c r="H108" s="33"/>
      <c r="I108" s="33"/>
      <c r="J108" s="33"/>
      <c r="K108" s="33" t="s">
        <v>1236</v>
      </c>
      <c r="L108" s="41">
        <v>2759089</v>
      </c>
      <c r="M108" s="41">
        <v>2759089</v>
      </c>
    </row>
    <row r="109" spans="1:13" x14ac:dyDescent="0.25">
      <c r="A109" s="32">
        <v>234</v>
      </c>
      <c r="B109" s="87" t="str">
        <f>VLOOKUP(A109,Documentos!D:F,3,FALSE)</f>
        <v>Proposicion</v>
      </c>
      <c r="C109" s="88" t="str">
        <f>VLOOKUP(A109,Documentos!D:H,5,FALSE)</f>
        <v>DOP</v>
      </c>
      <c r="D109" s="87">
        <f>VLOOKUP(A109,Documentos!D:I,6,FALSE)</f>
        <v>235</v>
      </c>
      <c r="E109" s="7" t="s">
        <v>60</v>
      </c>
      <c r="F109" s="10" t="s">
        <v>22</v>
      </c>
      <c r="G109" s="97" t="s">
        <v>494</v>
      </c>
      <c r="H109" s="33"/>
      <c r="I109" s="33"/>
      <c r="J109" s="33"/>
      <c r="K109" s="33" t="s">
        <v>1278</v>
      </c>
      <c r="L109" s="41">
        <v>136300</v>
      </c>
      <c r="M109" s="41">
        <v>0</v>
      </c>
    </row>
    <row r="110" spans="1:13" x14ac:dyDescent="0.25">
      <c r="A110" s="42">
        <v>236</v>
      </c>
      <c r="B110" s="87" t="str">
        <f>VLOOKUP(A110,Documentos!D:F,3,FALSE)</f>
        <v>Oficio_Solicitud</v>
      </c>
      <c r="C110" s="88" t="str">
        <f>VLOOKUP(A110,Documentos!D:H,5,FALSE)</f>
        <v>DGA_FETCovid19</v>
      </c>
      <c r="D110" s="89">
        <f>VLOOKUP(A110,Documentos!D:I,6,FALSE)</f>
        <v>236</v>
      </c>
      <c r="E110" s="7" t="s">
        <v>1236</v>
      </c>
      <c r="F110" s="10" t="s">
        <v>565</v>
      </c>
      <c r="G110" s="97" t="s">
        <v>494</v>
      </c>
      <c r="H110" s="33"/>
      <c r="I110" s="33"/>
      <c r="J110" s="33"/>
      <c r="K110" s="7" t="s">
        <v>1236</v>
      </c>
      <c r="L110" s="41">
        <v>410000</v>
      </c>
      <c r="M110" s="41">
        <v>0</v>
      </c>
    </row>
    <row r="111" spans="1:13" x14ac:dyDescent="0.25">
      <c r="A111" s="32">
        <v>236</v>
      </c>
      <c r="B111" s="87" t="str">
        <f>VLOOKUP(A111,Documentos!D:F,3,FALSE)</f>
        <v>Oficio_Solicitud</v>
      </c>
      <c r="C111" s="88" t="str">
        <f>VLOOKUP(A111,Documentos!D:H,5,FALSE)</f>
        <v>DGA_FETCovid19</v>
      </c>
      <c r="D111" s="89">
        <f>VLOOKUP(A111,Documentos!D:I,6,FALSE)</f>
        <v>236</v>
      </c>
      <c r="E111" s="7" t="s">
        <v>1236</v>
      </c>
      <c r="F111" s="10" t="s">
        <v>565</v>
      </c>
      <c r="G111" s="97" t="s">
        <v>497</v>
      </c>
      <c r="H111" s="33"/>
      <c r="I111" s="33"/>
      <c r="J111" s="33"/>
      <c r="K111" s="7" t="s">
        <v>1236</v>
      </c>
      <c r="L111" s="41">
        <v>0</v>
      </c>
      <c r="M111" s="41"/>
    </row>
    <row r="112" spans="1:13" x14ac:dyDescent="0.25">
      <c r="A112" s="32">
        <v>236</v>
      </c>
      <c r="B112" s="87" t="str">
        <f>VLOOKUP(A112,Documentos!D:F,3,FALSE)</f>
        <v>Oficio_Solicitud</v>
      </c>
      <c r="C112" s="88" t="str">
        <f>VLOOKUP(A112,Documentos!D:H,5,FALSE)</f>
        <v>DGA_FETCovid19</v>
      </c>
      <c r="D112" s="89">
        <f>VLOOKUP(A112,Documentos!D:I,6,FALSE)</f>
        <v>236</v>
      </c>
      <c r="E112" s="7" t="s">
        <v>1236</v>
      </c>
      <c r="F112" s="10" t="s">
        <v>565</v>
      </c>
      <c r="G112" s="97" t="s">
        <v>500</v>
      </c>
      <c r="H112" s="33"/>
      <c r="I112" s="33"/>
      <c r="J112" s="33"/>
      <c r="K112" s="7" t="s">
        <v>1236</v>
      </c>
      <c r="L112" s="41">
        <v>0</v>
      </c>
      <c r="M112" s="41"/>
    </row>
    <row r="113" spans="1:13" x14ac:dyDescent="0.25">
      <c r="A113" s="32">
        <v>236</v>
      </c>
      <c r="B113" s="87" t="str">
        <f>VLOOKUP(A113,Documentos!D:F,3,FALSE)</f>
        <v>Oficio_Solicitud</v>
      </c>
      <c r="C113" s="88" t="str">
        <f>VLOOKUP(A113,Documentos!D:H,5,FALSE)</f>
        <v>DGA_FETCovid19</v>
      </c>
      <c r="D113" s="89">
        <f>VLOOKUP(A113,Documentos!D:I,6,FALSE)</f>
        <v>236</v>
      </c>
      <c r="E113" s="7" t="s">
        <v>1236</v>
      </c>
      <c r="F113" s="10" t="s">
        <v>565</v>
      </c>
      <c r="G113" s="97" t="s">
        <v>498</v>
      </c>
      <c r="H113" s="33"/>
      <c r="I113" s="33"/>
      <c r="J113" s="33"/>
      <c r="K113" s="7" t="s">
        <v>1236</v>
      </c>
      <c r="L113" s="41">
        <v>0</v>
      </c>
      <c r="M113" s="41"/>
    </row>
    <row r="114" spans="1:13" x14ac:dyDescent="0.25">
      <c r="A114" s="32">
        <v>239</v>
      </c>
      <c r="B114" s="87" t="str">
        <f>VLOOKUP(A114,Documentos!D:F,3,FALSE)</f>
        <v>Proposicion</v>
      </c>
      <c r="C114" s="88" t="str">
        <f>VLOOKUP(A114,Documentos!D:H,5,FALSE)</f>
        <v>DGC</v>
      </c>
      <c r="D114" s="87">
        <f>VLOOKUP(A114,Documentos!D:I,6,FALSE)</f>
        <v>243</v>
      </c>
      <c r="E114" s="7" t="s">
        <v>60</v>
      </c>
      <c r="F114" s="10" t="s">
        <v>16</v>
      </c>
      <c r="G114" s="97" t="s">
        <v>494</v>
      </c>
      <c r="H114" s="33"/>
      <c r="I114" s="33"/>
      <c r="J114" s="33"/>
      <c r="K114" s="33" t="s">
        <v>1278</v>
      </c>
      <c r="L114" s="41">
        <v>724467</v>
      </c>
      <c r="M114" s="41">
        <v>724467</v>
      </c>
    </row>
    <row r="115" spans="1:13" x14ac:dyDescent="0.25">
      <c r="A115" s="32">
        <v>240</v>
      </c>
      <c r="B115" s="87" t="str">
        <f>VLOOKUP(A115,Documentos!D:F,3,FALSE)</f>
        <v>Proposicion</v>
      </c>
      <c r="C115" s="88" t="str">
        <f>VLOOKUP(A115,Documentos!D:H,5,FALSE)</f>
        <v>DA</v>
      </c>
      <c r="D115" s="87">
        <f>VLOOKUP(A115,Documentos!D:I,6,FALSE)</f>
        <v>244</v>
      </c>
      <c r="E115" s="7" t="s">
        <v>60</v>
      </c>
      <c r="F115" s="10" t="s">
        <v>8</v>
      </c>
      <c r="G115" s="97" t="s">
        <v>494</v>
      </c>
      <c r="H115" s="33"/>
      <c r="I115" s="33"/>
      <c r="J115" s="33"/>
      <c r="K115" s="33" t="s">
        <v>1278</v>
      </c>
      <c r="L115" s="41">
        <v>22000</v>
      </c>
      <c r="M115" s="41">
        <v>0</v>
      </c>
    </row>
    <row r="116" spans="1:13" x14ac:dyDescent="0.25">
      <c r="A116" s="32">
        <v>241</v>
      </c>
      <c r="B116" s="87" t="str">
        <f>VLOOKUP(A116,Documentos!D:F,3,FALSE)</f>
        <v>Proposicion</v>
      </c>
      <c r="C116" s="88" t="str">
        <f>VLOOKUP(A116,Documentos!D:H,5,FALSE)</f>
        <v>DOH</v>
      </c>
      <c r="D116" s="87">
        <f>VLOOKUP(A116,Documentos!D:I,6,FALSE)</f>
        <v>245</v>
      </c>
      <c r="E116" s="7" t="s">
        <v>60</v>
      </c>
      <c r="F116" s="10" t="s">
        <v>20</v>
      </c>
      <c r="G116" s="97" t="s">
        <v>494</v>
      </c>
      <c r="H116" s="33"/>
      <c r="I116" s="33"/>
      <c r="J116" s="33"/>
      <c r="K116" s="33" t="s">
        <v>1278</v>
      </c>
      <c r="L116" s="41">
        <v>16951970</v>
      </c>
      <c r="M116" s="41"/>
    </row>
    <row r="117" spans="1:13" x14ac:dyDescent="0.25">
      <c r="A117" s="32">
        <v>243</v>
      </c>
      <c r="B117" s="87" t="str">
        <f>VLOOKUP(A117,Documentos!D:F,3,FALSE)</f>
        <v>Proposicion</v>
      </c>
      <c r="C117" s="88" t="str">
        <f>VLOOKUP(A117,Documentos!D:H,5,FALSE)</f>
        <v>DOP_FETCovid19</v>
      </c>
      <c r="D117" s="87">
        <f>VLOOKUP(A117,Documentos!D:I,6,FALSE)</f>
        <v>246</v>
      </c>
      <c r="E117" s="7" t="s">
        <v>1258</v>
      </c>
      <c r="F117" s="10" t="s">
        <v>541</v>
      </c>
      <c r="G117" s="97" t="s">
        <v>494</v>
      </c>
      <c r="H117" s="33"/>
      <c r="I117" s="33"/>
      <c r="J117" s="33"/>
      <c r="K117" s="33" t="s">
        <v>1236</v>
      </c>
      <c r="L117" s="41">
        <v>311</v>
      </c>
      <c r="M117" s="41">
        <v>311</v>
      </c>
    </row>
    <row r="118" spans="1:13" x14ac:dyDescent="0.25">
      <c r="A118" s="32">
        <v>244</v>
      </c>
      <c r="B118" s="87" t="str">
        <f>VLOOKUP(A118,Documentos!D:F,3,FALSE)</f>
        <v>Proposicion</v>
      </c>
      <c r="C118" s="88" t="str">
        <f>VLOOKUP(A118,Documentos!D:H,5,FALSE)</f>
        <v>DAP</v>
      </c>
      <c r="D118" s="87">
        <f>VLOOKUP(A118,Documentos!D:I,6,FALSE)</f>
        <v>247</v>
      </c>
      <c r="E118" s="7" t="s">
        <v>1258</v>
      </c>
      <c r="F118" s="10" t="s">
        <v>10</v>
      </c>
      <c r="G118" s="97" t="s">
        <v>494</v>
      </c>
      <c r="H118" s="33"/>
      <c r="I118" s="33"/>
      <c r="J118" s="33"/>
      <c r="K118" s="33" t="s">
        <v>1236</v>
      </c>
      <c r="L118" s="41">
        <v>83700</v>
      </c>
      <c r="M118" s="41">
        <v>83700</v>
      </c>
    </row>
    <row r="119" spans="1:13" x14ac:dyDescent="0.25">
      <c r="A119" s="32">
        <v>245</v>
      </c>
      <c r="B119" s="87" t="str">
        <f>VLOOKUP(A119,Documentos!D:F,3,FALSE)</f>
        <v>Proposicion</v>
      </c>
      <c r="C119" s="88" t="str">
        <f>VLOOKUP(A119,Documentos!D:H,5,FALSE)</f>
        <v>DAP_FETCovid19</v>
      </c>
      <c r="D119" s="87">
        <f>VLOOKUP(A119,Documentos!D:I,6,FALSE)</f>
        <v>248</v>
      </c>
      <c r="E119" s="7" t="s">
        <v>1258</v>
      </c>
      <c r="F119" s="10" t="s">
        <v>544</v>
      </c>
      <c r="G119" s="97" t="s">
        <v>494</v>
      </c>
      <c r="H119" s="33"/>
      <c r="I119" s="33"/>
      <c r="J119" s="33"/>
      <c r="K119" s="33" t="s">
        <v>1236</v>
      </c>
      <c r="L119" s="41">
        <v>140010</v>
      </c>
      <c r="M119" s="41">
        <v>140010</v>
      </c>
    </row>
    <row r="120" spans="1:13" x14ac:dyDescent="0.25">
      <c r="A120" s="32">
        <v>253</v>
      </c>
      <c r="B120" s="87" t="str">
        <f>VLOOKUP(A120,Documentos!D:F,3,FALSE)</f>
        <v>Oficio_Solicitud</v>
      </c>
      <c r="C120" s="88" t="str">
        <f>VLOOKUP(A120,Documentos!D:H,5,FALSE)</f>
        <v>DOP</v>
      </c>
      <c r="D120" s="87">
        <f>VLOOKUP(A120,Documentos!D:I,6,FALSE)</f>
        <v>256</v>
      </c>
      <c r="E120" s="7" t="s">
        <v>1258</v>
      </c>
      <c r="F120" s="10" t="s">
        <v>22</v>
      </c>
      <c r="G120" s="97" t="s">
        <v>494</v>
      </c>
      <c r="H120" s="33"/>
      <c r="I120" s="33"/>
      <c r="J120" s="33"/>
      <c r="K120" s="33" t="s">
        <v>1236</v>
      </c>
      <c r="L120" s="41">
        <v>61</v>
      </c>
      <c r="M120" s="41">
        <v>61</v>
      </c>
    </row>
    <row r="121" spans="1:13" x14ac:dyDescent="0.25">
      <c r="A121" s="32">
        <v>254</v>
      </c>
      <c r="B121" s="87" t="str">
        <f>VLOOKUP(A121,Documentos!D:F,3,FALSE)</f>
        <v>Oficio_Solicitud</v>
      </c>
      <c r="C121" s="88" t="str">
        <f>VLOOKUP(A121,Documentos!D:H,5,FALSE)</f>
        <v>DAP_FETCovid19</v>
      </c>
      <c r="D121" s="87">
        <f>VLOOKUP(A121,Documentos!D:I,6,FALSE)</f>
        <v>256</v>
      </c>
      <c r="E121" s="7" t="s">
        <v>1258</v>
      </c>
      <c r="F121" s="10" t="s">
        <v>544</v>
      </c>
      <c r="G121" s="97" t="s">
        <v>494</v>
      </c>
      <c r="H121" s="33"/>
      <c r="I121" s="33"/>
      <c r="J121" s="33"/>
      <c r="K121" s="33" t="s">
        <v>1236</v>
      </c>
      <c r="L121" s="41">
        <v>3239</v>
      </c>
      <c r="M121" s="41">
        <v>3239</v>
      </c>
    </row>
    <row r="122" spans="1:13" x14ac:dyDescent="0.25">
      <c r="A122" s="32">
        <v>255</v>
      </c>
      <c r="B122" s="87" t="str">
        <f>VLOOKUP(A122,Documentos!D:F,3,FALSE)</f>
        <v>Oficio_Solicitud</v>
      </c>
      <c r="C122" s="88" t="str">
        <f>VLOOKUP(A122,Documentos!D:H,5,FALSE)</f>
        <v>DOP</v>
      </c>
      <c r="D122" s="87">
        <f>VLOOKUP(A122,Documentos!D:I,6,FALSE)</f>
        <v>257</v>
      </c>
      <c r="E122" s="7" t="s">
        <v>60</v>
      </c>
      <c r="F122" s="10" t="s">
        <v>22</v>
      </c>
      <c r="G122" s="97" t="s">
        <v>494</v>
      </c>
      <c r="H122" s="33"/>
      <c r="I122" s="33"/>
      <c r="J122" s="33"/>
      <c r="K122" s="33" t="s">
        <v>1278</v>
      </c>
      <c r="L122" s="41">
        <v>5635664</v>
      </c>
      <c r="M122" s="41">
        <v>3538610</v>
      </c>
    </row>
    <row r="123" spans="1:13" x14ac:dyDescent="0.25">
      <c r="A123" s="32">
        <v>258</v>
      </c>
      <c r="B123" s="87" t="str">
        <f>VLOOKUP(A123,Documentos!D:F,3,FALSE)</f>
        <v>Oficio_Solicitud</v>
      </c>
      <c r="C123" s="88" t="str">
        <f>VLOOKUP(A123,Documentos!D:H,5,FALSE)</f>
        <v>DOP_FETCovid19</v>
      </c>
      <c r="D123" s="87">
        <f>VLOOKUP(A123,Documentos!D:I,6,FALSE)</f>
        <v>261</v>
      </c>
      <c r="E123" s="7" t="s">
        <v>60</v>
      </c>
      <c r="F123" s="10" t="s">
        <v>541</v>
      </c>
      <c r="G123" s="97" t="s">
        <v>494</v>
      </c>
      <c r="H123" s="33"/>
      <c r="I123" s="33"/>
      <c r="J123" s="33"/>
      <c r="K123" s="33" t="s">
        <v>1278</v>
      </c>
      <c r="L123" s="41">
        <v>1480190</v>
      </c>
      <c r="M123" s="41">
        <v>269559</v>
      </c>
    </row>
    <row r="124" spans="1:13" x14ac:dyDescent="0.25">
      <c r="A124" s="32">
        <v>265</v>
      </c>
      <c r="B124" s="87" t="str">
        <f>VLOOKUP(A124,Documentos!D:F,3,FALSE)</f>
        <v>Proposicion</v>
      </c>
      <c r="C124" s="88" t="str">
        <f>VLOOKUP(A124,Documentos!D:H,5,FALSE)</f>
        <v>DV</v>
      </c>
      <c r="D124" s="87">
        <f>VLOOKUP(A124,Documentos!D:I,6,FALSE)</f>
        <v>271</v>
      </c>
      <c r="E124" s="7" t="s">
        <v>60</v>
      </c>
      <c r="F124" s="10" t="s">
        <v>26</v>
      </c>
      <c r="G124" s="97" t="s">
        <v>494</v>
      </c>
      <c r="H124" s="33"/>
      <c r="I124" s="33"/>
      <c r="J124" s="33"/>
      <c r="K124" s="33" t="s">
        <v>1278</v>
      </c>
      <c r="L124" s="41">
        <v>10318660</v>
      </c>
      <c r="M124" s="41"/>
    </row>
    <row r="125" spans="1:13" x14ac:dyDescent="0.25">
      <c r="A125" s="32">
        <v>280</v>
      </c>
      <c r="B125" s="87" t="str">
        <f>VLOOKUP(A125,Documentos!D:F,3,FALSE)</f>
        <v>Proposicion</v>
      </c>
      <c r="C125" s="88" t="str">
        <f>VLOOKUP(A125,Documentos!D:H,5,FALSE)</f>
        <v>DGC</v>
      </c>
      <c r="D125" s="87">
        <f>VLOOKUP(A125,Documentos!D:I,6,FALSE)</f>
        <v>274</v>
      </c>
      <c r="E125" s="7" t="s">
        <v>60</v>
      </c>
      <c r="F125" s="10" t="s">
        <v>16</v>
      </c>
      <c r="G125" s="97" t="s">
        <v>494</v>
      </c>
      <c r="H125" s="33"/>
      <c r="I125" s="33"/>
      <c r="J125" s="33"/>
      <c r="K125" s="33" t="s">
        <v>1278</v>
      </c>
      <c r="L125" s="41">
        <v>494000</v>
      </c>
      <c r="M125" s="41">
        <v>311259</v>
      </c>
    </row>
    <row r="126" spans="1:13" x14ac:dyDescent="0.25">
      <c r="A126" s="32">
        <v>281</v>
      </c>
      <c r="B126" s="87" t="str">
        <f>VLOOKUP(A126,Documentos!D:F,3,FALSE)</f>
        <v>Oficio_Solicitud</v>
      </c>
      <c r="C126" s="88" t="str">
        <f>VLOOKUP(A126,Documentos!D:H,5,FALSE)</f>
        <v>DAP_FETCovid19</v>
      </c>
      <c r="D126" s="87">
        <f>VLOOKUP(A126,Documentos!D:I,6,FALSE)</f>
        <v>274</v>
      </c>
      <c r="E126" s="7" t="s">
        <v>60</v>
      </c>
      <c r="F126" s="10" t="s">
        <v>544</v>
      </c>
      <c r="G126" s="97" t="s">
        <v>494</v>
      </c>
      <c r="H126" s="33"/>
      <c r="I126" s="33"/>
      <c r="J126" s="33"/>
      <c r="K126" s="33" t="s">
        <v>1278</v>
      </c>
      <c r="L126" s="41">
        <v>2490082</v>
      </c>
      <c r="M126" s="41"/>
    </row>
    <row r="127" spans="1:13" x14ac:dyDescent="0.25">
      <c r="A127" s="32">
        <v>283</v>
      </c>
      <c r="B127" s="87" t="str">
        <f>VLOOKUP(A127,Documentos!D:F,3,FALSE)</f>
        <v>Oficio_Solicitud</v>
      </c>
      <c r="C127" s="88" t="str">
        <f>VLOOKUP(A127,Documentos!D:H,5,FALSE)</f>
        <v>DOP</v>
      </c>
      <c r="D127" s="87">
        <f>VLOOKUP(A127,Documentos!D:I,6,FALSE)</f>
        <v>277</v>
      </c>
      <c r="E127" s="7" t="s">
        <v>1258</v>
      </c>
      <c r="F127" s="10" t="s">
        <v>22</v>
      </c>
      <c r="G127" s="97" t="s">
        <v>494</v>
      </c>
      <c r="H127" s="33"/>
      <c r="I127" s="33"/>
      <c r="J127" s="33"/>
      <c r="K127" s="33" t="s">
        <v>1236</v>
      </c>
      <c r="L127" s="41">
        <v>180</v>
      </c>
      <c r="M127" s="41">
        <v>180</v>
      </c>
    </row>
    <row r="128" spans="1:13" x14ac:dyDescent="0.25">
      <c r="A128" s="32">
        <v>286</v>
      </c>
      <c r="B128" s="87" t="str">
        <f>VLOOKUP(A128,Documentos!D:F,3,FALSE)</f>
        <v>Oficio_Solicitud</v>
      </c>
      <c r="C128" s="88" t="str">
        <f>VLOOKUP(A128,Documentos!D:H,5,FALSE)</f>
        <v>DAP_FETCovid19</v>
      </c>
      <c r="D128" s="87">
        <f>VLOOKUP(A128,Documentos!D:I,6,FALSE)</f>
        <v>279</v>
      </c>
      <c r="E128" s="7" t="s">
        <v>1258</v>
      </c>
      <c r="F128" s="10" t="s">
        <v>544</v>
      </c>
      <c r="G128" s="97" t="s">
        <v>494</v>
      </c>
      <c r="H128" s="33"/>
      <c r="I128" s="33"/>
      <c r="J128" s="33"/>
      <c r="K128" s="33" t="s">
        <v>1236</v>
      </c>
      <c r="L128" s="41">
        <v>443</v>
      </c>
      <c r="M128" s="41">
        <v>443</v>
      </c>
    </row>
    <row r="129" spans="1:13" x14ac:dyDescent="0.25">
      <c r="A129" s="32">
        <v>287</v>
      </c>
      <c r="B129" s="87" t="str">
        <f>VLOOKUP(A129,Documentos!D:F,3,FALSE)</f>
        <v>Proposicion</v>
      </c>
      <c r="C129" s="88" t="str">
        <f>VLOOKUP(A129,Documentos!D:H,5,FALSE)</f>
        <v>DOH_FETCovid19</v>
      </c>
      <c r="D129" s="87">
        <f>VLOOKUP(A129,Documentos!D:I,6,FALSE)</f>
        <v>286</v>
      </c>
      <c r="E129" s="7" t="s">
        <v>60</v>
      </c>
      <c r="F129" s="10" t="s">
        <v>535</v>
      </c>
      <c r="G129" s="97" t="s">
        <v>494</v>
      </c>
      <c r="H129" s="33"/>
      <c r="I129" s="33"/>
      <c r="J129" s="33"/>
      <c r="K129" s="33" t="s">
        <v>1278</v>
      </c>
      <c r="L129" s="41">
        <v>5000000</v>
      </c>
      <c r="M129" s="41"/>
    </row>
    <row r="130" spans="1:13" x14ac:dyDescent="0.25">
      <c r="A130" s="32">
        <v>289</v>
      </c>
      <c r="B130" s="87" t="str">
        <f>VLOOKUP(A130,Documentos!D:F,3,FALSE)</f>
        <v>Proposicion</v>
      </c>
      <c r="C130" s="88" t="str">
        <f>VLOOKUP(A130,Documentos!D:H,5,FALSE)</f>
        <v>APR_FETCovid19</v>
      </c>
      <c r="D130" s="87">
        <f>VLOOKUP(A130,Documentos!D:I,6,FALSE)</f>
        <v>287</v>
      </c>
      <c r="E130" s="7" t="s">
        <v>60</v>
      </c>
      <c r="F130" s="10" t="s">
        <v>559</v>
      </c>
      <c r="G130" s="97" t="s">
        <v>494</v>
      </c>
      <c r="H130" s="33"/>
      <c r="I130" s="33"/>
      <c r="J130" s="33"/>
      <c r="K130" s="33" t="s">
        <v>1278</v>
      </c>
      <c r="L130" s="41">
        <v>3343275</v>
      </c>
      <c r="M130" s="41">
        <v>0</v>
      </c>
    </row>
    <row r="131" spans="1:13" x14ac:dyDescent="0.25">
      <c r="A131" s="32">
        <v>291</v>
      </c>
      <c r="B131" s="87" t="str">
        <f>VLOOKUP(A131,Documentos!D:F,3,FALSE)</f>
        <v>Oficio_Solicitud</v>
      </c>
      <c r="C131" s="88" t="str">
        <f>VLOOKUP(A131,Documentos!D:H,5,FALSE)</f>
        <v>DOP</v>
      </c>
      <c r="D131" s="87">
        <f>VLOOKUP(A131,Documentos!D:I,6,FALSE)</f>
        <v>288</v>
      </c>
      <c r="E131" s="7" t="s">
        <v>60</v>
      </c>
      <c r="F131" s="10" t="s">
        <v>22</v>
      </c>
      <c r="G131" s="97" t="s">
        <v>494</v>
      </c>
      <c r="H131" s="33"/>
      <c r="I131" s="33"/>
      <c r="J131" s="33"/>
      <c r="K131" s="33" t="s">
        <v>1278</v>
      </c>
      <c r="L131" s="41">
        <v>136300</v>
      </c>
      <c r="M131" s="41">
        <v>0</v>
      </c>
    </row>
    <row r="132" spans="1:13" x14ac:dyDescent="0.25">
      <c r="A132" s="32">
        <v>293</v>
      </c>
      <c r="B132" s="87" t="str">
        <f>VLOOKUP(A132,Documentos!D:F,3,FALSE)</f>
        <v>Oficio_Solicitud</v>
      </c>
      <c r="C132" s="88" t="str">
        <f>VLOOKUP(A132,Documentos!D:H,5,FALSE)</f>
        <v>DGA_FETCovid19</v>
      </c>
      <c r="D132" s="87">
        <f>VLOOKUP(A132,Documentos!D:I,6,FALSE)</f>
        <v>290</v>
      </c>
      <c r="E132" s="7" t="s">
        <v>1258</v>
      </c>
      <c r="F132" s="10" t="s">
        <v>565</v>
      </c>
      <c r="G132" s="97" t="s">
        <v>494</v>
      </c>
      <c r="H132" s="33"/>
      <c r="I132" s="33"/>
      <c r="J132" s="33"/>
      <c r="K132" s="33" t="s">
        <v>1236</v>
      </c>
      <c r="L132" s="41">
        <v>644003</v>
      </c>
      <c r="M132" s="41">
        <v>644003</v>
      </c>
    </row>
    <row r="133" spans="1:13" x14ac:dyDescent="0.25">
      <c r="A133" s="32">
        <v>298</v>
      </c>
      <c r="B133" s="87" t="str">
        <f>VLOOKUP(A133,Documentos!D:F,3,FALSE)</f>
        <v>Oficio_Solicitud</v>
      </c>
      <c r="C133" s="88" t="str">
        <f>VLOOKUP(A133,Documentos!D:H,5,FALSE)</f>
        <v>DA</v>
      </c>
      <c r="D133" s="87">
        <f>VLOOKUP(A133,Documentos!D:I,6,FALSE)</f>
        <v>293</v>
      </c>
      <c r="E133" s="7" t="s">
        <v>1258</v>
      </c>
      <c r="F133" s="10" t="s">
        <v>8</v>
      </c>
      <c r="G133" s="97" t="s">
        <v>494</v>
      </c>
      <c r="H133" s="33"/>
      <c r="I133" s="33"/>
      <c r="J133" s="33"/>
      <c r="K133" s="33" t="s">
        <v>1236</v>
      </c>
      <c r="L133" s="41">
        <v>500</v>
      </c>
      <c r="M133" s="41">
        <v>500</v>
      </c>
    </row>
    <row r="134" spans="1:13" x14ac:dyDescent="0.25">
      <c r="A134" s="32">
        <v>300</v>
      </c>
      <c r="B134" s="87" t="str">
        <f>VLOOKUP(A134,Documentos!D:F,3,FALSE)</f>
        <v>Proposicion</v>
      </c>
      <c r="C134" s="88" t="str">
        <f>VLOOKUP(A134,Documentos!D:H,5,FALSE)</f>
        <v>DA</v>
      </c>
      <c r="D134" s="87">
        <f>VLOOKUP(A134,Documentos!D:I,6,FALSE)</f>
        <v>296</v>
      </c>
      <c r="E134" s="7" t="s">
        <v>60</v>
      </c>
      <c r="F134" s="10" t="s">
        <v>8</v>
      </c>
      <c r="G134" s="97" t="s">
        <v>494</v>
      </c>
      <c r="H134" s="33"/>
      <c r="I134" s="33"/>
      <c r="J134" s="33"/>
      <c r="K134" s="33" t="s">
        <v>1278</v>
      </c>
      <c r="L134" s="41">
        <v>155000</v>
      </c>
      <c r="M134" s="41">
        <v>0</v>
      </c>
    </row>
    <row r="135" spans="1:13" x14ac:dyDescent="0.25">
      <c r="A135" s="32">
        <v>301</v>
      </c>
      <c r="B135" s="87" t="str">
        <f>VLOOKUP(A135,Documentos!D:F,3,FALSE)</f>
        <v>Oficio_Solicitud</v>
      </c>
      <c r="C135" s="88" t="str">
        <f>VLOOKUP(A135,Documentos!D:H,5,FALSE)</f>
        <v>DOP_FETCovid19</v>
      </c>
      <c r="D135" s="87">
        <f>VLOOKUP(A135,Documentos!D:I,6,FALSE)</f>
        <v>297</v>
      </c>
      <c r="E135" s="7" t="s">
        <v>1258</v>
      </c>
      <c r="F135" s="10" t="s">
        <v>541</v>
      </c>
      <c r="G135" s="97" t="s">
        <v>494</v>
      </c>
      <c r="H135" s="33"/>
      <c r="I135" s="33"/>
      <c r="J135" s="33"/>
      <c r="K135" s="33" t="s">
        <v>1236</v>
      </c>
      <c r="L135" s="41">
        <v>311</v>
      </c>
      <c r="M135" s="41">
        <v>311</v>
      </c>
    </row>
    <row r="136" spans="1:13" x14ac:dyDescent="0.25">
      <c r="A136" s="32">
        <v>302</v>
      </c>
      <c r="B136" s="87" t="str">
        <f>VLOOKUP(A136,Documentos!D:F,3,FALSE)</f>
        <v>Proposicion</v>
      </c>
      <c r="C136" s="88" t="str">
        <f>VLOOKUP(A136,Documentos!D:H,5,FALSE)</f>
        <v>DOH</v>
      </c>
      <c r="D136" s="87">
        <f>VLOOKUP(A136,Documentos!D:I,6,FALSE)</f>
        <v>297</v>
      </c>
      <c r="E136" s="7" t="s">
        <v>60</v>
      </c>
      <c r="F136" s="10" t="s">
        <v>20</v>
      </c>
      <c r="G136" s="97" t="s">
        <v>494</v>
      </c>
      <c r="H136" s="33"/>
      <c r="I136" s="33"/>
      <c r="J136" s="33"/>
      <c r="K136" s="33" t="s">
        <v>1278</v>
      </c>
      <c r="L136" s="41">
        <v>6155237</v>
      </c>
      <c r="M136" s="41"/>
    </row>
    <row r="137" spans="1:13" x14ac:dyDescent="0.25">
      <c r="A137" s="32">
        <v>313</v>
      </c>
      <c r="B137" s="87" t="str">
        <f>VLOOKUP(A137,Documentos!D:F,3,FALSE)</f>
        <v>Proposicion</v>
      </c>
      <c r="C137" s="88" t="str">
        <f>VLOOKUP(A137,Documentos!D:H,5,FALSE)</f>
        <v>DOP</v>
      </c>
      <c r="D137" s="87">
        <f>VLOOKUP(A137,Documentos!D:I,6,FALSE)</f>
        <v>307</v>
      </c>
      <c r="E137" s="7" t="s">
        <v>60</v>
      </c>
      <c r="F137" s="10" t="s">
        <v>22</v>
      </c>
      <c r="G137" s="97" t="s">
        <v>494</v>
      </c>
      <c r="H137" s="33"/>
      <c r="I137" s="33"/>
      <c r="J137" s="33"/>
      <c r="K137" s="33" t="s">
        <v>1278</v>
      </c>
      <c r="L137" s="41">
        <v>1540000</v>
      </c>
      <c r="M137" s="41">
        <v>1030647</v>
      </c>
    </row>
    <row r="138" spans="1:13" x14ac:dyDescent="0.25">
      <c r="A138" s="32">
        <v>314</v>
      </c>
      <c r="B138" s="87" t="str">
        <f>VLOOKUP(A138,Documentos!D:F,3,FALSE)</f>
        <v>Proposicion</v>
      </c>
      <c r="C138" s="88" t="str">
        <f>VLOOKUP(A138,Documentos!D:H,5,FALSE)</f>
        <v>DV</v>
      </c>
      <c r="D138" s="87">
        <f>VLOOKUP(A138,Documentos!D:I,6,FALSE)</f>
        <v>308</v>
      </c>
      <c r="E138" s="7" t="s">
        <v>1258</v>
      </c>
      <c r="F138" s="10" t="s">
        <v>26</v>
      </c>
      <c r="G138" s="97" t="s">
        <v>494</v>
      </c>
      <c r="H138" s="33"/>
      <c r="I138" s="33"/>
      <c r="J138" s="33"/>
      <c r="K138" s="33" t="s">
        <v>1236</v>
      </c>
      <c r="L138" s="41">
        <v>2007399</v>
      </c>
      <c r="M138" s="41">
        <v>2007399</v>
      </c>
    </row>
    <row r="139" spans="1:13" x14ac:dyDescent="0.25">
      <c r="A139" s="32">
        <v>316</v>
      </c>
      <c r="B139" s="87" t="str">
        <f>VLOOKUP(A139,Documentos!D:F,3,FALSE)</f>
        <v>Proposicion</v>
      </c>
      <c r="C139" s="88" t="str">
        <f>VLOOKUP(A139,Documentos!D:H,5,FALSE)</f>
        <v>DV_FETCovid19</v>
      </c>
      <c r="D139" s="87">
        <f>VLOOKUP(A139,Documentos!D:I,6,FALSE)</f>
        <v>309</v>
      </c>
      <c r="E139" s="7" t="s">
        <v>1258</v>
      </c>
      <c r="F139" s="10" t="s">
        <v>538</v>
      </c>
      <c r="G139" s="97" t="s">
        <v>494</v>
      </c>
      <c r="H139" s="33"/>
      <c r="I139" s="33"/>
      <c r="J139" s="33"/>
      <c r="K139" s="33" t="s">
        <v>1236</v>
      </c>
      <c r="L139" s="41">
        <v>1798000</v>
      </c>
      <c r="M139" s="41">
        <v>1798000</v>
      </c>
    </row>
    <row r="140" spans="1:13" x14ac:dyDescent="0.25">
      <c r="A140" s="32">
        <v>318</v>
      </c>
      <c r="B140" s="87" t="str">
        <f>VLOOKUP(A140,Documentos!D:F,3,FALSE)</f>
        <v>Proposicion</v>
      </c>
      <c r="C140" s="88" t="str">
        <f>VLOOKUP(A140,Documentos!D:H,5,FALSE)</f>
        <v>DAP</v>
      </c>
      <c r="D140" s="87">
        <f>VLOOKUP(A140,Documentos!D:I,6,FALSE)</f>
        <v>312</v>
      </c>
      <c r="E140" s="7" t="s">
        <v>60</v>
      </c>
      <c r="F140" s="10" t="s">
        <v>10</v>
      </c>
      <c r="G140" s="97" t="s">
        <v>494</v>
      </c>
      <c r="H140" s="33"/>
      <c r="I140" s="33"/>
      <c r="J140" s="33"/>
      <c r="K140" s="33" t="s">
        <v>1278</v>
      </c>
      <c r="L140" s="41">
        <v>3679933</v>
      </c>
      <c r="M140" s="41">
        <v>3679933</v>
      </c>
    </row>
    <row r="141" spans="1:13" x14ac:dyDescent="0.25">
      <c r="A141" s="32">
        <v>319</v>
      </c>
      <c r="B141" s="87" t="str">
        <f>VLOOKUP(A141,Documentos!D:F,3,FALSE)</f>
        <v>Proposicion</v>
      </c>
      <c r="C141" s="88" t="str">
        <f>VLOOKUP(A141,Documentos!D:H,5,FALSE)</f>
        <v>DOH_FETCovid19</v>
      </c>
      <c r="D141" s="87">
        <f>VLOOKUP(A141,Documentos!D:I,6,FALSE)</f>
        <v>318</v>
      </c>
      <c r="E141" s="7" t="s">
        <v>60</v>
      </c>
      <c r="F141" s="10" t="s">
        <v>535</v>
      </c>
      <c r="G141" s="97" t="s">
        <v>494</v>
      </c>
      <c r="H141" s="33"/>
      <c r="I141" s="33"/>
      <c r="J141" s="33"/>
      <c r="K141" s="33" t="s">
        <v>1278</v>
      </c>
      <c r="L141" s="41">
        <v>15349470</v>
      </c>
      <c r="M141" s="41">
        <v>6853780</v>
      </c>
    </row>
    <row r="142" spans="1:13" x14ac:dyDescent="0.25">
      <c r="A142" s="32">
        <v>320</v>
      </c>
      <c r="B142" s="87" t="str">
        <f>VLOOKUP(A142,Documentos!D:F,3,FALSE)</f>
        <v>Oficio_Solicitud</v>
      </c>
      <c r="C142" s="88" t="str">
        <f>VLOOKUP(A142,Documentos!D:H,5,FALSE)</f>
        <v>DOP</v>
      </c>
      <c r="D142" s="87">
        <f>VLOOKUP(A142,Documentos!D:I,6,FALSE)</f>
        <v>318</v>
      </c>
      <c r="E142" s="7" t="s">
        <v>60</v>
      </c>
      <c r="F142" s="10" t="s">
        <v>22</v>
      </c>
      <c r="G142" s="97" t="s">
        <v>494</v>
      </c>
      <c r="H142" s="33"/>
      <c r="I142" s="33"/>
      <c r="J142" s="33"/>
      <c r="K142" s="33" t="s">
        <v>1278</v>
      </c>
      <c r="L142" s="41">
        <v>1540000</v>
      </c>
      <c r="M142" s="41">
        <v>1030647</v>
      </c>
    </row>
    <row r="143" spans="1:13" x14ac:dyDescent="0.25">
      <c r="A143" s="32">
        <v>321</v>
      </c>
      <c r="B143" s="87" t="str">
        <f>VLOOKUP(A143,Documentos!D:F,3,FALSE)</f>
        <v>Oficio_Solicitud</v>
      </c>
      <c r="C143" s="88" t="str">
        <f>VLOOKUP(A143,Documentos!D:H,5,FALSE)</f>
        <v>DA</v>
      </c>
      <c r="D143" s="87">
        <f>VLOOKUP(A143,Documentos!D:I,6,FALSE)</f>
        <v>321</v>
      </c>
      <c r="E143" s="7" t="s">
        <v>60</v>
      </c>
      <c r="F143" s="10" t="s">
        <v>8</v>
      </c>
      <c r="G143" s="97" t="s">
        <v>494</v>
      </c>
      <c r="H143" s="33"/>
      <c r="I143" s="33"/>
      <c r="J143" s="33"/>
      <c r="K143" s="33" t="s">
        <v>1278</v>
      </c>
      <c r="L143" s="41">
        <v>852460</v>
      </c>
      <c r="M143" s="41">
        <v>0</v>
      </c>
    </row>
    <row r="144" spans="1:13" x14ac:dyDescent="0.25">
      <c r="A144" s="32">
        <v>323</v>
      </c>
      <c r="B144" s="87" t="str">
        <f>VLOOKUP(A144,Documentos!D:F,3,FALSE)</f>
        <v>Proposicion</v>
      </c>
      <c r="C144" s="88" t="str">
        <f>VLOOKUP(A144,Documentos!D:H,5,FALSE)</f>
        <v>DOP_FETCovid19</v>
      </c>
      <c r="D144" s="87">
        <f>VLOOKUP(A144,Documentos!D:I,6,FALSE)</f>
        <v>322</v>
      </c>
      <c r="E144" s="7" t="s">
        <v>60</v>
      </c>
      <c r="F144" s="10" t="s">
        <v>541</v>
      </c>
      <c r="G144" s="97" t="s">
        <v>494</v>
      </c>
      <c r="H144" s="33"/>
      <c r="I144" s="33"/>
      <c r="J144" s="33"/>
      <c r="K144" s="33" t="s">
        <v>1278</v>
      </c>
      <c r="L144" s="41">
        <v>144677</v>
      </c>
      <c r="M144" s="41">
        <v>144677</v>
      </c>
    </row>
    <row r="145" spans="1:13" x14ac:dyDescent="0.25">
      <c r="A145" s="32">
        <v>324</v>
      </c>
      <c r="B145" s="87" t="str">
        <f>VLOOKUP(A145,Documentos!D:F,3,FALSE)</f>
        <v>Proposicion</v>
      </c>
      <c r="C145" s="88" t="str">
        <f>VLOOKUP(A145,Documentos!D:H,5,FALSE)</f>
        <v>DOH</v>
      </c>
      <c r="D145" s="87">
        <f>VLOOKUP(A145,Documentos!D:I,6,FALSE)</f>
        <v>323</v>
      </c>
      <c r="E145" s="7" t="s">
        <v>60</v>
      </c>
      <c r="F145" s="10" t="s">
        <v>20</v>
      </c>
      <c r="G145" s="97" t="s">
        <v>494</v>
      </c>
      <c r="H145" s="33"/>
      <c r="I145" s="33"/>
      <c r="J145" s="33"/>
      <c r="K145" s="33" t="s">
        <v>1278</v>
      </c>
      <c r="L145" s="41">
        <v>4572314</v>
      </c>
      <c r="M145" s="41"/>
    </row>
    <row r="146" spans="1:13" x14ac:dyDescent="0.25">
      <c r="A146" s="32">
        <v>325</v>
      </c>
      <c r="B146" s="87" t="str">
        <f>VLOOKUP(A146,Documentos!D:F,3,FALSE)</f>
        <v>Oficio_Solicitud</v>
      </c>
      <c r="C146" s="88" t="str">
        <f>VLOOKUP(A146,Documentos!D:H,5,FALSE)</f>
        <v>DAP</v>
      </c>
      <c r="D146" s="87">
        <f>VLOOKUP(A146,Documentos!D:I,6,FALSE)</f>
        <v>325</v>
      </c>
      <c r="E146" s="7" t="s">
        <v>1258</v>
      </c>
      <c r="F146" s="10" t="s">
        <v>10</v>
      </c>
      <c r="G146" s="97" t="s">
        <v>494</v>
      </c>
      <c r="H146" s="33"/>
      <c r="I146" s="33"/>
      <c r="J146" s="33"/>
      <c r="K146" s="33" t="s">
        <v>1236</v>
      </c>
      <c r="L146" s="41">
        <v>237146</v>
      </c>
      <c r="M146" s="41">
        <v>237146</v>
      </c>
    </row>
    <row r="147" spans="1:13" x14ac:dyDescent="0.25">
      <c r="A147" s="32">
        <v>327</v>
      </c>
      <c r="B147" s="87" t="str">
        <f>VLOOKUP(A147,Documentos!D:F,3,FALSE)</f>
        <v>Oficio_Solicitud</v>
      </c>
      <c r="C147" s="88" t="str">
        <f>VLOOKUP(A147,Documentos!D:H,5,FALSE)</f>
        <v>DAP_FETCovid19</v>
      </c>
      <c r="D147" s="87">
        <f>VLOOKUP(A147,Documentos!D:I,6,FALSE)</f>
        <v>326</v>
      </c>
      <c r="E147" s="7" t="s">
        <v>1258</v>
      </c>
      <c r="F147" s="10" t="s">
        <v>544</v>
      </c>
      <c r="G147" s="97" t="s">
        <v>494</v>
      </c>
      <c r="H147" s="33"/>
      <c r="I147" s="33"/>
      <c r="J147" s="33"/>
      <c r="K147" s="33" t="s">
        <v>1236</v>
      </c>
      <c r="L147" s="41">
        <v>121169</v>
      </c>
      <c r="M147" s="41">
        <v>121169</v>
      </c>
    </row>
    <row r="148" spans="1:13" x14ac:dyDescent="0.25">
      <c r="A148" s="32">
        <v>329</v>
      </c>
      <c r="B148" s="87" t="str">
        <f>VLOOKUP(A148,Documentos!D:F,3,FALSE)</f>
        <v>Proposicion</v>
      </c>
      <c r="C148" s="88" t="str">
        <f>VLOOKUP(A148,Documentos!D:H,5,FALSE)</f>
        <v>DAP_FETCovid19</v>
      </c>
      <c r="D148" s="87">
        <f>VLOOKUP(A148,Documentos!D:I,6,FALSE)</f>
        <v>327</v>
      </c>
      <c r="E148" s="7" t="s">
        <v>1258</v>
      </c>
      <c r="F148" s="10" t="s">
        <v>544</v>
      </c>
      <c r="G148" s="97" t="s">
        <v>494</v>
      </c>
      <c r="H148" s="33"/>
      <c r="I148" s="33"/>
      <c r="J148" s="33"/>
      <c r="K148" s="33" t="s">
        <v>1236</v>
      </c>
      <c r="L148" s="41">
        <v>3239</v>
      </c>
      <c r="M148" s="41">
        <v>3239</v>
      </c>
    </row>
    <row r="149" spans="1:13" x14ac:dyDescent="0.25">
      <c r="A149" s="32">
        <v>334</v>
      </c>
      <c r="B149" s="87" t="str">
        <f>VLOOKUP(A149,Documentos!D:F,3,FALSE)</f>
        <v>Proposicion</v>
      </c>
      <c r="C149" s="88" t="str">
        <f>VLOOKUP(A149,Documentos!D:H,5,FALSE)</f>
        <v>APR</v>
      </c>
      <c r="D149" s="87">
        <f>VLOOKUP(A149,Documentos!D:I,6,FALSE)</f>
        <v>331</v>
      </c>
      <c r="E149" s="7" t="s">
        <v>60</v>
      </c>
      <c r="F149" s="10" t="s">
        <v>6</v>
      </c>
      <c r="G149" s="97" t="s">
        <v>494</v>
      </c>
      <c r="H149" s="33"/>
      <c r="I149" s="33"/>
      <c r="J149" s="33"/>
      <c r="K149" s="33" t="s">
        <v>1278</v>
      </c>
      <c r="L149" s="41">
        <v>4073956</v>
      </c>
      <c r="M149" s="41">
        <v>0</v>
      </c>
    </row>
    <row r="150" spans="1:13" x14ac:dyDescent="0.25">
      <c r="A150" s="32">
        <v>337</v>
      </c>
      <c r="B150" s="87" t="str">
        <f>VLOOKUP(A150,Documentos!D:F,3,FALSE)</f>
        <v>Proposicion</v>
      </c>
      <c r="C150" s="88" t="str">
        <f>VLOOKUP(A150,Documentos!D:H,5,FALSE)</f>
        <v>DAP_FETCovid19</v>
      </c>
      <c r="D150" s="87">
        <f>VLOOKUP(A150,Documentos!D:I,6,FALSE)</f>
        <v>335</v>
      </c>
      <c r="E150" s="7" t="s">
        <v>1258</v>
      </c>
      <c r="F150" s="10" t="s">
        <v>544</v>
      </c>
      <c r="G150" s="97" t="s">
        <v>494</v>
      </c>
      <c r="H150" s="33"/>
      <c r="I150" s="33"/>
      <c r="J150" s="33"/>
      <c r="K150" s="33" t="s">
        <v>1236</v>
      </c>
      <c r="L150" s="41">
        <v>443</v>
      </c>
      <c r="M150" s="41">
        <v>443</v>
      </c>
    </row>
    <row r="151" spans="1:13" x14ac:dyDescent="0.25">
      <c r="A151" s="32">
        <v>338</v>
      </c>
      <c r="B151" s="87" t="str">
        <f>VLOOKUP(A151,Documentos!D:F,3,FALSE)</f>
        <v>Oficio_Solicitud</v>
      </c>
      <c r="C151" s="88" t="str">
        <f>VLOOKUP(A151,Documentos!D:H,5,FALSE)</f>
        <v>DGA_FETCovid19</v>
      </c>
      <c r="D151" s="89">
        <f>VLOOKUP(A151,Documentos!D:I,6,FALSE)</f>
        <v>335</v>
      </c>
      <c r="E151" s="7" t="s">
        <v>44</v>
      </c>
      <c r="F151" s="10" t="s">
        <v>565</v>
      </c>
      <c r="G151" s="97" t="s">
        <v>498</v>
      </c>
      <c r="H151" s="33"/>
      <c r="I151" s="33"/>
      <c r="J151" s="33"/>
      <c r="K151" s="33" t="s">
        <v>1282</v>
      </c>
      <c r="L151" s="41">
        <v>0</v>
      </c>
      <c r="M151" s="41">
        <v>0</v>
      </c>
    </row>
    <row r="152" spans="1:13" x14ac:dyDescent="0.25">
      <c r="A152" s="32">
        <v>344</v>
      </c>
      <c r="B152" s="87" t="str">
        <f>VLOOKUP(A152,Documentos!D:F,3,FALSE)</f>
        <v>Oficio_Solicitud</v>
      </c>
      <c r="C152" s="88" t="str">
        <f>VLOOKUP(A152,Documentos!D:H,5,FALSE)</f>
        <v>DA</v>
      </c>
      <c r="D152" s="87">
        <f>VLOOKUP(A152,Documentos!D:I,6,FALSE)</f>
        <v>342</v>
      </c>
      <c r="E152" s="7" t="s">
        <v>60</v>
      </c>
      <c r="F152" s="10" t="s">
        <v>8</v>
      </c>
      <c r="G152" s="97" t="s">
        <v>494</v>
      </c>
      <c r="H152" s="33"/>
      <c r="I152" s="33"/>
      <c r="J152" s="33"/>
      <c r="K152" s="33" t="s">
        <v>1278</v>
      </c>
      <c r="L152" s="41">
        <v>22000</v>
      </c>
      <c r="M152" s="41">
        <v>0</v>
      </c>
    </row>
    <row r="153" spans="1:13" x14ac:dyDescent="0.25">
      <c r="A153" s="32">
        <v>346</v>
      </c>
      <c r="B153" s="87" t="str">
        <f>VLOOKUP(A153,Documentos!D:F,3,FALSE)</f>
        <v>Oficio_Solicitud</v>
      </c>
      <c r="C153" s="88" t="str">
        <f>VLOOKUP(A153,Documentos!D:H,5,FALSE)</f>
        <v>DOP_FETCovid19</v>
      </c>
      <c r="D153" s="87">
        <f>VLOOKUP(A153,Documentos!D:I,6,FALSE)</f>
        <v>346</v>
      </c>
      <c r="E153" s="7" t="s">
        <v>60</v>
      </c>
      <c r="F153" s="10" t="s">
        <v>541</v>
      </c>
      <c r="G153" s="97" t="s">
        <v>494</v>
      </c>
      <c r="H153" s="33"/>
      <c r="I153" s="33"/>
      <c r="J153" s="33"/>
      <c r="K153" s="33" t="s">
        <v>1278</v>
      </c>
      <c r="L153" s="41">
        <v>144677</v>
      </c>
      <c r="M153" s="41">
        <v>144677</v>
      </c>
    </row>
    <row r="154" spans="1:13" x14ac:dyDescent="0.25">
      <c r="A154" s="32">
        <v>348</v>
      </c>
      <c r="B154" s="87" t="str">
        <f>VLOOKUP(A154,Documentos!D:F,3,FALSE)</f>
        <v>Proposicion</v>
      </c>
      <c r="C154" s="88" t="str">
        <f>VLOOKUP(A154,Documentos!D:H,5,FALSE)</f>
        <v>DOP</v>
      </c>
      <c r="D154" s="87">
        <f>VLOOKUP(A154,Documentos!D:I,6,FALSE)</f>
        <v>347</v>
      </c>
      <c r="E154" s="7" t="s">
        <v>60</v>
      </c>
      <c r="F154" s="10" t="s">
        <v>22</v>
      </c>
      <c r="G154" s="97" t="s">
        <v>494</v>
      </c>
      <c r="H154" s="33"/>
      <c r="I154" s="33"/>
      <c r="J154" s="33"/>
      <c r="K154" s="33" t="s">
        <v>1278</v>
      </c>
      <c r="L154" s="41">
        <v>3269901</v>
      </c>
      <c r="M154" s="41">
        <v>2951628</v>
      </c>
    </row>
    <row r="155" spans="1:13" x14ac:dyDescent="0.25">
      <c r="A155" s="32">
        <v>352</v>
      </c>
      <c r="B155" s="87" t="str">
        <f>VLOOKUP(A155,Documentos!D:F,3,FALSE)</f>
        <v>Oficio_Solicitud</v>
      </c>
      <c r="C155" s="88" t="str">
        <f>VLOOKUP(A155,Documentos!D:H,5,FALSE)</f>
        <v>DAP_FETCovid19</v>
      </c>
      <c r="D155" s="87">
        <f>VLOOKUP(A155,Documentos!D:I,6,FALSE)</f>
        <v>349</v>
      </c>
      <c r="E155" s="7" t="s">
        <v>60</v>
      </c>
      <c r="F155" s="10" t="s">
        <v>544</v>
      </c>
      <c r="G155" s="97" t="s">
        <v>494</v>
      </c>
      <c r="H155" s="33"/>
      <c r="I155" s="33"/>
      <c r="J155" s="33"/>
      <c r="K155" s="33" t="s">
        <v>1278</v>
      </c>
      <c r="L155" s="41">
        <v>1256651</v>
      </c>
      <c r="M155" s="41">
        <v>1256651</v>
      </c>
    </row>
    <row r="156" spans="1:13" x14ac:dyDescent="0.25">
      <c r="A156" s="32">
        <v>353</v>
      </c>
      <c r="B156" s="87" t="str">
        <f>VLOOKUP(A156,Documentos!D:F,3,FALSE)</f>
        <v>Proposicion</v>
      </c>
      <c r="C156" s="88" t="str">
        <f>VLOOKUP(A156,Documentos!D:H,5,FALSE)</f>
        <v>DOH</v>
      </c>
      <c r="D156" s="87">
        <f>VLOOKUP(A156,Documentos!D:I,6,FALSE)</f>
        <v>350</v>
      </c>
      <c r="E156" s="7" t="s">
        <v>60</v>
      </c>
      <c r="F156" s="10" t="s">
        <v>20</v>
      </c>
      <c r="G156" s="97" t="s">
        <v>494</v>
      </c>
      <c r="H156" s="33"/>
      <c r="I156" s="33"/>
      <c r="J156" s="33"/>
      <c r="K156" s="33" t="s">
        <v>1278</v>
      </c>
      <c r="L156" s="41">
        <v>841000</v>
      </c>
      <c r="M156" s="41"/>
    </row>
    <row r="157" spans="1:13" x14ac:dyDescent="0.25">
      <c r="A157" s="32">
        <v>354</v>
      </c>
      <c r="B157" s="87" t="str">
        <f>VLOOKUP(A157,Documentos!D:F,3,FALSE)</f>
        <v>Proposicion</v>
      </c>
      <c r="C157" s="88" t="str">
        <f>VLOOKUP(A157,Documentos!D:H,5,FALSE)</f>
        <v>DGC_FETCovid19</v>
      </c>
      <c r="D157" s="87">
        <f>VLOOKUP(A157,Documentos!D:I,6,FALSE)</f>
        <v>351</v>
      </c>
      <c r="E157" s="7" t="s">
        <v>57</v>
      </c>
      <c r="F157" s="10" t="s">
        <v>562</v>
      </c>
      <c r="G157" s="97" t="s">
        <v>494</v>
      </c>
      <c r="H157" s="33"/>
      <c r="I157" s="33"/>
      <c r="J157" s="33"/>
      <c r="K157" s="33" t="s">
        <v>1282</v>
      </c>
      <c r="L157" s="41">
        <v>170570009</v>
      </c>
      <c r="M157" s="41">
        <v>0</v>
      </c>
    </row>
    <row r="158" spans="1:13" x14ac:dyDescent="0.25">
      <c r="A158" s="32">
        <v>357</v>
      </c>
      <c r="B158" s="87" t="str">
        <f>VLOOKUP(A158,Documentos!D:F,3,FALSE)</f>
        <v>Proposicion</v>
      </c>
      <c r="C158" s="88" t="str">
        <f>VLOOKUP(A158,Documentos!D:H,5,FALSE)</f>
        <v>DV_FETCovid19</v>
      </c>
      <c r="D158" s="87">
        <f>VLOOKUP(A158,Documentos!D:I,6,FALSE)</f>
        <v>352</v>
      </c>
      <c r="E158" s="7" t="s">
        <v>60</v>
      </c>
      <c r="F158" s="10" t="s">
        <v>538</v>
      </c>
      <c r="G158" s="97" t="s">
        <v>494</v>
      </c>
      <c r="H158" s="33"/>
      <c r="I158" s="33"/>
      <c r="J158" s="33"/>
      <c r="K158" s="33" t="s">
        <v>1278</v>
      </c>
      <c r="L158" s="41">
        <v>119072008</v>
      </c>
      <c r="M158" s="41">
        <v>118872008</v>
      </c>
    </row>
    <row r="159" spans="1:13" x14ac:dyDescent="0.25">
      <c r="A159" s="32">
        <v>363</v>
      </c>
      <c r="B159" s="87" t="str">
        <f>VLOOKUP(A159,Documentos!D:F,3,FALSE)</f>
        <v>Oficio_Solicitud</v>
      </c>
      <c r="C159" s="88" t="str">
        <f>VLOOKUP(A159,Documentos!D:H,5,FALSE)</f>
        <v>DAP</v>
      </c>
      <c r="D159" s="87">
        <f>VLOOKUP(A159,Documentos!D:I,6,FALSE)</f>
        <v>362</v>
      </c>
      <c r="E159" s="7" t="s">
        <v>60</v>
      </c>
      <c r="F159" s="10" t="s">
        <v>10</v>
      </c>
      <c r="G159" s="97" t="s">
        <v>494</v>
      </c>
      <c r="H159" s="33"/>
      <c r="I159" s="33"/>
      <c r="J159" s="33"/>
      <c r="K159" s="33" t="s">
        <v>1278</v>
      </c>
      <c r="L159" s="41">
        <v>692648</v>
      </c>
      <c r="M159" s="41">
        <v>692648</v>
      </c>
    </row>
    <row r="160" spans="1:13" x14ac:dyDescent="0.25">
      <c r="A160" s="32">
        <v>364</v>
      </c>
      <c r="B160" s="87" t="str">
        <f>VLOOKUP(A160,Documentos!D:F,3,FALSE)</f>
        <v>Oficio_Solicitud</v>
      </c>
      <c r="C160" s="88" t="str">
        <f>VLOOKUP(A160,Documentos!D:H,5,FALSE)</f>
        <v>DOP</v>
      </c>
      <c r="D160" s="87">
        <f>VLOOKUP(A160,Documentos!D:I,6,FALSE)</f>
        <v>363</v>
      </c>
      <c r="E160" s="7" t="s">
        <v>60</v>
      </c>
      <c r="F160" s="10" t="s">
        <v>22</v>
      </c>
      <c r="G160" s="97" t="s">
        <v>494</v>
      </c>
      <c r="H160" s="33"/>
      <c r="I160" s="33"/>
      <c r="J160" s="33"/>
      <c r="K160" s="33" t="s">
        <v>1278</v>
      </c>
      <c r="L160" s="41">
        <v>3269901</v>
      </c>
      <c r="M160" s="41">
        <v>2951628</v>
      </c>
    </row>
    <row r="161" spans="1:13" x14ac:dyDescent="0.25">
      <c r="A161" s="32">
        <v>366</v>
      </c>
      <c r="B161" s="87" t="str">
        <f>VLOOKUP(A161,Documentos!D:F,3,FALSE)</f>
        <v>Proposicion</v>
      </c>
      <c r="C161" s="88" t="str">
        <f>VLOOKUP(A161,Documentos!D:H,5,FALSE)</f>
        <v>DGA_FETCovid19</v>
      </c>
      <c r="D161" s="87">
        <f>VLOOKUP(A161,Documentos!D:I,6,FALSE)</f>
        <v>366</v>
      </c>
      <c r="E161" s="7" t="s">
        <v>60</v>
      </c>
      <c r="F161" s="10" t="s">
        <v>565</v>
      </c>
      <c r="G161" s="97" t="s">
        <v>494</v>
      </c>
      <c r="H161" s="33"/>
      <c r="I161" s="33"/>
      <c r="J161" s="33"/>
      <c r="K161" s="33" t="s">
        <v>1278</v>
      </c>
      <c r="L161" s="41">
        <v>3338900</v>
      </c>
      <c r="M161" s="41">
        <v>0</v>
      </c>
    </row>
    <row r="162" spans="1:13" x14ac:dyDescent="0.25">
      <c r="A162" s="32">
        <v>368</v>
      </c>
      <c r="B162" s="87" t="str">
        <f>VLOOKUP(A162,Documentos!D:F,3,FALSE)</f>
        <v>Proposicion</v>
      </c>
      <c r="C162" s="88" t="str">
        <f>VLOOKUP(A162,Documentos!D:H,5,FALSE)</f>
        <v>DAP_FETCovid19</v>
      </c>
      <c r="D162" s="87">
        <f>VLOOKUP(A162,Documentos!D:I,6,FALSE)</f>
        <v>366</v>
      </c>
      <c r="E162" s="7" t="s">
        <v>60</v>
      </c>
      <c r="F162" s="10" t="s">
        <v>544</v>
      </c>
      <c r="G162" s="97" t="s">
        <v>494</v>
      </c>
      <c r="H162" s="33"/>
      <c r="I162" s="33"/>
      <c r="J162" s="33"/>
      <c r="K162" s="33" t="s">
        <v>1278</v>
      </c>
      <c r="L162" s="41">
        <v>2490082</v>
      </c>
      <c r="M162" s="41"/>
    </row>
    <row r="163" spans="1:13" x14ac:dyDescent="0.25">
      <c r="A163" s="42">
        <v>379</v>
      </c>
      <c r="B163" s="87" t="str">
        <f>VLOOKUP(A163,Documentos!D:F,3,FALSE)</f>
        <v>Proposicion</v>
      </c>
      <c r="C163" s="88" t="str">
        <f>VLOOKUP(A163,Documentos!D:H,5,FALSE)</f>
        <v>DGA_FETCovid19</v>
      </c>
      <c r="D163" s="89">
        <f>VLOOKUP(A163,Documentos!D:I,6,FALSE)</f>
        <v>366</v>
      </c>
      <c r="E163" s="7" t="s">
        <v>1236</v>
      </c>
      <c r="F163" s="10" t="s">
        <v>565</v>
      </c>
      <c r="G163" s="97" t="s">
        <v>494</v>
      </c>
      <c r="H163" s="33"/>
      <c r="I163" s="33"/>
      <c r="J163" s="33"/>
      <c r="K163" s="7" t="s">
        <v>1236</v>
      </c>
      <c r="L163" s="41">
        <v>410000</v>
      </c>
      <c r="M163" s="41">
        <v>0</v>
      </c>
    </row>
    <row r="164" spans="1:13" x14ac:dyDescent="0.25">
      <c r="A164" s="32">
        <v>379</v>
      </c>
      <c r="B164" s="87" t="str">
        <f>VLOOKUP(A164,Documentos!D:F,3,FALSE)</f>
        <v>Proposicion</v>
      </c>
      <c r="C164" s="88" t="str">
        <f>VLOOKUP(A164,Documentos!D:H,5,FALSE)</f>
        <v>DGA_FETCovid19</v>
      </c>
      <c r="D164" s="89">
        <f>VLOOKUP(A164,Documentos!D:I,6,FALSE)</f>
        <v>366</v>
      </c>
      <c r="E164" s="7" t="s">
        <v>1236</v>
      </c>
      <c r="F164" s="10" t="s">
        <v>565</v>
      </c>
      <c r="G164" s="97" t="s">
        <v>497</v>
      </c>
      <c r="H164" s="33"/>
      <c r="I164" s="33"/>
      <c r="J164" s="33"/>
      <c r="K164" s="7" t="s">
        <v>1236</v>
      </c>
      <c r="L164" s="41"/>
      <c r="M164" s="41"/>
    </row>
    <row r="165" spans="1:13" x14ac:dyDescent="0.25">
      <c r="A165" s="32">
        <v>379</v>
      </c>
      <c r="B165" s="87" t="str">
        <f>VLOOKUP(A165,Documentos!D:F,3,FALSE)</f>
        <v>Proposicion</v>
      </c>
      <c r="C165" s="88" t="str">
        <f>VLOOKUP(A165,Documentos!D:H,5,FALSE)</f>
        <v>DGA_FETCovid19</v>
      </c>
      <c r="D165" s="89">
        <f>VLOOKUP(A165,Documentos!D:I,6,FALSE)</f>
        <v>366</v>
      </c>
      <c r="E165" s="7" t="s">
        <v>1236</v>
      </c>
      <c r="F165" s="10" t="s">
        <v>565</v>
      </c>
      <c r="G165" s="97" t="s">
        <v>500</v>
      </c>
      <c r="H165" s="33"/>
      <c r="I165" s="33"/>
      <c r="J165" s="33"/>
      <c r="K165" s="7" t="s">
        <v>1236</v>
      </c>
      <c r="L165" s="41"/>
      <c r="M165" s="41"/>
    </row>
    <row r="166" spans="1:13" x14ac:dyDescent="0.25">
      <c r="A166" s="32">
        <v>379</v>
      </c>
      <c r="B166" s="87" t="str">
        <f>VLOOKUP(A166,Documentos!D:F,3,FALSE)</f>
        <v>Proposicion</v>
      </c>
      <c r="C166" s="88" t="str">
        <f>VLOOKUP(A166,Documentos!D:H,5,FALSE)</f>
        <v>DGA_FETCovid19</v>
      </c>
      <c r="D166" s="89">
        <f>VLOOKUP(A166,Documentos!D:I,6,FALSE)</f>
        <v>366</v>
      </c>
      <c r="E166" s="7" t="s">
        <v>1236</v>
      </c>
      <c r="F166" s="10" t="s">
        <v>565</v>
      </c>
      <c r="G166" s="97" t="s">
        <v>498</v>
      </c>
      <c r="H166" s="33"/>
      <c r="I166" s="33"/>
      <c r="J166" s="33"/>
      <c r="K166" s="7" t="s">
        <v>1236</v>
      </c>
      <c r="L166" s="41"/>
      <c r="M166" s="41"/>
    </row>
    <row r="167" spans="1:13" x14ac:dyDescent="0.25">
      <c r="A167" s="32">
        <v>386</v>
      </c>
      <c r="B167" s="87" t="str">
        <f>VLOOKUP(A167,Documentos!D:F,3,FALSE)</f>
        <v>Proposicion</v>
      </c>
      <c r="C167" s="88" t="str">
        <f>VLOOKUP(A167,Documentos!D:H,5,FALSE)</f>
        <v>APR_FETCovid19</v>
      </c>
      <c r="D167" s="87">
        <f>VLOOKUP(A167,Documentos!D:I,6,FALSE)</f>
        <v>371</v>
      </c>
      <c r="E167" s="7" t="s">
        <v>1258</v>
      </c>
      <c r="F167" s="10" t="s">
        <v>559</v>
      </c>
      <c r="G167" s="97" t="s">
        <v>494</v>
      </c>
      <c r="H167" s="33"/>
      <c r="I167" s="33"/>
      <c r="J167" s="33"/>
      <c r="K167" s="33" t="s">
        <v>1236</v>
      </c>
      <c r="L167" s="41">
        <v>667241</v>
      </c>
      <c r="M167" s="41">
        <v>667241</v>
      </c>
    </row>
    <row r="168" spans="1:13" x14ac:dyDescent="0.25">
      <c r="A168" s="32">
        <v>391</v>
      </c>
      <c r="B168" s="87" t="str">
        <f>VLOOKUP(A168,Documentos!D:F,3,FALSE)</f>
        <v>Proposicion</v>
      </c>
      <c r="C168" s="88" t="str">
        <f>VLOOKUP(A168,Documentos!D:H,5,FALSE)</f>
        <v>DOP_FETCovid19</v>
      </c>
      <c r="D168" s="87">
        <f>VLOOKUP(A168,Documentos!D:I,6,FALSE)</f>
        <v>377</v>
      </c>
      <c r="E168" s="7" t="s">
        <v>1258</v>
      </c>
      <c r="F168" s="10" t="s">
        <v>541</v>
      </c>
      <c r="G168" s="97" t="s">
        <v>494</v>
      </c>
      <c r="H168" s="33"/>
      <c r="I168" s="33"/>
      <c r="J168" s="33"/>
      <c r="K168" s="33" t="s">
        <v>1236</v>
      </c>
      <c r="L168" s="41">
        <v>89</v>
      </c>
      <c r="M168" s="41">
        <v>89</v>
      </c>
    </row>
    <row r="169" spans="1:13" x14ac:dyDescent="0.25">
      <c r="A169" s="32">
        <v>394</v>
      </c>
      <c r="B169" s="87" t="str">
        <f>VLOOKUP(A169,Documentos!D:F,3,FALSE)</f>
        <v>Proposicion</v>
      </c>
      <c r="C169" s="88" t="str">
        <f>VLOOKUP(A169,Documentos!D:H,5,FALSE)</f>
        <v>APR_FETCovid19</v>
      </c>
      <c r="D169" s="87">
        <f>VLOOKUP(A169,Documentos!D:I,6,FALSE)</f>
        <v>379</v>
      </c>
      <c r="E169" s="7" t="s">
        <v>60</v>
      </c>
      <c r="F169" s="10" t="s">
        <v>559</v>
      </c>
      <c r="G169" s="97" t="s">
        <v>494</v>
      </c>
      <c r="H169" s="33"/>
      <c r="I169" s="33"/>
      <c r="J169" s="33"/>
      <c r="K169" s="33" t="s">
        <v>1278</v>
      </c>
      <c r="L169" s="41">
        <v>20304193</v>
      </c>
      <c r="M169" s="41">
        <v>0</v>
      </c>
    </row>
    <row r="170" spans="1:13" x14ac:dyDescent="0.25">
      <c r="A170" s="32">
        <v>395</v>
      </c>
      <c r="B170" s="87" t="str">
        <f>VLOOKUP(A170,Documentos!D:F,3,FALSE)</f>
        <v>Proposicion</v>
      </c>
      <c r="C170" s="88" t="str">
        <f>VLOOKUP(A170,Documentos!D:H,5,FALSE)</f>
        <v>APR</v>
      </c>
      <c r="D170" s="87">
        <f>VLOOKUP(A170,Documentos!D:I,6,FALSE)</f>
        <v>379</v>
      </c>
      <c r="E170" s="7" t="s">
        <v>60</v>
      </c>
      <c r="F170" s="10" t="s">
        <v>6</v>
      </c>
      <c r="G170" s="97" t="s">
        <v>494</v>
      </c>
      <c r="H170" s="33"/>
      <c r="I170" s="33"/>
      <c r="J170" s="33"/>
      <c r="K170" s="33" t="s">
        <v>1278</v>
      </c>
      <c r="L170" s="41">
        <v>110</v>
      </c>
      <c r="M170" s="41">
        <v>0</v>
      </c>
    </row>
    <row r="171" spans="1:13" x14ac:dyDescent="0.25">
      <c r="A171" s="32">
        <v>396</v>
      </c>
      <c r="B171" s="87" t="str">
        <f>VLOOKUP(A171,Documentos!D:F,3,FALSE)</f>
        <v>Proposicion</v>
      </c>
      <c r="C171" s="88" t="str">
        <f>VLOOKUP(A171,Documentos!D:H,5,FALSE)</f>
        <v>DV</v>
      </c>
      <c r="D171" s="87">
        <f>VLOOKUP(A171,Documentos!D:I,6,FALSE)</f>
        <v>380</v>
      </c>
      <c r="E171" s="7" t="s">
        <v>60</v>
      </c>
      <c r="F171" s="10" t="s">
        <v>26</v>
      </c>
      <c r="G171" s="97" t="s">
        <v>494</v>
      </c>
      <c r="H171" s="33"/>
      <c r="I171" s="33"/>
      <c r="J171" s="33"/>
      <c r="K171" s="33" t="s">
        <v>1278</v>
      </c>
      <c r="L171" s="41">
        <v>1479000</v>
      </c>
      <c r="M171" s="41"/>
    </row>
    <row r="172" spans="1:13" x14ac:dyDescent="0.25">
      <c r="A172" s="32">
        <v>402</v>
      </c>
      <c r="B172" s="87" t="str">
        <f>VLOOKUP(A172,Documentos!D:F,3,FALSE)</f>
        <v>Proposicion</v>
      </c>
      <c r="C172" s="88" t="str">
        <f>VLOOKUP(A172,Documentos!D:H,5,FALSE)</f>
        <v>DA</v>
      </c>
      <c r="D172" s="87">
        <f>VLOOKUP(A172,Documentos!D:I,6,FALSE)</f>
        <v>384</v>
      </c>
      <c r="E172" s="7" t="s">
        <v>60</v>
      </c>
      <c r="F172" s="10" t="s">
        <v>8</v>
      </c>
      <c r="G172" s="97" t="s">
        <v>494</v>
      </c>
      <c r="H172" s="33"/>
      <c r="I172" s="33"/>
      <c r="J172" s="33"/>
      <c r="K172" s="33" t="s">
        <v>1278</v>
      </c>
      <c r="L172" s="41">
        <v>1000</v>
      </c>
      <c r="M172" s="41">
        <v>0</v>
      </c>
    </row>
    <row r="173" spans="1:13" x14ac:dyDescent="0.25">
      <c r="A173" s="32">
        <v>403</v>
      </c>
      <c r="B173" s="87" t="str">
        <f>VLOOKUP(A173,Documentos!D:F,3,FALSE)</f>
        <v>Proposicion</v>
      </c>
      <c r="C173" s="88" t="str">
        <f>VLOOKUP(A173,Documentos!D:H,5,FALSE)</f>
        <v>APR</v>
      </c>
      <c r="D173" s="87">
        <f>VLOOKUP(A173,Documentos!D:I,6,FALSE)</f>
        <v>385</v>
      </c>
      <c r="E173" s="7" t="s">
        <v>60</v>
      </c>
      <c r="F173" s="10" t="s">
        <v>6</v>
      </c>
      <c r="G173" s="97" t="s">
        <v>494</v>
      </c>
      <c r="H173" s="33"/>
      <c r="I173" s="33"/>
      <c r="J173" s="33"/>
      <c r="K173" s="33" t="s">
        <v>1278</v>
      </c>
      <c r="L173" s="41">
        <v>301000</v>
      </c>
      <c r="M173" s="41">
        <v>0</v>
      </c>
    </row>
    <row r="174" spans="1:13" x14ac:dyDescent="0.25">
      <c r="A174" s="32">
        <v>406</v>
      </c>
      <c r="B174" s="87" t="str">
        <f>VLOOKUP(A174,Documentos!D:F,3,FALSE)</f>
        <v>Oficio_Solicitud</v>
      </c>
      <c r="C174" s="88" t="str">
        <f>VLOOKUP(A174,Documentos!D:H,5,FALSE)</f>
        <v>DAP</v>
      </c>
      <c r="D174" s="87">
        <f>VLOOKUP(A174,Documentos!D:I,6,FALSE)</f>
        <v>386</v>
      </c>
      <c r="E174" s="7" t="s">
        <v>1258</v>
      </c>
      <c r="F174" s="10" t="s">
        <v>10</v>
      </c>
      <c r="G174" s="97" t="s">
        <v>494</v>
      </c>
      <c r="H174" s="33"/>
      <c r="I174" s="33"/>
      <c r="J174" s="33"/>
      <c r="K174" s="33" t="s">
        <v>1236</v>
      </c>
      <c r="L174" s="41">
        <v>6500</v>
      </c>
      <c r="M174" s="41">
        <v>6500</v>
      </c>
    </row>
    <row r="175" spans="1:13" x14ac:dyDescent="0.25">
      <c r="A175" s="32">
        <v>412</v>
      </c>
      <c r="B175" s="87" t="str">
        <f>VLOOKUP(A175,Documentos!D:F,3,FALSE)</f>
        <v>Proposicion</v>
      </c>
      <c r="C175" s="88" t="str">
        <f>VLOOKUP(A175,Documentos!D:H,5,FALSE)</f>
        <v>DOP_FETCovid19</v>
      </c>
      <c r="D175" s="87">
        <f>VLOOKUP(A175,Documentos!D:I,6,FALSE)</f>
        <v>399</v>
      </c>
      <c r="E175" s="7" t="s">
        <v>60</v>
      </c>
      <c r="F175" s="10" t="s">
        <v>541</v>
      </c>
      <c r="G175" s="97" t="s">
        <v>494</v>
      </c>
      <c r="H175" s="33"/>
      <c r="I175" s="33"/>
      <c r="J175" s="33"/>
      <c r="K175" s="33" t="s">
        <v>1278</v>
      </c>
      <c r="L175" s="41">
        <v>200000</v>
      </c>
      <c r="M175" s="41">
        <v>200000</v>
      </c>
    </row>
    <row r="176" spans="1:13" x14ac:dyDescent="0.25">
      <c r="A176" s="32">
        <v>414</v>
      </c>
      <c r="B176" s="87" t="str">
        <f>VLOOKUP(A176,Documentos!D:F,3,FALSE)</f>
        <v>Proposicion</v>
      </c>
      <c r="C176" s="88" t="str">
        <f>VLOOKUP(A176,Documentos!D:H,5,FALSE)</f>
        <v>DA</v>
      </c>
      <c r="D176" s="87">
        <f>VLOOKUP(A176,Documentos!D:I,6,FALSE)</f>
        <v>400</v>
      </c>
      <c r="E176" s="7" t="s">
        <v>60</v>
      </c>
      <c r="F176" s="10" t="s">
        <v>8</v>
      </c>
      <c r="G176" s="97" t="s">
        <v>494</v>
      </c>
      <c r="H176" s="33"/>
      <c r="I176" s="33"/>
      <c r="J176" s="33"/>
      <c r="K176" s="33" t="s">
        <v>1278</v>
      </c>
      <c r="L176" s="41">
        <v>1042803</v>
      </c>
      <c r="M176" s="41">
        <v>0</v>
      </c>
    </row>
    <row r="177" spans="1:13" x14ac:dyDescent="0.25">
      <c r="A177" s="32">
        <v>417</v>
      </c>
      <c r="B177" s="87" t="str">
        <f>VLOOKUP(A177,Documentos!D:F,3,FALSE)</f>
        <v>Proposicion</v>
      </c>
      <c r="C177" s="88" t="str">
        <f>VLOOKUP(A177,Documentos!D:H,5,FALSE)</f>
        <v>DOP</v>
      </c>
      <c r="D177" s="87">
        <f>VLOOKUP(A177,Documentos!D:I,6,FALSE)</f>
        <v>401</v>
      </c>
      <c r="E177" s="7" t="s">
        <v>1258</v>
      </c>
      <c r="F177" s="10" t="s">
        <v>22</v>
      </c>
      <c r="G177" s="97" t="s">
        <v>494</v>
      </c>
      <c r="H177" s="33"/>
      <c r="I177" s="33"/>
      <c r="J177" s="33"/>
      <c r="K177" s="33" t="s">
        <v>1236</v>
      </c>
      <c r="L177" s="41">
        <v>23369</v>
      </c>
      <c r="M177" s="41">
        <v>23369</v>
      </c>
    </row>
    <row r="178" spans="1:13" x14ac:dyDescent="0.25">
      <c r="A178" s="32">
        <v>420</v>
      </c>
      <c r="B178" s="87" t="str">
        <f>VLOOKUP(A178,Documentos!D:F,3,FALSE)</f>
        <v>Proposicion</v>
      </c>
      <c r="C178" s="88" t="str">
        <f>VLOOKUP(A178,Documentos!D:H,5,FALSE)</f>
        <v>DOP_FETCovid19</v>
      </c>
      <c r="D178" s="87">
        <f>VLOOKUP(A178,Documentos!D:I,6,FALSE)</f>
        <v>402</v>
      </c>
      <c r="E178" s="7" t="s">
        <v>60</v>
      </c>
      <c r="F178" s="10" t="s">
        <v>541</v>
      </c>
      <c r="G178" s="97" t="s">
        <v>494</v>
      </c>
      <c r="H178" s="33"/>
      <c r="I178" s="33"/>
      <c r="J178" s="33"/>
      <c r="K178" s="33" t="s">
        <v>1278</v>
      </c>
      <c r="L178" s="41">
        <v>562048</v>
      </c>
      <c r="M178" s="41">
        <v>562048</v>
      </c>
    </row>
    <row r="179" spans="1:13" x14ac:dyDescent="0.25">
      <c r="A179" s="32">
        <v>423</v>
      </c>
      <c r="B179" s="87" t="str">
        <f>VLOOKUP(A179,Documentos!D:F,3,FALSE)</f>
        <v>Oficio_Solicitud</v>
      </c>
      <c r="C179" s="88" t="str">
        <f>VLOOKUP(A179,Documentos!D:H,5,FALSE)</f>
        <v>DOP_FETCovid19</v>
      </c>
      <c r="D179" s="87">
        <f>VLOOKUP(A179,Documentos!D:I,6,FALSE)</f>
        <v>403</v>
      </c>
      <c r="E179" s="7" t="s">
        <v>1258</v>
      </c>
      <c r="F179" s="10" t="s">
        <v>541</v>
      </c>
      <c r="G179" s="97" t="s">
        <v>494</v>
      </c>
      <c r="H179" s="33"/>
      <c r="I179" s="33"/>
      <c r="J179" s="33"/>
      <c r="K179" s="33" t="s">
        <v>1236</v>
      </c>
      <c r="L179" s="41">
        <v>89</v>
      </c>
      <c r="M179" s="41">
        <v>89</v>
      </c>
    </row>
    <row r="180" spans="1:13" x14ac:dyDescent="0.25">
      <c r="A180" s="32">
        <v>424</v>
      </c>
      <c r="B180" s="87" t="str">
        <f>VLOOKUP(A180,Documentos!D:F,3,FALSE)</f>
        <v>Proposicion</v>
      </c>
      <c r="C180" s="88" t="str">
        <f>VLOOKUP(A180,Documentos!D:H,5,FALSE)</f>
        <v>DAP</v>
      </c>
      <c r="D180" s="87">
        <f>VLOOKUP(A180,Documentos!D:I,6,FALSE)</f>
        <v>405</v>
      </c>
      <c r="E180" s="7" t="s">
        <v>1258</v>
      </c>
      <c r="F180" s="10" t="s">
        <v>10</v>
      </c>
      <c r="G180" s="97" t="s">
        <v>494</v>
      </c>
      <c r="H180" s="33"/>
      <c r="I180" s="33"/>
      <c r="J180" s="33"/>
      <c r="K180" s="33" t="s">
        <v>1236</v>
      </c>
      <c r="L180" s="41">
        <v>237146</v>
      </c>
      <c r="M180" s="41">
        <v>237146</v>
      </c>
    </row>
    <row r="181" spans="1:13" x14ac:dyDescent="0.25">
      <c r="A181" s="32">
        <v>425</v>
      </c>
      <c r="B181" s="87" t="str">
        <f>VLOOKUP(A181,Documentos!D:F,3,FALSE)</f>
        <v>Proposicion</v>
      </c>
      <c r="C181" s="88" t="str">
        <f>VLOOKUP(A181,Documentos!D:H,5,FALSE)</f>
        <v>DGC</v>
      </c>
      <c r="D181" s="87">
        <f>VLOOKUP(A181,Documentos!D:I,6,FALSE)</f>
        <v>407</v>
      </c>
      <c r="E181" s="7" t="s">
        <v>60</v>
      </c>
      <c r="F181" s="10" t="s">
        <v>16</v>
      </c>
      <c r="G181" s="97" t="s">
        <v>494</v>
      </c>
      <c r="H181" s="33"/>
      <c r="I181" s="33"/>
      <c r="J181" s="33"/>
      <c r="K181" s="33" t="s">
        <v>1278</v>
      </c>
      <c r="L181" s="41">
        <v>2642515</v>
      </c>
      <c r="M181" s="41">
        <v>2652469</v>
      </c>
    </row>
    <row r="182" spans="1:13" x14ac:dyDescent="0.25">
      <c r="A182" s="32">
        <v>426</v>
      </c>
      <c r="B182" s="87" t="str">
        <f>VLOOKUP(A182,Documentos!D:F,3,FALSE)</f>
        <v>Proposicion</v>
      </c>
      <c r="C182" s="88" t="str">
        <f>VLOOKUP(A182,Documentos!D:H,5,FALSE)</f>
        <v>DGC</v>
      </c>
      <c r="D182" s="87">
        <f>VLOOKUP(A182,Documentos!D:I,6,FALSE)</f>
        <v>408</v>
      </c>
      <c r="E182" s="7" t="s">
        <v>1258</v>
      </c>
      <c r="F182" s="10" t="s">
        <v>16</v>
      </c>
      <c r="G182" s="97" t="s">
        <v>494</v>
      </c>
      <c r="H182" s="33"/>
      <c r="I182" s="33"/>
      <c r="J182" s="33"/>
      <c r="K182" s="33" t="s">
        <v>1236</v>
      </c>
      <c r="L182" s="41">
        <v>37005</v>
      </c>
      <c r="M182" s="41">
        <v>37005</v>
      </c>
    </row>
    <row r="183" spans="1:13" x14ac:dyDescent="0.25">
      <c r="A183" s="32">
        <v>427</v>
      </c>
      <c r="B183" s="87" t="str">
        <f>VLOOKUP(A183,Documentos!D:F,3,FALSE)</f>
        <v>Oficio_Solicitud</v>
      </c>
      <c r="C183" s="88" t="str">
        <f>VLOOKUP(A183,Documentos!D:H,5,FALSE)</f>
        <v>DAP_FETCovid19</v>
      </c>
      <c r="D183" s="87">
        <f>VLOOKUP(A183,Documentos!D:I,6,FALSE)</f>
        <v>408</v>
      </c>
      <c r="E183" s="7" t="s">
        <v>60</v>
      </c>
      <c r="F183" s="10" t="s">
        <v>544</v>
      </c>
      <c r="G183" s="97" t="s">
        <v>494</v>
      </c>
      <c r="H183" s="33"/>
      <c r="I183" s="33"/>
      <c r="J183" s="33"/>
      <c r="K183" s="33" t="s">
        <v>1278</v>
      </c>
      <c r="L183" s="41">
        <v>4561320</v>
      </c>
      <c r="M183" s="41">
        <v>4061320</v>
      </c>
    </row>
    <row r="184" spans="1:13" x14ac:dyDescent="0.25">
      <c r="A184" s="32">
        <v>429</v>
      </c>
      <c r="B184" s="87" t="str">
        <f>VLOOKUP(A184,Documentos!D:F,3,FALSE)</f>
        <v>Proposicion</v>
      </c>
      <c r="C184" s="88" t="str">
        <f>VLOOKUP(A184,Documentos!D:H,5,FALSE)</f>
        <v>DAP_FETCovid19</v>
      </c>
      <c r="D184" s="87">
        <f>VLOOKUP(A184,Documentos!D:I,6,FALSE)</f>
        <v>411</v>
      </c>
      <c r="E184" s="7" t="s">
        <v>1258</v>
      </c>
      <c r="F184" s="10" t="s">
        <v>544</v>
      </c>
      <c r="G184" s="97" t="s">
        <v>494</v>
      </c>
      <c r="H184" s="33"/>
      <c r="I184" s="33"/>
      <c r="J184" s="33"/>
      <c r="K184" s="33" t="s">
        <v>1236</v>
      </c>
      <c r="L184" s="41">
        <v>121169</v>
      </c>
      <c r="M184" s="41">
        <v>121169</v>
      </c>
    </row>
    <row r="185" spans="1:13" x14ac:dyDescent="0.25">
      <c r="A185" s="32">
        <v>430</v>
      </c>
      <c r="B185" s="87" t="str">
        <f>VLOOKUP(A185,Documentos!D:F,3,FALSE)</f>
        <v>Proposicion</v>
      </c>
      <c r="C185" s="88" t="str">
        <f>VLOOKUP(A185,Documentos!D:H,5,FALSE)</f>
        <v>APR</v>
      </c>
      <c r="D185" s="87">
        <f>VLOOKUP(A185,Documentos!D:I,6,FALSE)</f>
        <v>412</v>
      </c>
      <c r="E185" s="7" t="s">
        <v>60</v>
      </c>
      <c r="F185" s="10" t="s">
        <v>6</v>
      </c>
      <c r="G185" s="97" t="s">
        <v>494</v>
      </c>
      <c r="H185" s="33"/>
      <c r="I185" s="33"/>
      <c r="J185" s="33"/>
      <c r="K185" s="33" t="s">
        <v>1278</v>
      </c>
      <c r="L185" s="41">
        <v>3098207</v>
      </c>
      <c r="M185" s="41">
        <v>2223500</v>
      </c>
    </row>
    <row r="186" spans="1:13" x14ac:dyDescent="0.25">
      <c r="A186" s="32">
        <v>432</v>
      </c>
      <c r="B186" s="87" t="str">
        <f>VLOOKUP(A186,Documentos!D:F,3,FALSE)</f>
        <v>Proposicion</v>
      </c>
      <c r="C186" s="88" t="str">
        <f>VLOOKUP(A186,Documentos!D:H,5,FALSE)</f>
        <v>APR_FETCovid19</v>
      </c>
      <c r="D186" s="87">
        <f>VLOOKUP(A186,Documentos!D:I,6,FALSE)</f>
        <v>419</v>
      </c>
      <c r="E186" s="7" t="s">
        <v>60</v>
      </c>
      <c r="F186" s="10" t="s">
        <v>559</v>
      </c>
      <c r="G186" s="97" t="s">
        <v>494</v>
      </c>
      <c r="H186" s="33"/>
      <c r="I186" s="33"/>
      <c r="J186" s="33"/>
      <c r="K186" s="33" t="s">
        <v>1278</v>
      </c>
      <c r="L186" s="41">
        <v>1133449</v>
      </c>
      <c r="M186" s="41">
        <v>0</v>
      </c>
    </row>
    <row r="187" spans="1:13" x14ac:dyDescent="0.25">
      <c r="A187" s="32">
        <v>433</v>
      </c>
      <c r="B187" s="87" t="str">
        <f>VLOOKUP(A187,Documentos!D:F,3,FALSE)</f>
        <v>Proposicion</v>
      </c>
      <c r="C187" s="88" t="str">
        <f>VLOOKUP(A187,Documentos!D:H,5,FALSE)</f>
        <v>APR</v>
      </c>
      <c r="D187" s="87">
        <f>VLOOKUP(A187,Documentos!D:I,6,FALSE)</f>
        <v>419</v>
      </c>
      <c r="E187" s="7" t="s">
        <v>60</v>
      </c>
      <c r="F187" s="10" t="s">
        <v>6</v>
      </c>
      <c r="G187" s="97" t="s">
        <v>494</v>
      </c>
      <c r="H187" s="33"/>
      <c r="I187" s="33"/>
      <c r="J187" s="33"/>
      <c r="K187" s="33" t="s">
        <v>1278</v>
      </c>
      <c r="L187" s="41">
        <v>1133449</v>
      </c>
      <c r="M187" s="41">
        <v>0</v>
      </c>
    </row>
    <row r="188" spans="1:13" x14ac:dyDescent="0.25">
      <c r="A188" s="32">
        <v>439</v>
      </c>
      <c r="B188" s="87" t="str">
        <f>VLOOKUP(A188,Documentos!D:F,3,FALSE)</f>
        <v>Oficio_Solicitud</v>
      </c>
      <c r="C188" s="88" t="str">
        <f>VLOOKUP(A188,Documentos!D:H,5,FALSE)</f>
        <v>DGC</v>
      </c>
      <c r="D188" s="87">
        <f>VLOOKUP(A188,Documentos!D:I,6,FALSE)</f>
        <v>424</v>
      </c>
      <c r="E188" s="7" t="s">
        <v>60</v>
      </c>
      <c r="F188" s="10" t="s">
        <v>16</v>
      </c>
      <c r="G188" s="97" t="s">
        <v>494</v>
      </c>
      <c r="H188" s="33"/>
      <c r="I188" s="33"/>
      <c r="J188" s="33"/>
      <c r="K188" s="33" t="s">
        <v>1278</v>
      </c>
      <c r="L188" s="41">
        <v>724467</v>
      </c>
      <c r="M188" s="41">
        <v>724467</v>
      </c>
    </row>
    <row r="189" spans="1:13" x14ac:dyDescent="0.25">
      <c r="A189" s="32">
        <v>440</v>
      </c>
      <c r="B189" s="87" t="str">
        <f>VLOOKUP(A189,Documentos!D:F,3,FALSE)</f>
        <v>Oficio_Solicitud</v>
      </c>
      <c r="C189" s="88" t="str">
        <f>VLOOKUP(A189,Documentos!D:H,5,FALSE)</f>
        <v>DA</v>
      </c>
      <c r="D189" s="87">
        <f>VLOOKUP(A189,Documentos!D:I,6,FALSE)</f>
        <v>426</v>
      </c>
      <c r="E189" s="7" t="s">
        <v>60</v>
      </c>
      <c r="F189" s="10" t="s">
        <v>8</v>
      </c>
      <c r="G189" s="97" t="s">
        <v>494</v>
      </c>
      <c r="H189" s="33"/>
      <c r="I189" s="33"/>
      <c r="J189" s="33"/>
      <c r="K189" s="33" t="s">
        <v>1278</v>
      </c>
      <c r="L189" s="41">
        <v>155000</v>
      </c>
      <c r="M189" s="41">
        <v>0</v>
      </c>
    </row>
    <row r="190" spans="1:13" x14ac:dyDescent="0.25">
      <c r="A190" s="32">
        <v>441</v>
      </c>
      <c r="B190" s="87" t="str">
        <f>VLOOKUP(A190,Documentos!D:F,3,FALSE)</f>
        <v>Oficio_Solicitud</v>
      </c>
      <c r="C190" s="88" t="str">
        <f>VLOOKUP(A190,Documentos!D:H,5,FALSE)</f>
        <v>DGC</v>
      </c>
      <c r="D190" s="87">
        <f>VLOOKUP(A190,Documentos!D:I,6,FALSE)</f>
        <v>428</v>
      </c>
      <c r="E190" s="7" t="s">
        <v>60</v>
      </c>
      <c r="F190" s="10" t="s">
        <v>16</v>
      </c>
      <c r="G190" s="97" t="s">
        <v>494</v>
      </c>
      <c r="H190" s="33"/>
      <c r="I190" s="33"/>
      <c r="J190" s="33"/>
      <c r="K190" s="33" t="s">
        <v>1278</v>
      </c>
      <c r="L190" s="41">
        <v>494000</v>
      </c>
      <c r="M190" s="41">
        <v>311259</v>
      </c>
    </row>
    <row r="191" spans="1:13" x14ac:dyDescent="0.25">
      <c r="A191" s="32">
        <v>442</v>
      </c>
      <c r="B191" s="87" t="str">
        <f>VLOOKUP(A191,Documentos!D:F,3,FALSE)</f>
        <v>Oficio_Solicitud</v>
      </c>
      <c r="C191" s="88" t="str">
        <f>VLOOKUP(A191,Documentos!D:H,5,FALSE)</f>
        <v>DOP_FETCovid19</v>
      </c>
      <c r="D191" s="87">
        <f>VLOOKUP(A191,Documentos!D:I,6,FALSE)</f>
        <v>432</v>
      </c>
      <c r="E191" s="7" t="s">
        <v>60</v>
      </c>
      <c r="F191" s="10" t="s">
        <v>541</v>
      </c>
      <c r="G191" s="97" t="s">
        <v>494</v>
      </c>
      <c r="H191" s="33"/>
      <c r="I191" s="33"/>
      <c r="J191" s="33"/>
      <c r="K191" s="33" t="s">
        <v>1278</v>
      </c>
      <c r="L191" s="41">
        <v>562048</v>
      </c>
      <c r="M191" s="41">
        <v>562048</v>
      </c>
    </row>
    <row r="192" spans="1:13" x14ac:dyDescent="0.25">
      <c r="A192" s="32">
        <v>443</v>
      </c>
      <c r="B192" s="87" t="str">
        <f>VLOOKUP(A192,Documentos!D:F,3,FALSE)</f>
        <v>Oficio_Solicitud</v>
      </c>
      <c r="C192" s="88" t="str">
        <f>VLOOKUP(A192,Documentos!D:H,5,FALSE)</f>
        <v>DAP</v>
      </c>
      <c r="D192" s="87">
        <f>VLOOKUP(A192,Documentos!D:I,6,FALSE)</f>
        <v>432</v>
      </c>
      <c r="E192" s="7" t="s">
        <v>60</v>
      </c>
      <c r="F192" s="10" t="s">
        <v>10</v>
      </c>
      <c r="G192" s="97" t="s">
        <v>494</v>
      </c>
      <c r="H192" s="33"/>
      <c r="I192" s="33"/>
      <c r="J192" s="33"/>
      <c r="K192" s="33" t="s">
        <v>1278</v>
      </c>
      <c r="L192" s="41">
        <v>158800</v>
      </c>
      <c r="M192" s="41">
        <v>158800</v>
      </c>
    </row>
    <row r="193" spans="1:13" x14ac:dyDescent="0.25">
      <c r="A193" s="32">
        <v>444</v>
      </c>
      <c r="B193" s="87" t="str">
        <f>VLOOKUP(A193,Documentos!D:F,3,FALSE)</f>
        <v>Oficio_Solicitud</v>
      </c>
      <c r="C193" s="88" t="str">
        <f>VLOOKUP(A193,Documentos!D:H,5,FALSE)</f>
        <v>DAP_FETCovid19</v>
      </c>
      <c r="D193" s="87">
        <f>VLOOKUP(A193,Documentos!D:I,6,FALSE)</f>
        <v>434</v>
      </c>
      <c r="E193" s="7" t="s">
        <v>1258</v>
      </c>
      <c r="F193" s="10" t="s">
        <v>544</v>
      </c>
      <c r="G193" s="97" t="s">
        <v>494</v>
      </c>
      <c r="H193" s="33"/>
      <c r="I193" s="33"/>
      <c r="J193" s="33"/>
      <c r="K193" s="33" t="s">
        <v>1236</v>
      </c>
      <c r="L193" s="41">
        <v>2200</v>
      </c>
      <c r="M193" s="41">
        <v>2200</v>
      </c>
    </row>
    <row r="194" spans="1:13" x14ac:dyDescent="0.25">
      <c r="A194" s="32">
        <v>445</v>
      </c>
      <c r="B194" s="87" t="str">
        <f>VLOOKUP(A194,Documentos!D:F,3,FALSE)</f>
        <v>Oficio_Solicitud</v>
      </c>
      <c r="C194" s="88" t="str">
        <f>VLOOKUP(A194,Documentos!D:H,5,FALSE)</f>
        <v>DGA</v>
      </c>
      <c r="D194" s="87">
        <f>VLOOKUP(A194,Documentos!D:I,6,FALSE)</f>
        <v>434</v>
      </c>
      <c r="E194" s="7" t="s">
        <v>1258</v>
      </c>
      <c r="F194" s="10" t="s">
        <v>14</v>
      </c>
      <c r="G194" s="97" t="s">
        <v>494</v>
      </c>
      <c r="H194" s="33"/>
      <c r="I194" s="33"/>
      <c r="J194" s="33"/>
      <c r="K194" s="33" t="s">
        <v>1236</v>
      </c>
      <c r="L194" s="41">
        <v>68922</v>
      </c>
      <c r="M194" s="41">
        <v>68922</v>
      </c>
    </row>
    <row r="195" spans="1:13" x14ac:dyDescent="0.25">
      <c r="A195" s="32">
        <v>446</v>
      </c>
      <c r="B195" s="87" t="str">
        <f>VLOOKUP(A195,Documentos!D:F,3,FALSE)</f>
        <v>Oficio_Solicitud</v>
      </c>
      <c r="C195" s="88" t="str">
        <f>VLOOKUP(A195,Documentos!D:H,5,FALSE)</f>
        <v>DOP</v>
      </c>
      <c r="D195" s="87">
        <f>VLOOKUP(A195,Documentos!D:I,6,FALSE)</f>
        <v>435</v>
      </c>
      <c r="E195" s="7" t="s">
        <v>1258</v>
      </c>
      <c r="F195" s="10" t="s">
        <v>22</v>
      </c>
      <c r="G195" s="97" t="s">
        <v>494</v>
      </c>
      <c r="H195" s="33"/>
      <c r="I195" s="33"/>
      <c r="J195" s="33"/>
      <c r="K195" s="33" t="s">
        <v>1236</v>
      </c>
      <c r="L195" s="41">
        <v>23369</v>
      </c>
      <c r="M195" s="41">
        <v>23369</v>
      </c>
    </row>
    <row r="196" spans="1:13" x14ac:dyDescent="0.25">
      <c r="A196" s="32">
        <v>447</v>
      </c>
      <c r="B196" s="87" t="str">
        <f>VLOOKUP(A196,Documentos!D:F,3,FALSE)</f>
        <v>Proposicion</v>
      </c>
      <c r="C196" s="88" t="str">
        <f>VLOOKUP(A196,Documentos!D:H,5,FALSE)</f>
        <v>APR</v>
      </c>
      <c r="D196" s="87">
        <f>VLOOKUP(A196,Documentos!D:I,6,FALSE)</f>
        <v>435</v>
      </c>
      <c r="E196" s="7" t="s">
        <v>1258</v>
      </c>
      <c r="F196" s="10" t="s">
        <v>6</v>
      </c>
      <c r="G196" s="97" t="s">
        <v>494</v>
      </c>
      <c r="H196" s="33"/>
      <c r="I196" s="33"/>
      <c r="J196" s="33"/>
      <c r="K196" s="33" t="s">
        <v>1236</v>
      </c>
      <c r="L196" s="41">
        <v>49610</v>
      </c>
      <c r="M196" s="41">
        <v>49610</v>
      </c>
    </row>
    <row r="197" spans="1:13" x14ac:dyDescent="0.25">
      <c r="A197" s="32">
        <v>448</v>
      </c>
      <c r="B197" s="87" t="str">
        <f>VLOOKUP(A197,Documentos!D:F,3,FALSE)</f>
        <v>Proposicion</v>
      </c>
      <c r="C197" s="88" t="str">
        <f>VLOOKUP(A197,Documentos!D:H,5,FALSE)</f>
        <v>DOP</v>
      </c>
      <c r="D197" s="87">
        <f>VLOOKUP(A197,Documentos!D:I,6,FALSE)</f>
        <v>437</v>
      </c>
      <c r="E197" s="7" t="s">
        <v>1258</v>
      </c>
      <c r="F197" s="10" t="s">
        <v>22</v>
      </c>
      <c r="G197" s="97" t="s">
        <v>494</v>
      </c>
      <c r="H197" s="33"/>
      <c r="I197" s="33"/>
      <c r="J197" s="33"/>
      <c r="K197" s="33" t="s">
        <v>1236</v>
      </c>
      <c r="L197" s="41">
        <v>483</v>
      </c>
      <c r="M197" s="41">
        <v>483</v>
      </c>
    </row>
    <row r="198" spans="1:13" x14ac:dyDescent="0.25">
      <c r="A198" s="32">
        <v>449</v>
      </c>
      <c r="B198" s="87" t="str">
        <f>VLOOKUP(A198,Documentos!D:F,3,FALSE)</f>
        <v>Oficio_Solicitud</v>
      </c>
      <c r="C198" s="88" t="str">
        <f>VLOOKUP(A198,Documentos!D:H,5,FALSE)</f>
        <v>DOP_FETCovid19</v>
      </c>
      <c r="D198" s="87">
        <f>VLOOKUP(A198,Documentos!D:I,6,FALSE)</f>
        <v>440</v>
      </c>
      <c r="E198" s="7" t="s">
        <v>60</v>
      </c>
      <c r="F198" s="10" t="s">
        <v>541</v>
      </c>
      <c r="G198" s="97" t="s">
        <v>494</v>
      </c>
      <c r="H198" s="33"/>
      <c r="I198" s="33"/>
      <c r="J198" s="33"/>
      <c r="K198" s="33" t="s">
        <v>1278</v>
      </c>
      <c r="L198" s="41">
        <v>200000</v>
      </c>
      <c r="M198" s="41">
        <v>200000</v>
      </c>
    </row>
    <row r="199" spans="1:13" x14ac:dyDescent="0.25">
      <c r="A199" s="32">
        <v>450</v>
      </c>
      <c r="B199" s="87" t="str">
        <f>VLOOKUP(A199,Documentos!D:F,3,FALSE)</f>
        <v>Proposicion</v>
      </c>
      <c r="C199" s="88" t="str">
        <f>VLOOKUP(A199,Documentos!D:H,5,FALSE)</f>
        <v>DOH_FETCovid19</v>
      </c>
      <c r="D199" s="87">
        <f>VLOOKUP(A199,Documentos!D:I,6,FALSE)</f>
        <v>442</v>
      </c>
      <c r="E199" s="7" t="s">
        <v>60</v>
      </c>
      <c r="F199" s="10" t="s">
        <v>535</v>
      </c>
      <c r="G199" s="97" t="s">
        <v>494</v>
      </c>
      <c r="H199" s="33"/>
      <c r="I199" s="33"/>
      <c r="J199" s="33"/>
      <c r="K199" s="33" t="s">
        <v>1278</v>
      </c>
      <c r="L199" s="41">
        <v>3795307</v>
      </c>
      <c r="M199" s="41">
        <v>8812865</v>
      </c>
    </row>
    <row r="200" spans="1:13" x14ac:dyDescent="0.25">
      <c r="A200" s="32">
        <v>451</v>
      </c>
      <c r="B200" s="87" t="str">
        <f>VLOOKUP(A200,Documentos!D:F,3,FALSE)</f>
        <v>Proposicion</v>
      </c>
      <c r="C200" s="88" t="str">
        <f>VLOOKUP(A200,Documentos!D:H,5,FALSE)</f>
        <v>DV</v>
      </c>
      <c r="D200" s="87">
        <f>VLOOKUP(A200,Documentos!D:I,6,FALSE)</f>
        <v>443</v>
      </c>
      <c r="E200" s="7" t="s">
        <v>60</v>
      </c>
      <c r="F200" s="10" t="s">
        <v>26</v>
      </c>
      <c r="G200" s="97" t="s">
        <v>494</v>
      </c>
      <c r="H200" s="33"/>
      <c r="I200" s="33"/>
      <c r="J200" s="33"/>
      <c r="K200" s="33" t="s">
        <v>1278</v>
      </c>
      <c r="L200" s="41">
        <v>41300</v>
      </c>
      <c r="M200" s="41">
        <v>0</v>
      </c>
    </row>
    <row r="201" spans="1:13" x14ac:dyDescent="0.25">
      <c r="A201" s="32">
        <v>453</v>
      </c>
      <c r="B201" s="87" t="str">
        <f>VLOOKUP(A201,Documentos!D:F,3,FALSE)</f>
        <v>Proposicion</v>
      </c>
      <c r="C201" s="88" t="str">
        <f>VLOOKUP(A201,Documentos!D:H,5,FALSE)</f>
        <v>DOP_FETCovid19</v>
      </c>
      <c r="D201" s="87">
        <f>VLOOKUP(A201,Documentos!D:I,6,FALSE)</f>
        <v>446</v>
      </c>
      <c r="E201" s="7" t="s">
        <v>1258</v>
      </c>
      <c r="F201" s="10" t="s">
        <v>541</v>
      </c>
      <c r="G201" s="97" t="s">
        <v>494</v>
      </c>
      <c r="H201" s="33"/>
      <c r="I201" s="33"/>
      <c r="J201" s="33"/>
      <c r="K201" s="33" t="s">
        <v>1236</v>
      </c>
      <c r="L201" s="41">
        <v>58</v>
      </c>
      <c r="M201" s="41">
        <v>58</v>
      </c>
    </row>
    <row r="202" spans="1:13" x14ac:dyDescent="0.25">
      <c r="A202" s="32">
        <v>456</v>
      </c>
      <c r="B202" s="87" t="str">
        <f>VLOOKUP(A202,Documentos!D:F,3,FALSE)</f>
        <v>Proposicion</v>
      </c>
      <c r="C202" s="88" t="str">
        <f>VLOOKUP(A202,Documentos!D:H,5,FALSE)</f>
        <v>DA</v>
      </c>
      <c r="D202" s="87">
        <f>VLOOKUP(A202,Documentos!D:I,6,FALSE)</f>
        <v>448</v>
      </c>
      <c r="E202" s="7" t="s">
        <v>60</v>
      </c>
      <c r="F202" s="10" t="s">
        <v>8</v>
      </c>
      <c r="G202" s="97" t="s">
        <v>494</v>
      </c>
      <c r="H202" s="33"/>
      <c r="I202" s="33"/>
      <c r="J202" s="33"/>
      <c r="K202" s="33" t="s">
        <v>1278</v>
      </c>
      <c r="L202" s="41">
        <v>154000</v>
      </c>
      <c r="M202" s="41">
        <v>0</v>
      </c>
    </row>
    <row r="203" spans="1:13" x14ac:dyDescent="0.25">
      <c r="A203" s="32">
        <v>459</v>
      </c>
      <c r="B203" s="87" t="str">
        <f>VLOOKUP(A203,Documentos!D:F,3,FALSE)</f>
        <v>Oficio_Solicitud</v>
      </c>
      <c r="C203" s="88" t="str">
        <f>VLOOKUP(A203,Documentos!D:H,5,FALSE)</f>
        <v>DAP</v>
      </c>
      <c r="D203" s="87">
        <f>VLOOKUP(A203,Documentos!D:I,6,FALSE)</f>
        <v>449</v>
      </c>
      <c r="E203" s="7" t="s">
        <v>1258</v>
      </c>
      <c r="F203" s="10" t="s">
        <v>10</v>
      </c>
      <c r="G203" s="97" t="s">
        <v>494</v>
      </c>
      <c r="H203" s="33"/>
      <c r="I203" s="33"/>
      <c r="J203" s="33"/>
      <c r="K203" s="33" t="s">
        <v>1236</v>
      </c>
      <c r="L203" s="41">
        <v>195780</v>
      </c>
      <c r="M203" s="41">
        <v>195780</v>
      </c>
    </row>
    <row r="204" spans="1:13" x14ac:dyDescent="0.25">
      <c r="A204" s="32">
        <v>460</v>
      </c>
      <c r="B204" s="87" t="str">
        <f>VLOOKUP(A204,Documentos!D:F,3,FALSE)</f>
        <v>Proposicion</v>
      </c>
      <c r="C204" s="88" t="str">
        <f>VLOOKUP(A204,Documentos!D:H,5,FALSE)</f>
        <v>DV</v>
      </c>
      <c r="D204" s="87">
        <f>VLOOKUP(A204,Documentos!D:I,6,FALSE)</f>
        <v>450</v>
      </c>
      <c r="E204" s="7" t="s">
        <v>60</v>
      </c>
      <c r="F204" s="10" t="s">
        <v>26</v>
      </c>
      <c r="G204" s="97" t="s">
        <v>494</v>
      </c>
      <c r="H204" s="33"/>
      <c r="I204" s="33"/>
      <c r="J204" s="33"/>
      <c r="K204" s="33" t="s">
        <v>1278</v>
      </c>
      <c r="L204" s="41">
        <v>31554330</v>
      </c>
      <c r="M204" s="41">
        <v>19509000</v>
      </c>
    </row>
    <row r="205" spans="1:13" x14ac:dyDescent="0.25">
      <c r="A205" s="32">
        <v>462</v>
      </c>
      <c r="B205" s="87" t="str">
        <f>VLOOKUP(A205,Documentos!D:F,3,FALSE)</f>
        <v>Proposicion</v>
      </c>
      <c r="C205" s="88" t="str">
        <f>VLOOKUP(A205,Documentos!D:H,5,FALSE)</f>
        <v>APR</v>
      </c>
      <c r="D205" s="87">
        <f>VLOOKUP(A205,Documentos!D:I,6,FALSE)</f>
        <v>451</v>
      </c>
      <c r="E205" s="7" t="s">
        <v>1258</v>
      </c>
      <c r="F205" s="10" t="s">
        <v>6</v>
      </c>
      <c r="G205" s="97" t="s">
        <v>494</v>
      </c>
      <c r="H205" s="33"/>
      <c r="I205" s="33"/>
      <c r="J205" s="33"/>
      <c r="K205" s="33" t="s">
        <v>1236</v>
      </c>
      <c r="L205" s="41">
        <v>79183</v>
      </c>
      <c r="M205" s="41">
        <v>79183</v>
      </c>
    </row>
    <row r="206" spans="1:13" x14ac:dyDescent="0.25">
      <c r="A206" s="32">
        <v>466</v>
      </c>
      <c r="B206" s="87" t="str">
        <f>VLOOKUP(A206,Documentos!D:F,3,FALSE)</f>
        <v>Proposicion</v>
      </c>
      <c r="C206" s="88" t="str">
        <f>VLOOKUP(A206,Documentos!D:H,5,FALSE)</f>
        <v>DOH</v>
      </c>
      <c r="D206" s="87">
        <f>VLOOKUP(A206,Documentos!D:I,6,FALSE)</f>
        <v>452</v>
      </c>
      <c r="E206" s="7" t="s">
        <v>1258</v>
      </c>
      <c r="F206" s="10" t="s">
        <v>20</v>
      </c>
      <c r="G206" s="97" t="s">
        <v>494</v>
      </c>
      <c r="H206" s="33"/>
      <c r="I206" s="33"/>
      <c r="J206" s="33"/>
      <c r="K206" s="33" t="s">
        <v>1236</v>
      </c>
      <c r="L206" s="41">
        <v>13000</v>
      </c>
      <c r="M206" s="41">
        <v>13000</v>
      </c>
    </row>
    <row r="207" spans="1:13" x14ac:dyDescent="0.25">
      <c r="A207" s="32">
        <v>467</v>
      </c>
      <c r="B207" s="87" t="str">
        <f>VLOOKUP(A207,Documentos!D:F,3,FALSE)</f>
        <v>Proposicion</v>
      </c>
      <c r="C207" s="88" t="str">
        <f>VLOOKUP(A207,Documentos!D:H,5,FALSE)</f>
        <v>DAP_FETCovid19</v>
      </c>
      <c r="D207" s="87">
        <f>VLOOKUP(A207,Documentos!D:I,6,FALSE)</f>
        <v>453</v>
      </c>
      <c r="E207" s="7" t="s">
        <v>60</v>
      </c>
      <c r="F207" s="10" t="s">
        <v>544</v>
      </c>
      <c r="G207" s="97" t="s">
        <v>494</v>
      </c>
      <c r="H207" s="33"/>
      <c r="I207" s="33"/>
      <c r="J207" s="33"/>
      <c r="K207" s="33" t="s">
        <v>1278</v>
      </c>
      <c r="L207" s="41">
        <v>1256651</v>
      </c>
      <c r="M207" s="41">
        <v>1256651</v>
      </c>
    </row>
    <row r="208" spans="1:13" x14ac:dyDescent="0.25">
      <c r="A208" s="32">
        <v>468</v>
      </c>
      <c r="B208" s="87" t="str">
        <f>VLOOKUP(A208,Documentos!D:F,3,FALSE)</f>
        <v>Proposicion</v>
      </c>
      <c r="C208" s="88" t="str">
        <f>VLOOKUP(A208,Documentos!D:H,5,FALSE)</f>
        <v>DV_FETCovid19</v>
      </c>
      <c r="D208" s="87">
        <f>VLOOKUP(A208,Documentos!D:I,6,FALSE)</f>
        <v>454</v>
      </c>
      <c r="E208" s="7" t="s">
        <v>60</v>
      </c>
      <c r="F208" s="10" t="s">
        <v>538</v>
      </c>
      <c r="G208" s="97" t="s">
        <v>494</v>
      </c>
      <c r="H208" s="33"/>
      <c r="I208" s="33"/>
      <c r="J208" s="33"/>
      <c r="K208" s="33" t="s">
        <v>1278</v>
      </c>
      <c r="L208" s="41">
        <v>17985500</v>
      </c>
      <c r="M208" s="41">
        <v>18185500</v>
      </c>
    </row>
    <row r="209" spans="1:13" x14ac:dyDescent="0.25">
      <c r="A209" s="32">
        <v>469</v>
      </c>
      <c r="B209" s="87" t="str">
        <f>VLOOKUP(A209,Documentos!D:F,3,FALSE)</f>
        <v>Oficio_Solicitud</v>
      </c>
      <c r="C209" s="88" t="str">
        <f>VLOOKUP(A209,Documentos!D:H,5,FALSE)</f>
        <v>DOP</v>
      </c>
      <c r="D209" s="87">
        <f>VLOOKUP(A209,Documentos!D:I,6,FALSE)</f>
        <v>454</v>
      </c>
      <c r="E209" s="7" t="s">
        <v>1258</v>
      </c>
      <c r="F209" s="10" t="s">
        <v>22</v>
      </c>
      <c r="G209" s="97" t="s">
        <v>494</v>
      </c>
      <c r="H209" s="33"/>
      <c r="I209" s="33"/>
      <c r="J209" s="33"/>
      <c r="K209" s="33" t="s">
        <v>1236</v>
      </c>
      <c r="L209" s="41">
        <v>483</v>
      </c>
      <c r="M209" s="41">
        <v>483</v>
      </c>
    </row>
    <row r="210" spans="1:13" x14ac:dyDescent="0.25">
      <c r="A210" s="32">
        <v>471</v>
      </c>
      <c r="B210" s="87" t="str">
        <f>VLOOKUP(A210,Documentos!D:F,3,FALSE)</f>
        <v>Proposicion</v>
      </c>
      <c r="C210" s="88" t="str">
        <f>VLOOKUP(A210,Documentos!D:H,5,FALSE)</f>
        <v>DOH</v>
      </c>
      <c r="D210" s="87">
        <f>VLOOKUP(A210,Documentos!D:I,6,FALSE)</f>
        <v>456</v>
      </c>
      <c r="E210" s="7" t="s">
        <v>1258</v>
      </c>
      <c r="F210" s="10" t="s">
        <v>20</v>
      </c>
      <c r="G210" s="97" t="s">
        <v>494</v>
      </c>
      <c r="H210" s="33"/>
      <c r="I210" s="33"/>
      <c r="J210" s="33"/>
      <c r="K210" s="33" t="s">
        <v>1236</v>
      </c>
      <c r="L210" s="41">
        <v>36774</v>
      </c>
      <c r="M210" s="41">
        <v>36774</v>
      </c>
    </row>
    <row r="211" spans="1:13" x14ac:dyDescent="0.25">
      <c r="A211" s="32">
        <v>477</v>
      </c>
      <c r="B211" s="87" t="str">
        <f>VLOOKUP(A211,Documentos!D:F,3,FALSE)</f>
        <v>Oficio_Solicitud</v>
      </c>
      <c r="C211" s="88" t="str">
        <f>VLOOKUP(A211,Documentos!D:H,5,FALSE)</f>
        <v>DOP_FETCovid19</v>
      </c>
      <c r="D211" s="87">
        <f>VLOOKUP(A211,Documentos!D:I,6,FALSE)</f>
        <v>461</v>
      </c>
      <c r="E211" s="7" t="s">
        <v>1258</v>
      </c>
      <c r="F211" s="10" t="s">
        <v>541</v>
      </c>
      <c r="G211" s="97" t="s">
        <v>494</v>
      </c>
      <c r="H211" s="33"/>
      <c r="I211" s="33"/>
      <c r="J211" s="33"/>
      <c r="K211" s="33" t="s">
        <v>1236</v>
      </c>
      <c r="L211" s="41">
        <v>58</v>
      </c>
      <c r="M211" s="41">
        <v>58</v>
      </c>
    </row>
    <row r="212" spans="1:13" x14ac:dyDescent="0.25">
      <c r="A212" s="32">
        <v>479</v>
      </c>
      <c r="B212" s="87" t="str">
        <f>VLOOKUP(A212,Documentos!D:F,3,FALSE)</f>
        <v>Oficio_Solicitud</v>
      </c>
      <c r="C212" s="88" t="str">
        <f>VLOOKUP(A212,Documentos!D:H,5,FALSE)</f>
        <v>DAP</v>
      </c>
      <c r="D212" s="87">
        <f>VLOOKUP(A212,Documentos!D:I,6,FALSE)</f>
        <v>467</v>
      </c>
      <c r="E212" s="7" t="s">
        <v>1258</v>
      </c>
      <c r="F212" s="10" t="s">
        <v>10</v>
      </c>
      <c r="G212" s="97" t="s">
        <v>494</v>
      </c>
      <c r="H212" s="33"/>
      <c r="I212" s="33"/>
      <c r="J212" s="33"/>
      <c r="K212" s="33" t="s">
        <v>1236</v>
      </c>
      <c r="L212" s="41">
        <v>85121</v>
      </c>
      <c r="M212" s="41">
        <v>85121</v>
      </c>
    </row>
    <row r="213" spans="1:13" x14ac:dyDescent="0.25">
      <c r="A213" s="32">
        <v>481</v>
      </c>
      <c r="B213" s="87" t="str">
        <f>VLOOKUP(A213,Documentos!D:F,3,FALSE)</f>
        <v>Oficio_Solicitud</v>
      </c>
      <c r="C213" s="88" t="str">
        <f>VLOOKUP(A213,Documentos!D:H,5,FALSE)</f>
        <v>DAP_FETCovid19</v>
      </c>
      <c r="D213" s="87">
        <f>VLOOKUP(A213,Documentos!D:I,6,FALSE)</f>
        <v>473</v>
      </c>
      <c r="E213" s="7" t="s">
        <v>1258</v>
      </c>
      <c r="F213" s="10" t="s">
        <v>544</v>
      </c>
      <c r="G213" s="97" t="s">
        <v>494</v>
      </c>
      <c r="H213" s="33"/>
      <c r="I213" s="33"/>
      <c r="J213" s="33"/>
      <c r="K213" s="33" t="s">
        <v>1236</v>
      </c>
      <c r="L213" s="41">
        <v>33000</v>
      </c>
      <c r="M213" s="41">
        <v>33000</v>
      </c>
    </row>
    <row r="214" spans="1:13" x14ac:dyDescent="0.25">
      <c r="A214" s="32">
        <v>482</v>
      </c>
      <c r="B214" s="87" t="str">
        <f>VLOOKUP(A214,Documentos!D:F,3,FALSE)</f>
        <v>Proposicion</v>
      </c>
      <c r="C214" s="88" t="str">
        <f>VLOOKUP(A214,Documentos!D:H,5,FALSE)</f>
        <v>DV</v>
      </c>
      <c r="D214" s="87">
        <f>VLOOKUP(A214,Documentos!D:I,6,FALSE)</f>
        <v>474</v>
      </c>
      <c r="E214" s="7" t="s">
        <v>60</v>
      </c>
      <c r="F214" s="10" t="s">
        <v>26</v>
      </c>
      <c r="G214" s="97" t="s">
        <v>494</v>
      </c>
      <c r="H214" s="33"/>
      <c r="I214" s="33"/>
      <c r="J214" s="33"/>
      <c r="K214" s="33" t="s">
        <v>1278</v>
      </c>
      <c r="L214" s="41">
        <v>320800</v>
      </c>
      <c r="M214" s="41">
        <v>0</v>
      </c>
    </row>
    <row r="215" spans="1:13" x14ac:dyDescent="0.25">
      <c r="A215" s="32">
        <v>484</v>
      </c>
      <c r="B215" s="87" t="str">
        <f>VLOOKUP(A215,Documentos!D:F,3,FALSE)</f>
        <v>Oficio_Solicitud</v>
      </c>
      <c r="C215" s="88" t="str">
        <f>VLOOKUP(A215,Documentos!D:H,5,FALSE)</f>
        <v>DAP</v>
      </c>
      <c r="D215" s="87">
        <f>VLOOKUP(A215,Documentos!D:I,6,FALSE)</f>
        <v>478</v>
      </c>
      <c r="E215" s="7" t="s">
        <v>1258</v>
      </c>
      <c r="F215" s="10" t="s">
        <v>10</v>
      </c>
      <c r="G215" s="97" t="s">
        <v>494</v>
      </c>
      <c r="H215" s="33"/>
      <c r="I215" s="33"/>
      <c r="J215" s="33"/>
      <c r="K215" s="33" t="s">
        <v>1236</v>
      </c>
      <c r="L215" s="41">
        <v>16133</v>
      </c>
      <c r="M215" s="41">
        <v>16133</v>
      </c>
    </row>
    <row r="216" spans="1:13" x14ac:dyDescent="0.25">
      <c r="A216" s="32">
        <v>485</v>
      </c>
      <c r="B216" s="87" t="str">
        <f>VLOOKUP(A216,Documentos!D:F,3,FALSE)</f>
        <v>Oficio_Solicitud</v>
      </c>
      <c r="C216" s="88" t="str">
        <f>VLOOKUP(A216,Documentos!D:H,5,FALSE)</f>
        <v>DAP</v>
      </c>
      <c r="D216" s="87">
        <f>VLOOKUP(A216,Documentos!D:I,6,FALSE)</f>
        <v>479</v>
      </c>
      <c r="E216" s="7" t="s">
        <v>60</v>
      </c>
      <c r="F216" s="10" t="s">
        <v>10</v>
      </c>
      <c r="G216" s="97" t="s">
        <v>494</v>
      </c>
      <c r="H216" s="33"/>
      <c r="I216" s="33"/>
      <c r="J216" s="33"/>
      <c r="K216" s="33" t="s">
        <v>1278</v>
      </c>
      <c r="L216" s="41">
        <v>2847115</v>
      </c>
      <c r="M216" s="41">
        <v>2847115</v>
      </c>
    </row>
    <row r="217" spans="1:13" x14ac:dyDescent="0.25">
      <c r="A217" s="32">
        <v>486</v>
      </c>
      <c r="B217" s="87" t="str">
        <f>VLOOKUP(A217,Documentos!D:F,3,FALSE)</f>
        <v>Proposicion</v>
      </c>
      <c r="C217" s="88" t="str">
        <f>VLOOKUP(A217,Documentos!D:H,5,FALSE)</f>
        <v>DV_FETCovid19</v>
      </c>
      <c r="D217" s="87">
        <f>VLOOKUP(A217,Documentos!D:I,6,FALSE)</f>
        <v>481</v>
      </c>
      <c r="E217" s="7" t="s">
        <v>1258</v>
      </c>
      <c r="F217" s="10" t="s">
        <v>538</v>
      </c>
      <c r="G217" s="97" t="s">
        <v>494</v>
      </c>
      <c r="H217" s="33"/>
      <c r="I217" s="33"/>
      <c r="J217" s="33"/>
      <c r="K217" s="33" t="s">
        <v>1236</v>
      </c>
      <c r="L217" s="41">
        <v>77740</v>
      </c>
      <c r="M217" s="41">
        <v>77740</v>
      </c>
    </row>
    <row r="218" spans="1:13" x14ac:dyDescent="0.25">
      <c r="A218" s="32">
        <v>487</v>
      </c>
      <c r="B218" s="87" t="str">
        <f>VLOOKUP(A218,Documentos!D:F,3,FALSE)</f>
        <v>Proposicion</v>
      </c>
      <c r="C218" s="88" t="str">
        <f>VLOOKUP(A218,Documentos!D:H,5,FALSE)</f>
        <v>DAP</v>
      </c>
      <c r="D218" s="87">
        <f>VLOOKUP(A218,Documentos!D:I,6,FALSE)</f>
        <v>482</v>
      </c>
      <c r="E218" s="7" t="s">
        <v>1258</v>
      </c>
      <c r="F218" s="10" t="s">
        <v>10</v>
      </c>
      <c r="G218" s="97" t="s">
        <v>494</v>
      </c>
      <c r="H218" s="33"/>
      <c r="I218" s="33"/>
      <c r="J218" s="33"/>
      <c r="K218" s="33" t="s">
        <v>1236</v>
      </c>
      <c r="L218" s="41">
        <v>6500</v>
      </c>
      <c r="M218" s="41">
        <v>6500</v>
      </c>
    </row>
    <row r="219" spans="1:13" x14ac:dyDescent="0.25">
      <c r="A219" s="32">
        <v>489</v>
      </c>
      <c r="B219" s="87" t="str">
        <f>VLOOKUP(A219,Documentos!D:F,3,FALSE)</f>
        <v>Proposicion</v>
      </c>
      <c r="C219" s="88" t="str">
        <f>VLOOKUP(A219,Documentos!D:H,5,FALSE)</f>
        <v>DV</v>
      </c>
      <c r="D219" s="87">
        <f>VLOOKUP(A219,Documentos!D:I,6,FALSE)</f>
        <v>485</v>
      </c>
      <c r="E219" s="7" t="s">
        <v>1258</v>
      </c>
      <c r="F219" s="10" t="s">
        <v>26</v>
      </c>
      <c r="G219" s="97" t="s">
        <v>494</v>
      </c>
      <c r="H219" s="33"/>
      <c r="I219" s="33"/>
      <c r="J219" s="33"/>
      <c r="K219" s="33" t="s">
        <v>1236</v>
      </c>
      <c r="L219" s="41">
        <v>1227610</v>
      </c>
      <c r="M219" s="41">
        <v>1227610</v>
      </c>
    </row>
    <row r="220" spans="1:13" x14ac:dyDescent="0.25">
      <c r="A220" s="32">
        <v>491</v>
      </c>
      <c r="B220" s="87" t="str">
        <f>VLOOKUP(A220,Documentos!D:F,3,FALSE)</f>
        <v>Proposicion</v>
      </c>
      <c r="C220" s="88" t="str">
        <f>VLOOKUP(A220,Documentos!D:H,5,FALSE)</f>
        <v>DGA_FETCovid19</v>
      </c>
      <c r="D220" s="87">
        <f>VLOOKUP(A220,Documentos!D:I,6,FALSE)</f>
        <v>489</v>
      </c>
      <c r="E220" s="7" t="s">
        <v>1258</v>
      </c>
      <c r="F220" s="10" t="s">
        <v>565</v>
      </c>
      <c r="G220" s="97" t="s">
        <v>494</v>
      </c>
      <c r="H220" s="33"/>
      <c r="I220" s="33"/>
      <c r="J220" s="33"/>
      <c r="K220" s="33" t="s">
        <v>1236</v>
      </c>
      <c r="L220" s="41">
        <v>644003</v>
      </c>
      <c r="M220" s="41">
        <v>644003</v>
      </c>
    </row>
    <row r="221" spans="1:13" x14ac:dyDescent="0.25">
      <c r="A221" s="32">
        <v>495</v>
      </c>
      <c r="B221" s="87" t="str">
        <f>VLOOKUP(A221,Documentos!D:F,3,FALSE)</f>
        <v>Oficio_Solicitud</v>
      </c>
      <c r="C221" s="88" t="str">
        <f>VLOOKUP(A221,Documentos!D:H,5,FALSE)</f>
        <v>DAP</v>
      </c>
      <c r="D221" s="87">
        <f>VLOOKUP(A221,Documentos!D:I,6,FALSE)</f>
        <v>493</v>
      </c>
      <c r="E221" s="7" t="s">
        <v>1258</v>
      </c>
      <c r="F221" s="10" t="s">
        <v>10</v>
      </c>
      <c r="G221" s="97" t="s">
        <v>494</v>
      </c>
      <c r="H221" s="33"/>
      <c r="I221" s="33"/>
      <c r="J221" s="33"/>
      <c r="K221" s="33" t="s">
        <v>1236</v>
      </c>
      <c r="L221" s="41">
        <v>577</v>
      </c>
      <c r="M221" s="41">
        <v>577</v>
      </c>
    </row>
    <row r="222" spans="1:13" x14ac:dyDescent="0.25">
      <c r="A222" s="32">
        <v>498</v>
      </c>
      <c r="B222" s="87" t="str">
        <f>VLOOKUP(A222,Documentos!D:F,3,FALSE)</f>
        <v>Proposicion</v>
      </c>
      <c r="C222" s="88" t="str">
        <f>VLOOKUP(A222,Documentos!D:H,5,FALSE)</f>
        <v>DOH</v>
      </c>
      <c r="D222" s="87">
        <f>VLOOKUP(A222,Documentos!D:I,6,FALSE)</f>
        <v>496</v>
      </c>
      <c r="E222" s="7" t="s">
        <v>1258</v>
      </c>
      <c r="F222" s="10" t="s">
        <v>20</v>
      </c>
      <c r="G222" s="97" t="s">
        <v>494</v>
      </c>
      <c r="H222" s="33"/>
      <c r="I222" s="33"/>
      <c r="J222" s="33"/>
      <c r="K222" s="33" t="s">
        <v>1236</v>
      </c>
      <c r="L222" s="41">
        <v>16160</v>
      </c>
      <c r="M222" s="41">
        <v>16160</v>
      </c>
    </row>
    <row r="223" spans="1:13" x14ac:dyDescent="0.25">
      <c r="A223" s="32">
        <v>499</v>
      </c>
      <c r="B223" s="87" t="str">
        <f>VLOOKUP(A223,Documentos!D:F,3,FALSE)</f>
        <v>Proposicion</v>
      </c>
      <c r="C223" s="88" t="str">
        <f>VLOOKUP(A223,Documentos!D:H,5,FALSE)</f>
        <v>DOH</v>
      </c>
      <c r="D223" s="87">
        <f>VLOOKUP(A223,Documentos!D:I,6,FALSE)</f>
        <v>497</v>
      </c>
      <c r="E223" s="7" t="s">
        <v>1258</v>
      </c>
      <c r="F223" s="10" t="s">
        <v>20</v>
      </c>
      <c r="G223" s="97" t="s">
        <v>494</v>
      </c>
      <c r="H223" s="33"/>
      <c r="I223" s="33"/>
      <c r="J223" s="33"/>
      <c r="K223" s="33" t="s">
        <v>1236</v>
      </c>
      <c r="L223" s="41">
        <v>150000</v>
      </c>
      <c r="M223" s="41">
        <v>150000</v>
      </c>
    </row>
    <row r="224" spans="1:13" x14ac:dyDescent="0.25">
      <c r="A224" s="32">
        <v>500</v>
      </c>
      <c r="B224" s="87" t="str">
        <f>VLOOKUP(A224,Documentos!D:F,3,FALSE)</f>
        <v>Proposicion</v>
      </c>
      <c r="C224" s="88" t="str">
        <f>VLOOKUP(A224,Documentos!D:H,5,FALSE)</f>
        <v>APR_FETCovid19</v>
      </c>
      <c r="D224" s="87">
        <f>VLOOKUP(A224,Documentos!D:I,6,FALSE)</f>
        <v>498</v>
      </c>
      <c r="E224" s="7" t="s">
        <v>1258</v>
      </c>
      <c r="F224" s="10" t="s">
        <v>559</v>
      </c>
      <c r="G224" s="97" t="s">
        <v>494</v>
      </c>
      <c r="H224" s="33"/>
      <c r="I224" s="33"/>
      <c r="J224" s="33"/>
      <c r="K224" s="33" t="s">
        <v>1236</v>
      </c>
      <c r="L224" s="41">
        <v>1139500</v>
      </c>
      <c r="M224" s="41">
        <v>1139500</v>
      </c>
    </row>
    <row r="225" spans="1:13" x14ac:dyDescent="0.25">
      <c r="A225" s="32">
        <v>501</v>
      </c>
      <c r="B225" s="87" t="str">
        <f>VLOOKUP(A225,Documentos!D:F,3,FALSE)</f>
        <v>Proposicion</v>
      </c>
      <c r="C225" s="88" t="str">
        <f>VLOOKUP(A225,Documentos!D:H,5,FALSE)</f>
        <v>APR</v>
      </c>
      <c r="D225" s="87">
        <f>VLOOKUP(A225,Documentos!D:I,6,FALSE)</f>
        <v>499</v>
      </c>
      <c r="E225" s="7" t="s">
        <v>1258</v>
      </c>
      <c r="F225" s="10" t="s">
        <v>6</v>
      </c>
      <c r="G225" s="97" t="s">
        <v>494</v>
      </c>
      <c r="H225" s="33"/>
      <c r="I225" s="33"/>
      <c r="J225" s="33"/>
      <c r="K225" s="33" t="s">
        <v>1236</v>
      </c>
      <c r="L225" s="41">
        <v>271003</v>
      </c>
      <c r="M225" s="41">
        <v>271003</v>
      </c>
    </row>
    <row r="226" spans="1:13" x14ac:dyDescent="0.25">
      <c r="A226" s="32">
        <v>503</v>
      </c>
      <c r="B226" s="87" t="str">
        <f>VLOOKUP(A226,Documentos!D:F,3,FALSE)</f>
        <v>Oficio_Solicitud</v>
      </c>
      <c r="C226" s="88" t="str">
        <f>VLOOKUP(A226,Documentos!D:H,5,FALSE)</f>
        <v>DV</v>
      </c>
      <c r="D226" s="87">
        <f>VLOOKUP(A226,Documentos!D:I,6,FALSE)</f>
        <v>499</v>
      </c>
      <c r="E226" s="7" t="s">
        <v>43</v>
      </c>
      <c r="F226" s="10" t="s">
        <v>26</v>
      </c>
      <c r="G226" s="97" t="s">
        <v>494</v>
      </c>
      <c r="H226" s="33"/>
      <c r="I226" s="33"/>
      <c r="J226" s="33"/>
      <c r="K226" s="33" t="s">
        <v>1282</v>
      </c>
      <c r="L226" s="41">
        <v>1410000</v>
      </c>
      <c r="M226" s="41">
        <v>0</v>
      </c>
    </row>
    <row r="227" spans="1:13" x14ac:dyDescent="0.25">
      <c r="A227" s="32">
        <v>513</v>
      </c>
      <c r="B227" s="87" t="str">
        <f>VLOOKUP(A227,Documentos!D:F,3,FALSE)</f>
        <v>Oficio_Solicitud</v>
      </c>
      <c r="C227" s="88" t="str">
        <f>VLOOKUP(A227,Documentos!D:H,5,FALSE)</f>
        <v>DAP</v>
      </c>
      <c r="D227" s="87">
        <f>VLOOKUP(A227,Documentos!D:I,6,FALSE)</f>
        <v>509</v>
      </c>
      <c r="E227" s="7" t="s">
        <v>1258</v>
      </c>
      <c r="F227" s="10" t="s">
        <v>10</v>
      </c>
      <c r="G227" s="97" t="s">
        <v>494</v>
      </c>
      <c r="H227" s="33"/>
      <c r="I227" s="33"/>
      <c r="J227" s="33"/>
      <c r="K227" s="33" t="s">
        <v>1236</v>
      </c>
      <c r="L227" s="41">
        <v>38658</v>
      </c>
      <c r="M227" s="41">
        <v>38658</v>
      </c>
    </row>
    <row r="228" spans="1:13" x14ac:dyDescent="0.25">
      <c r="A228" s="32">
        <v>514</v>
      </c>
      <c r="B228" s="87" t="str">
        <f>VLOOKUP(A228,Documentos!D:F,3,FALSE)</f>
        <v>Proposicion</v>
      </c>
      <c r="C228" s="88" t="str">
        <f>VLOOKUP(A228,Documentos!D:H,5,FALSE)</f>
        <v>DAP_FETCovid19</v>
      </c>
      <c r="D228" s="87">
        <f>VLOOKUP(A228,Documentos!D:I,6,FALSE)</f>
        <v>510</v>
      </c>
      <c r="E228" s="7" t="s">
        <v>60</v>
      </c>
      <c r="F228" s="10" t="s">
        <v>544</v>
      </c>
      <c r="G228" s="97" t="s">
        <v>494</v>
      </c>
      <c r="H228" s="33"/>
      <c r="I228" s="33"/>
      <c r="J228" s="33"/>
      <c r="K228" s="33" t="s">
        <v>1278</v>
      </c>
      <c r="L228" s="41">
        <v>4561320</v>
      </c>
      <c r="M228" s="41">
        <v>4061320</v>
      </c>
    </row>
    <row r="229" spans="1:13" x14ac:dyDescent="0.25">
      <c r="A229" s="32">
        <v>517</v>
      </c>
      <c r="B229" s="87" t="str">
        <f>VLOOKUP(A229,Documentos!D:F,3,FALSE)</f>
        <v>Proposicion</v>
      </c>
      <c r="C229" s="88" t="str">
        <f>VLOOKUP(A229,Documentos!D:H,5,FALSE)</f>
        <v>DOH</v>
      </c>
      <c r="D229" s="87">
        <f>VLOOKUP(A229,Documentos!D:I,6,FALSE)</f>
        <v>512</v>
      </c>
      <c r="E229" s="7" t="s">
        <v>60</v>
      </c>
      <c r="F229" s="10" t="s">
        <v>20</v>
      </c>
      <c r="G229" s="97" t="s">
        <v>494</v>
      </c>
      <c r="H229" s="33"/>
      <c r="I229" s="33"/>
      <c r="J229" s="33"/>
      <c r="K229" s="33" t="s">
        <v>1278</v>
      </c>
      <c r="L229" s="41">
        <v>6565481</v>
      </c>
      <c r="M229" s="41">
        <v>2066695</v>
      </c>
    </row>
    <row r="230" spans="1:13" x14ac:dyDescent="0.25">
      <c r="A230" s="32">
        <v>518</v>
      </c>
      <c r="B230" s="87" t="str">
        <f>VLOOKUP(A230,Documentos!D:F,3,FALSE)</f>
        <v>Oficio_Solicitud</v>
      </c>
      <c r="C230" s="88" t="str">
        <f>VLOOKUP(A230,Documentos!D:H,5,FALSE)</f>
        <v>DAP</v>
      </c>
      <c r="D230" s="87">
        <f>VLOOKUP(A230,Documentos!D:I,6,FALSE)</f>
        <v>512</v>
      </c>
      <c r="E230" s="7" t="s">
        <v>60</v>
      </c>
      <c r="F230" s="10" t="s">
        <v>10</v>
      </c>
      <c r="G230" s="97" t="s">
        <v>494</v>
      </c>
      <c r="H230" s="33"/>
      <c r="I230" s="33"/>
      <c r="J230" s="33"/>
      <c r="K230" s="33" t="s">
        <v>1278</v>
      </c>
      <c r="L230" s="41">
        <v>1467205</v>
      </c>
      <c r="M230" s="41">
        <v>1467205</v>
      </c>
    </row>
    <row r="231" spans="1:13" x14ac:dyDescent="0.25">
      <c r="A231" s="32">
        <v>525</v>
      </c>
      <c r="B231" s="87" t="str">
        <f>VLOOKUP(A231,Documentos!D:F,3,FALSE)</f>
        <v>Oficio_Solicitud</v>
      </c>
      <c r="C231" s="88" t="str">
        <f>VLOOKUP(A231,Documentos!D:H,5,FALSE)</f>
        <v>DAP_FETCovid19</v>
      </c>
      <c r="D231" s="87">
        <f>VLOOKUP(A231,Documentos!D:I,6,FALSE)</f>
        <v>516</v>
      </c>
      <c r="E231" s="7" t="s">
        <v>1258</v>
      </c>
      <c r="F231" s="10" t="s">
        <v>544</v>
      </c>
      <c r="G231" s="97" t="s">
        <v>494</v>
      </c>
      <c r="H231" s="33"/>
      <c r="I231" s="33"/>
      <c r="J231" s="33"/>
      <c r="K231" s="33" t="s">
        <v>1236</v>
      </c>
      <c r="L231" s="41">
        <v>100000</v>
      </c>
      <c r="M231" s="41">
        <v>100000</v>
      </c>
    </row>
    <row r="232" spans="1:13" x14ac:dyDescent="0.25">
      <c r="A232" s="32">
        <v>535</v>
      </c>
      <c r="B232" s="87" t="str">
        <f>VLOOKUP(A232,Documentos!D:F,3,FALSE)</f>
        <v>Oficio_Solicitud</v>
      </c>
      <c r="C232" s="88" t="str">
        <f>VLOOKUP(A232,Documentos!D:H,5,FALSE)</f>
        <v>DGOP</v>
      </c>
      <c r="D232" s="87">
        <f>VLOOKUP(A232,Documentos!D:I,6,FALSE)</f>
        <v>529</v>
      </c>
      <c r="E232" s="7" t="s">
        <v>43</v>
      </c>
      <c r="F232" s="10" t="s">
        <v>18</v>
      </c>
      <c r="G232" s="97" t="s">
        <v>494</v>
      </c>
      <c r="H232" s="33"/>
      <c r="I232" s="33"/>
      <c r="J232" s="33"/>
      <c r="K232" s="33" t="s">
        <v>1278</v>
      </c>
      <c r="L232" s="41">
        <v>6540</v>
      </c>
      <c r="M232" s="41"/>
    </row>
    <row r="233" spans="1:13" x14ac:dyDescent="0.25">
      <c r="A233" s="32">
        <v>539</v>
      </c>
      <c r="B233" s="87" t="str">
        <f>VLOOKUP(A233,Documentos!D:F,3,FALSE)</f>
        <v>Proposicion</v>
      </c>
      <c r="C233" s="88" t="str">
        <f>VLOOKUP(A233,Documentos!D:H,5,FALSE)</f>
        <v>DGC</v>
      </c>
      <c r="D233" s="87">
        <f>VLOOKUP(A233,Documentos!D:I,6,FALSE)</f>
        <v>533</v>
      </c>
      <c r="E233" s="7" t="s">
        <v>1258</v>
      </c>
      <c r="F233" s="10" t="s">
        <v>16</v>
      </c>
      <c r="G233" s="97" t="s">
        <v>494</v>
      </c>
      <c r="H233" s="33"/>
      <c r="I233" s="33"/>
      <c r="J233" s="33"/>
      <c r="K233" s="33" t="s">
        <v>1236</v>
      </c>
      <c r="L233" s="41">
        <v>133976</v>
      </c>
      <c r="M233" s="41">
        <v>133976</v>
      </c>
    </row>
    <row r="234" spans="1:13" x14ac:dyDescent="0.25">
      <c r="A234" s="32">
        <v>542</v>
      </c>
      <c r="B234" s="87" t="str">
        <f>VLOOKUP(A234,Documentos!D:F,3,FALSE)</f>
        <v>Proposicion</v>
      </c>
      <c r="C234" s="88" t="str">
        <f>VLOOKUP(A234,Documentos!D:H,5,FALSE)</f>
        <v>DOH_FETCovid19</v>
      </c>
      <c r="D234" s="87">
        <f>VLOOKUP(A234,Documentos!D:I,6,FALSE)</f>
        <v>536</v>
      </c>
      <c r="E234" s="7" t="s">
        <v>1258</v>
      </c>
      <c r="F234" s="10" t="s">
        <v>535</v>
      </c>
      <c r="G234" s="97" t="s">
        <v>494</v>
      </c>
      <c r="H234" s="33"/>
      <c r="I234" s="33"/>
      <c r="J234" s="33"/>
      <c r="K234" s="33" t="s">
        <v>1236</v>
      </c>
      <c r="L234" s="41">
        <v>108339</v>
      </c>
      <c r="M234" s="41">
        <v>108339</v>
      </c>
    </row>
    <row r="235" spans="1:13" x14ac:dyDescent="0.25">
      <c r="A235" s="32">
        <v>544</v>
      </c>
      <c r="B235" s="87" t="str">
        <f>VLOOKUP(A235,Documentos!D:F,3,FALSE)</f>
        <v>Proposicion</v>
      </c>
      <c r="C235" s="88" t="str">
        <f>VLOOKUP(A235,Documentos!D:H,5,FALSE)</f>
        <v>APR</v>
      </c>
      <c r="D235" s="87">
        <f>VLOOKUP(A235,Documentos!D:I,6,FALSE)</f>
        <v>538</v>
      </c>
      <c r="E235" s="7" t="s">
        <v>1258</v>
      </c>
      <c r="F235" s="10" t="s">
        <v>6</v>
      </c>
      <c r="G235" s="97" t="s">
        <v>494</v>
      </c>
      <c r="H235" s="33"/>
      <c r="I235" s="33"/>
      <c r="J235" s="33"/>
      <c r="K235" s="33" t="s">
        <v>1236</v>
      </c>
      <c r="L235" s="41">
        <v>856</v>
      </c>
      <c r="M235" s="41">
        <v>856</v>
      </c>
    </row>
    <row r="236" spans="1:13" x14ac:dyDescent="0.25">
      <c r="A236" s="32">
        <v>545</v>
      </c>
      <c r="B236" s="87" t="str">
        <f>VLOOKUP(A236,Documentos!D:F,3,FALSE)</f>
        <v>Proposicion</v>
      </c>
      <c r="C236" s="88" t="str">
        <f>VLOOKUP(A236,Documentos!D:H,5,FALSE)</f>
        <v>DOP</v>
      </c>
      <c r="D236" s="87">
        <f>VLOOKUP(A236,Documentos!D:I,6,FALSE)</f>
        <v>540</v>
      </c>
      <c r="E236" s="7" t="s">
        <v>1258</v>
      </c>
      <c r="F236" s="10" t="s">
        <v>22</v>
      </c>
      <c r="G236" s="97" t="s">
        <v>494</v>
      </c>
      <c r="H236" s="33"/>
      <c r="I236" s="33"/>
      <c r="J236" s="33"/>
      <c r="K236" s="33" t="s">
        <v>1236</v>
      </c>
      <c r="L236" s="41">
        <v>4291</v>
      </c>
      <c r="M236" s="41">
        <v>4291</v>
      </c>
    </row>
    <row r="237" spans="1:13" x14ac:dyDescent="0.25">
      <c r="A237" s="32">
        <v>546</v>
      </c>
      <c r="B237" s="87" t="str">
        <f>VLOOKUP(A237,Documentos!D:F,3,FALSE)</f>
        <v>Proposicion</v>
      </c>
      <c r="C237" s="88" t="str">
        <f>VLOOKUP(A237,Documentos!D:H,5,FALSE)</f>
        <v>DOH</v>
      </c>
      <c r="D237" s="87">
        <f>VLOOKUP(A237,Documentos!D:I,6,FALSE)</f>
        <v>541</v>
      </c>
      <c r="E237" s="7" t="s">
        <v>1258</v>
      </c>
      <c r="F237" s="10" t="s">
        <v>20</v>
      </c>
      <c r="G237" s="97" t="s">
        <v>494</v>
      </c>
      <c r="H237" s="33"/>
      <c r="I237" s="33"/>
      <c r="J237" s="33"/>
      <c r="K237" s="33" t="s">
        <v>1236</v>
      </c>
      <c r="L237" s="41">
        <v>9328</v>
      </c>
      <c r="M237" s="41">
        <v>9328</v>
      </c>
    </row>
    <row r="238" spans="1:13" x14ac:dyDescent="0.25">
      <c r="A238" s="32">
        <v>547</v>
      </c>
      <c r="B238" s="87" t="str">
        <f>VLOOKUP(A238,Documentos!D:F,3,FALSE)</f>
        <v>Proposicion</v>
      </c>
      <c r="C238" s="88" t="str">
        <f>VLOOKUP(A238,Documentos!D:H,5,FALSE)</f>
        <v>DAP</v>
      </c>
      <c r="D238" s="87">
        <f>VLOOKUP(A238,Documentos!D:I,6,FALSE)</f>
        <v>543</v>
      </c>
      <c r="E238" s="7" t="s">
        <v>60</v>
      </c>
      <c r="F238" s="10" t="s">
        <v>10</v>
      </c>
      <c r="G238" s="97" t="s">
        <v>494</v>
      </c>
      <c r="H238" s="33"/>
      <c r="I238" s="33"/>
      <c r="J238" s="33"/>
      <c r="K238" s="33" t="s">
        <v>1278</v>
      </c>
      <c r="L238" s="41">
        <v>158800</v>
      </c>
      <c r="M238" s="41">
        <v>158800</v>
      </c>
    </row>
    <row r="239" spans="1:13" x14ac:dyDescent="0.25">
      <c r="A239" s="32">
        <v>549</v>
      </c>
      <c r="B239" s="87" t="str">
        <f>VLOOKUP(A239,Documentos!D:F,3,FALSE)</f>
        <v>Oficio_Solicitud</v>
      </c>
      <c r="C239" s="88" t="str">
        <f>VLOOKUP(A239,Documentos!D:H,5,FALSE)</f>
        <v>DGOP</v>
      </c>
      <c r="D239" s="87">
        <f>VLOOKUP(A239,Documentos!D:I,6,FALSE)</f>
        <v>545</v>
      </c>
      <c r="E239" s="7" t="s">
        <v>43</v>
      </c>
      <c r="F239" s="10" t="s">
        <v>18</v>
      </c>
      <c r="G239" s="97" t="s">
        <v>494</v>
      </c>
      <c r="H239" s="33"/>
      <c r="I239" s="33"/>
      <c r="J239" s="33"/>
      <c r="K239" s="33" t="s">
        <v>1236</v>
      </c>
      <c r="L239" s="41">
        <v>35186</v>
      </c>
      <c r="M239" s="41"/>
    </row>
    <row r="240" spans="1:13" x14ac:dyDescent="0.25">
      <c r="A240" s="32">
        <v>553</v>
      </c>
      <c r="B240" s="87" t="str">
        <f>VLOOKUP(A240,Documentos!D:F,3,FALSE)</f>
        <v>Proposicion</v>
      </c>
      <c r="C240" s="88" t="str">
        <f>VLOOKUP(A240,Documentos!D:H,5,FALSE)</f>
        <v>DAP_FETCovid19</v>
      </c>
      <c r="D240" s="87">
        <f>VLOOKUP(A240,Documentos!D:I,6,FALSE)</f>
        <v>552</v>
      </c>
      <c r="E240" s="7" t="s">
        <v>1258</v>
      </c>
      <c r="F240" s="10" t="s">
        <v>544</v>
      </c>
      <c r="G240" s="97" t="s">
        <v>494</v>
      </c>
      <c r="H240" s="33"/>
      <c r="I240" s="33"/>
      <c r="J240" s="33"/>
      <c r="K240" s="33" t="s">
        <v>1236</v>
      </c>
      <c r="L240" s="41">
        <v>2200</v>
      </c>
      <c r="M240" s="41">
        <v>2200</v>
      </c>
    </row>
    <row r="241" spans="1:13" x14ac:dyDescent="0.25">
      <c r="A241" s="32">
        <v>554</v>
      </c>
      <c r="B241" s="87" t="str">
        <f>VLOOKUP(A241,Documentos!D:F,3,FALSE)</f>
        <v>Proposicion</v>
      </c>
      <c r="C241" s="88" t="str">
        <f>VLOOKUP(A241,Documentos!D:H,5,FALSE)</f>
        <v>APR</v>
      </c>
      <c r="D241" s="87">
        <f>VLOOKUP(A241,Documentos!D:I,6,FALSE)</f>
        <v>553</v>
      </c>
      <c r="E241" s="7" t="s">
        <v>1258</v>
      </c>
      <c r="F241" s="10" t="s">
        <v>6</v>
      </c>
      <c r="G241" s="97" t="s">
        <v>494</v>
      </c>
      <c r="H241" s="33"/>
      <c r="I241" s="33"/>
      <c r="J241" s="33"/>
      <c r="K241" s="33" t="s">
        <v>1236</v>
      </c>
      <c r="L241" s="41">
        <v>25769</v>
      </c>
      <c r="M241" s="41">
        <v>25769</v>
      </c>
    </row>
    <row r="242" spans="1:13" x14ac:dyDescent="0.25">
      <c r="A242" s="32">
        <v>556</v>
      </c>
      <c r="B242" s="87" t="str">
        <f>VLOOKUP(A242,Documentos!D:F,3,FALSE)</f>
        <v>Proposicion</v>
      </c>
      <c r="C242" s="88" t="str">
        <f>VLOOKUP(A242,Documentos!D:H,5,FALSE)</f>
        <v>APR_FETCovid19</v>
      </c>
      <c r="D242" s="87">
        <f>VLOOKUP(A242,Documentos!D:I,6,FALSE)</f>
        <v>554</v>
      </c>
      <c r="E242" s="7" t="s">
        <v>1258</v>
      </c>
      <c r="F242" s="10" t="s">
        <v>559</v>
      </c>
      <c r="G242" s="97" t="s">
        <v>494</v>
      </c>
      <c r="H242" s="33"/>
      <c r="I242" s="33"/>
      <c r="J242" s="33"/>
      <c r="K242" s="33" t="s">
        <v>1236</v>
      </c>
      <c r="L242" s="41">
        <v>150</v>
      </c>
      <c r="M242" s="41">
        <v>150</v>
      </c>
    </row>
    <row r="243" spans="1:13" x14ac:dyDescent="0.25">
      <c r="A243" s="32">
        <v>558</v>
      </c>
      <c r="B243" s="87" t="str">
        <f>VLOOKUP(A243,Documentos!D:F,3,FALSE)</f>
        <v>Proposicion</v>
      </c>
      <c r="C243" s="88" t="str">
        <f>VLOOKUP(A243,Documentos!D:H,5,FALSE)</f>
        <v>DV</v>
      </c>
      <c r="D243" s="87">
        <f>VLOOKUP(A243,Documentos!D:I,6,FALSE)</f>
        <v>555</v>
      </c>
      <c r="E243" s="7" t="s">
        <v>1258</v>
      </c>
      <c r="F243" s="10" t="s">
        <v>26</v>
      </c>
      <c r="G243" s="97" t="s">
        <v>494</v>
      </c>
      <c r="H243" s="33"/>
      <c r="I243" s="33"/>
      <c r="J243" s="33"/>
      <c r="K243" s="33" t="s">
        <v>1236</v>
      </c>
      <c r="L243" s="41">
        <v>923470</v>
      </c>
      <c r="M243" s="41">
        <v>923470</v>
      </c>
    </row>
    <row r="244" spans="1:13" x14ac:dyDescent="0.25">
      <c r="A244" s="32">
        <v>561</v>
      </c>
      <c r="B244" s="87" t="str">
        <f>VLOOKUP(A244,Documentos!D:F,3,FALSE)</f>
        <v>Proposicion</v>
      </c>
      <c r="C244" s="88" t="str">
        <f>VLOOKUP(A244,Documentos!D:H,5,FALSE)</f>
        <v>DV_FETCovid19</v>
      </c>
      <c r="D244" s="87">
        <f>VLOOKUP(A244,Documentos!D:I,6,FALSE)</f>
        <v>556</v>
      </c>
      <c r="E244" s="7" t="s">
        <v>1258</v>
      </c>
      <c r="F244" s="10" t="s">
        <v>538</v>
      </c>
      <c r="G244" s="97" t="s">
        <v>494</v>
      </c>
      <c r="H244" s="33"/>
      <c r="I244" s="33"/>
      <c r="J244" s="33"/>
      <c r="K244" s="33" t="s">
        <v>1236</v>
      </c>
      <c r="L244" s="41">
        <v>400000</v>
      </c>
      <c r="M244" s="41">
        <v>400000</v>
      </c>
    </row>
    <row r="245" spans="1:13" x14ac:dyDescent="0.25">
      <c r="A245" s="32">
        <v>563</v>
      </c>
      <c r="B245" s="87" t="str">
        <f>VLOOKUP(A245,Documentos!D:F,3,FALSE)</f>
        <v>Proposicion</v>
      </c>
      <c r="C245" s="88" t="str">
        <f>VLOOKUP(A245,Documentos!D:H,5,FALSE)</f>
        <v>DAP</v>
      </c>
      <c r="D245" s="87">
        <f>VLOOKUP(A245,Documentos!D:I,6,FALSE)</f>
        <v>559</v>
      </c>
      <c r="E245" s="7" t="s">
        <v>1258</v>
      </c>
      <c r="F245" s="10" t="s">
        <v>10</v>
      </c>
      <c r="G245" s="97" t="s">
        <v>494</v>
      </c>
      <c r="H245" s="33"/>
      <c r="I245" s="33"/>
      <c r="J245" s="33"/>
      <c r="K245" s="33" t="s">
        <v>1236</v>
      </c>
      <c r="L245" s="41">
        <v>195780</v>
      </c>
      <c r="M245" s="41">
        <v>195780</v>
      </c>
    </row>
    <row r="246" spans="1:13" x14ac:dyDescent="0.25">
      <c r="A246" s="32">
        <v>567</v>
      </c>
      <c r="B246" s="87" t="str">
        <f>VLOOKUP(A246,Documentos!D:F,3,FALSE)</f>
        <v>Proposicion</v>
      </c>
      <c r="C246" s="88" t="str">
        <f>VLOOKUP(A246,Documentos!D:H,5,FALSE)</f>
        <v>DGC</v>
      </c>
      <c r="D246" s="87">
        <f>VLOOKUP(A246,Documentos!D:I,6,FALSE)</f>
        <v>561</v>
      </c>
      <c r="E246" s="7" t="s">
        <v>60</v>
      </c>
      <c r="F246" s="10" t="s">
        <v>16</v>
      </c>
      <c r="G246" s="97" t="s">
        <v>494</v>
      </c>
      <c r="H246" s="33"/>
      <c r="I246" s="33"/>
      <c r="J246" s="33"/>
      <c r="K246" s="33" t="s">
        <v>1278</v>
      </c>
      <c r="L246" s="41">
        <v>4138968</v>
      </c>
      <c r="M246" s="41">
        <v>4138968</v>
      </c>
    </row>
    <row r="247" spans="1:13" x14ac:dyDescent="0.25">
      <c r="A247" s="32">
        <v>570</v>
      </c>
      <c r="B247" s="87" t="str">
        <f>VLOOKUP(A247,Documentos!D:F,3,FALSE)</f>
        <v>Oficio_Solicitud</v>
      </c>
      <c r="C247" s="88" t="str">
        <f>VLOOKUP(A247,Documentos!D:H,5,FALSE)</f>
        <v>DGC</v>
      </c>
      <c r="D247" s="87">
        <f>VLOOKUP(A247,Documentos!D:I,6,FALSE)</f>
        <v>564</v>
      </c>
      <c r="E247" s="7" t="s">
        <v>1258</v>
      </c>
      <c r="F247" s="10" t="s">
        <v>16</v>
      </c>
      <c r="G247" s="97" t="s">
        <v>494</v>
      </c>
      <c r="H247" s="33"/>
      <c r="I247" s="33"/>
      <c r="J247" s="33"/>
      <c r="K247" s="33" t="s">
        <v>1236</v>
      </c>
      <c r="L247" s="41">
        <v>37005</v>
      </c>
      <c r="M247" s="41">
        <v>37005</v>
      </c>
    </row>
    <row r="248" spans="1:13" x14ac:dyDescent="0.25">
      <c r="A248" s="32">
        <v>571</v>
      </c>
      <c r="B248" s="87" t="str">
        <f>VLOOKUP(A248,Documentos!D:F,3,FALSE)</f>
        <v>Oficio_Solicitud</v>
      </c>
      <c r="C248" s="88" t="str">
        <f>VLOOKUP(A248,Documentos!D:H,5,FALSE)</f>
        <v>DAP_FETCovid19</v>
      </c>
      <c r="D248" s="87">
        <f>VLOOKUP(A248,Documentos!D:I,6,FALSE)</f>
        <v>565</v>
      </c>
      <c r="E248" s="7" t="s">
        <v>41</v>
      </c>
      <c r="F248" s="10" t="s">
        <v>544</v>
      </c>
      <c r="G248" s="97" t="s">
        <v>494</v>
      </c>
      <c r="H248" s="33"/>
      <c r="I248" s="33"/>
      <c r="J248" s="33"/>
      <c r="K248" s="33" t="s">
        <v>1236</v>
      </c>
      <c r="L248" s="41">
        <v>0</v>
      </c>
      <c r="M248" s="41">
        <v>2137030</v>
      </c>
    </row>
    <row r="249" spans="1:13" x14ac:dyDescent="0.25">
      <c r="A249" s="32">
        <v>572</v>
      </c>
      <c r="B249" s="87" t="str">
        <f>VLOOKUP(A249,Documentos!D:F,3,FALSE)</f>
        <v>Proposicion</v>
      </c>
      <c r="C249" s="88" t="str">
        <f>VLOOKUP(A249,Documentos!D:H,5,FALSE)</f>
        <v>DGA_FETCovid19</v>
      </c>
      <c r="D249" s="89">
        <f>VLOOKUP(A249,Documentos!D:I,6,FALSE)</f>
        <v>566</v>
      </c>
      <c r="E249" s="7" t="s">
        <v>44</v>
      </c>
      <c r="F249" s="10" t="s">
        <v>565</v>
      </c>
      <c r="G249" s="97" t="s">
        <v>498</v>
      </c>
      <c r="H249" s="33"/>
      <c r="I249" s="33"/>
      <c r="J249" s="33"/>
      <c r="K249" s="33" t="s">
        <v>1282</v>
      </c>
      <c r="L249" s="41">
        <v>0</v>
      </c>
      <c r="M249" s="41">
        <v>0</v>
      </c>
    </row>
    <row r="250" spans="1:13" x14ac:dyDescent="0.25">
      <c r="A250" s="32">
        <v>577</v>
      </c>
      <c r="B250" s="87" t="str">
        <f>VLOOKUP(A250,Documentos!D:F,3,FALSE)</f>
        <v>Oficio_Solicitud</v>
      </c>
      <c r="C250" s="88" t="str">
        <f>VLOOKUP(A250,Documentos!D:H,5,FALSE)</f>
        <v>DAP</v>
      </c>
      <c r="D250" s="87">
        <f>VLOOKUP(A250,Documentos!D:I,6,FALSE)</f>
        <v>568</v>
      </c>
      <c r="E250" s="7" t="s">
        <v>41</v>
      </c>
      <c r="F250" s="10" t="s">
        <v>10</v>
      </c>
      <c r="G250" s="97" t="s">
        <v>494</v>
      </c>
      <c r="H250" s="33"/>
      <c r="I250" s="33"/>
      <c r="J250" s="33"/>
      <c r="K250" s="33" t="s">
        <v>1278</v>
      </c>
      <c r="L250" s="41">
        <v>2722261</v>
      </c>
      <c r="M250" s="41">
        <v>5016932</v>
      </c>
    </row>
    <row r="251" spans="1:13" x14ac:dyDescent="0.25">
      <c r="A251" s="32">
        <v>580</v>
      </c>
      <c r="B251" s="87" t="str">
        <f>VLOOKUP(A251,Documentos!D:F,3,FALSE)</f>
        <v>Proposicion</v>
      </c>
      <c r="C251" s="88" t="str">
        <f>VLOOKUP(A251,Documentos!D:H,5,FALSE)</f>
        <v>DV_FETCovid19</v>
      </c>
      <c r="D251" s="87">
        <f>VLOOKUP(A251,Documentos!D:I,6,FALSE)</f>
        <v>570</v>
      </c>
      <c r="E251" s="7" t="s">
        <v>60</v>
      </c>
      <c r="F251" s="10" t="s">
        <v>538</v>
      </c>
      <c r="G251" s="97" t="s">
        <v>494</v>
      </c>
      <c r="H251" s="33"/>
      <c r="I251" s="33"/>
      <c r="J251" s="33"/>
      <c r="K251" s="33" t="s">
        <v>1278</v>
      </c>
      <c r="L251" s="41">
        <v>5722550</v>
      </c>
      <c r="M251" s="41">
        <v>6138500</v>
      </c>
    </row>
    <row r="252" spans="1:13" x14ac:dyDescent="0.25">
      <c r="A252" s="32">
        <v>588</v>
      </c>
      <c r="B252" s="87" t="str">
        <f>VLOOKUP(A252,Documentos!D:F,3,FALSE)</f>
        <v>Proposicion</v>
      </c>
      <c r="C252" s="88" t="str">
        <f>VLOOKUP(A252,Documentos!D:H,5,FALSE)</f>
        <v>DOH_FETCovid19</v>
      </c>
      <c r="D252" s="87">
        <f>VLOOKUP(A252,Documentos!D:I,6,FALSE)</f>
        <v>575</v>
      </c>
      <c r="E252" s="7" t="s">
        <v>60</v>
      </c>
      <c r="F252" s="10" t="s">
        <v>535</v>
      </c>
      <c r="G252" s="97" t="s">
        <v>494</v>
      </c>
      <c r="H252" s="33"/>
      <c r="I252" s="33"/>
      <c r="J252" s="33"/>
      <c r="K252" s="33" t="s">
        <v>1278</v>
      </c>
      <c r="L252" s="41">
        <v>198891</v>
      </c>
      <c r="M252" s="41">
        <v>6283086</v>
      </c>
    </row>
    <row r="253" spans="1:13" x14ac:dyDescent="0.25">
      <c r="A253" s="32">
        <v>589</v>
      </c>
      <c r="B253" s="87" t="str">
        <f>VLOOKUP(A253,Documentos!D:F,3,FALSE)</f>
        <v>Proposicion</v>
      </c>
      <c r="C253" s="88" t="str">
        <f>VLOOKUP(A253,Documentos!D:H,5,FALSE)</f>
        <v>DOH_FETCovid19</v>
      </c>
      <c r="D253" s="87">
        <f>VLOOKUP(A253,Documentos!D:I,6,FALSE)</f>
        <v>575</v>
      </c>
      <c r="E253" s="7" t="s">
        <v>60</v>
      </c>
      <c r="F253" s="10" t="s">
        <v>535</v>
      </c>
      <c r="G253" s="97" t="s">
        <v>494</v>
      </c>
      <c r="H253" s="33"/>
      <c r="I253" s="33"/>
      <c r="J253" s="33"/>
      <c r="K253" s="33" t="s">
        <v>1278</v>
      </c>
      <c r="L253" s="41">
        <v>198891</v>
      </c>
      <c r="M253" s="41">
        <v>6283086</v>
      </c>
    </row>
    <row r="254" spans="1:13" x14ac:dyDescent="0.25">
      <c r="A254" s="32">
        <v>594</v>
      </c>
      <c r="B254" s="87" t="str">
        <f>VLOOKUP(A254,Documentos!D:F,3,FALSE)</f>
        <v>Oficio_Solicitud</v>
      </c>
      <c r="C254" s="88" t="str">
        <f>VLOOKUP(A254,Documentos!D:H,5,FALSE)</f>
        <v>DAP</v>
      </c>
      <c r="D254" s="87">
        <f>VLOOKUP(A254,Documentos!D:I,6,FALSE)</f>
        <v>577</v>
      </c>
      <c r="E254" s="7" t="s">
        <v>1258</v>
      </c>
      <c r="F254" s="10" t="s">
        <v>10</v>
      </c>
      <c r="G254" s="97" t="s">
        <v>494</v>
      </c>
      <c r="H254" s="33"/>
      <c r="I254" s="33"/>
      <c r="J254" s="33"/>
      <c r="K254" s="33" t="s">
        <v>1236</v>
      </c>
      <c r="L254" s="41">
        <v>117710</v>
      </c>
      <c r="M254" s="41">
        <v>117710</v>
      </c>
    </row>
    <row r="255" spans="1:13" x14ac:dyDescent="0.25">
      <c r="A255" s="32">
        <v>595</v>
      </c>
      <c r="B255" s="87" t="str">
        <f>VLOOKUP(A255,Documentos!D:F,3,FALSE)</f>
        <v>Oficio_Solicitud</v>
      </c>
      <c r="C255" s="88" t="str">
        <f>VLOOKUP(A255,Documentos!D:H,5,FALSE)</f>
        <v>DAP_FETCovid19</v>
      </c>
      <c r="D255" s="87">
        <f>VLOOKUP(A255,Documentos!D:I,6,FALSE)</f>
        <v>578</v>
      </c>
      <c r="E255" s="7" t="s">
        <v>1258</v>
      </c>
      <c r="F255" s="10" t="s">
        <v>544</v>
      </c>
      <c r="G255" s="97" t="s">
        <v>494</v>
      </c>
      <c r="H255" s="33"/>
      <c r="I255" s="33"/>
      <c r="J255" s="33"/>
      <c r="K255" s="33" t="s">
        <v>1236</v>
      </c>
      <c r="L255" s="41">
        <v>187594</v>
      </c>
      <c r="M255" s="41">
        <v>187594</v>
      </c>
    </row>
    <row r="256" spans="1:13" x14ac:dyDescent="0.25">
      <c r="A256" s="32">
        <v>598</v>
      </c>
      <c r="B256" s="87" t="str">
        <f>VLOOKUP(A256,Documentos!D:F,3,FALSE)</f>
        <v>Proposicion</v>
      </c>
      <c r="C256" s="88" t="str">
        <f>VLOOKUP(A256,Documentos!D:H,5,FALSE)</f>
        <v>DAP_FETCovid19</v>
      </c>
      <c r="D256" s="87">
        <f>VLOOKUP(A256,Documentos!D:I,6,FALSE)</f>
        <v>580</v>
      </c>
      <c r="E256" s="7" t="s">
        <v>1258</v>
      </c>
      <c r="F256" s="10" t="s">
        <v>544</v>
      </c>
      <c r="G256" s="97" t="s">
        <v>494</v>
      </c>
      <c r="H256" s="33"/>
      <c r="I256" s="33"/>
      <c r="J256" s="33"/>
      <c r="K256" s="33" t="s">
        <v>1236</v>
      </c>
      <c r="L256" s="41">
        <v>33000</v>
      </c>
      <c r="M256" s="41">
        <v>33000</v>
      </c>
    </row>
    <row r="257" spans="1:13" x14ac:dyDescent="0.25">
      <c r="A257" s="32">
        <v>602</v>
      </c>
      <c r="B257" s="87" t="str">
        <f>VLOOKUP(A257,Documentos!D:F,3,FALSE)</f>
        <v>Proposicion</v>
      </c>
      <c r="C257" s="88" t="str">
        <f>VLOOKUP(A257,Documentos!D:H,5,FALSE)</f>
        <v>DV</v>
      </c>
      <c r="D257" s="87">
        <f>VLOOKUP(A257,Documentos!D:I,6,FALSE)</f>
        <v>582</v>
      </c>
      <c r="E257" s="7" t="s">
        <v>60</v>
      </c>
      <c r="F257" s="10" t="s">
        <v>26</v>
      </c>
      <c r="G257" s="97" t="s">
        <v>494</v>
      </c>
      <c r="H257" s="33"/>
      <c r="I257" s="33"/>
      <c r="J257" s="33"/>
      <c r="K257" s="33" t="s">
        <v>1278</v>
      </c>
      <c r="L257" s="41">
        <v>56473701</v>
      </c>
      <c r="M257" s="41">
        <v>58123095</v>
      </c>
    </row>
    <row r="258" spans="1:13" x14ac:dyDescent="0.25">
      <c r="A258" s="32">
        <v>606</v>
      </c>
      <c r="B258" s="87" t="str">
        <f>VLOOKUP(A258,Documentos!D:F,3,FALSE)</f>
        <v>Proposicion</v>
      </c>
      <c r="C258" s="88" t="str">
        <f>VLOOKUP(A258,Documentos!D:H,5,FALSE)</f>
        <v>DV</v>
      </c>
      <c r="D258" s="87">
        <f>VLOOKUP(A258,Documentos!D:I,6,FALSE)</f>
        <v>583</v>
      </c>
      <c r="E258" s="7" t="s">
        <v>60</v>
      </c>
      <c r="F258" s="10" t="s">
        <v>26</v>
      </c>
      <c r="G258" s="97" t="s">
        <v>494</v>
      </c>
      <c r="H258" s="33"/>
      <c r="I258" s="33"/>
      <c r="J258" s="33"/>
      <c r="K258" s="33" t="s">
        <v>1278</v>
      </c>
      <c r="L258" s="41">
        <v>10250</v>
      </c>
      <c r="M258" s="41">
        <v>0</v>
      </c>
    </row>
    <row r="259" spans="1:13" x14ac:dyDescent="0.25">
      <c r="A259" s="32">
        <v>612</v>
      </c>
      <c r="B259" s="87" t="str">
        <f>VLOOKUP(A259,Documentos!D:F,3,FALSE)</f>
        <v>Proposicion</v>
      </c>
      <c r="C259" s="88" t="str">
        <f>VLOOKUP(A259,Documentos!D:H,5,FALSE)</f>
        <v>DAP</v>
      </c>
      <c r="D259" s="87">
        <f>VLOOKUP(A259,Documentos!D:I,6,FALSE)</f>
        <v>586</v>
      </c>
      <c r="E259" s="7" t="s">
        <v>1258</v>
      </c>
      <c r="F259" s="10" t="s">
        <v>10</v>
      </c>
      <c r="G259" s="97" t="s">
        <v>494</v>
      </c>
      <c r="H259" s="33"/>
      <c r="I259" s="33"/>
      <c r="J259" s="33"/>
      <c r="K259" s="33" t="s">
        <v>1236</v>
      </c>
      <c r="L259" s="41">
        <v>85121</v>
      </c>
      <c r="M259" s="41">
        <v>85121</v>
      </c>
    </row>
    <row r="260" spans="1:13" x14ac:dyDescent="0.25">
      <c r="A260" s="32">
        <v>615</v>
      </c>
      <c r="B260" s="87" t="str">
        <f>VLOOKUP(A260,Documentos!D:F,3,FALSE)</f>
        <v>Oficio_Solicitud</v>
      </c>
      <c r="C260" s="88" t="str">
        <f>VLOOKUP(A260,Documentos!D:H,5,FALSE)</f>
        <v>DOP</v>
      </c>
      <c r="D260" s="87">
        <f>VLOOKUP(A260,Documentos!D:I,6,FALSE)</f>
        <v>589</v>
      </c>
      <c r="E260" s="7" t="s">
        <v>1258</v>
      </c>
      <c r="F260" s="10" t="s">
        <v>22</v>
      </c>
      <c r="G260" s="97" t="s">
        <v>494</v>
      </c>
      <c r="H260" s="33"/>
      <c r="I260" s="33"/>
      <c r="J260" s="33"/>
      <c r="K260" s="33" t="s">
        <v>1236</v>
      </c>
      <c r="L260" s="41">
        <v>4291</v>
      </c>
      <c r="M260" s="41">
        <v>4291</v>
      </c>
    </row>
    <row r="261" spans="1:13" x14ac:dyDescent="0.25">
      <c r="A261" s="32">
        <v>617</v>
      </c>
      <c r="B261" s="87" t="str">
        <f>VLOOKUP(A261,Documentos!D:F,3,FALSE)</f>
        <v>Oficio_Solicitud</v>
      </c>
      <c r="C261" s="88" t="str">
        <f>VLOOKUP(A261,Documentos!D:H,5,FALSE)</f>
        <v>DAP_FETCovid19</v>
      </c>
      <c r="D261" s="87">
        <f>VLOOKUP(A261,Documentos!D:I,6,FALSE)</f>
        <v>594</v>
      </c>
      <c r="E261" s="7" t="s">
        <v>43</v>
      </c>
      <c r="F261" s="10" t="s">
        <v>544</v>
      </c>
      <c r="G261" s="97" t="s">
        <v>494</v>
      </c>
      <c r="H261" s="33"/>
      <c r="I261" s="33"/>
      <c r="J261" s="33"/>
      <c r="K261" s="33" t="s">
        <v>1236</v>
      </c>
      <c r="L261" s="41">
        <v>44885907</v>
      </c>
      <c r="M261" s="41">
        <v>0</v>
      </c>
    </row>
    <row r="262" spans="1:13" x14ac:dyDescent="0.25">
      <c r="A262" s="32">
        <v>618</v>
      </c>
      <c r="B262" s="87" t="str">
        <f>VLOOKUP(A262,Documentos!D:F,3,FALSE)</f>
        <v>Oficio_Solicitud</v>
      </c>
      <c r="C262" s="88" t="str">
        <f>VLOOKUP(A262,Documentos!D:H,5,FALSE)</f>
        <v>DAP_FETCovid19</v>
      </c>
      <c r="D262" s="87">
        <f>VLOOKUP(A262,Documentos!D:I,6,FALSE)</f>
        <v>591</v>
      </c>
      <c r="E262" s="7" t="s">
        <v>43</v>
      </c>
      <c r="F262" s="10" t="s">
        <v>544</v>
      </c>
      <c r="G262" s="97" t="s">
        <v>494</v>
      </c>
      <c r="H262" s="33"/>
      <c r="I262" s="33"/>
      <c r="J262" s="33"/>
      <c r="K262" s="33" t="s">
        <v>1278</v>
      </c>
      <c r="L262" s="41">
        <v>44885907</v>
      </c>
      <c r="M262" s="41">
        <v>0</v>
      </c>
    </row>
    <row r="263" spans="1:13" x14ac:dyDescent="0.25">
      <c r="A263" s="32">
        <v>619</v>
      </c>
      <c r="B263" s="87" t="str">
        <f>VLOOKUP(A263,Documentos!D:F,3,FALSE)</f>
        <v>Oficio_Solicitud</v>
      </c>
      <c r="C263" s="88" t="str">
        <f>VLOOKUP(A263,Documentos!D:H,5,FALSE)</f>
        <v>DAP</v>
      </c>
      <c r="D263" s="87">
        <f>VLOOKUP(A263,Documentos!D:I,6,FALSE)</f>
        <v>591</v>
      </c>
      <c r="E263" s="7" t="s">
        <v>43</v>
      </c>
      <c r="F263" s="10" t="s">
        <v>10</v>
      </c>
      <c r="G263" s="97" t="s">
        <v>494</v>
      </c>
      <c r="H263" s="33"/>
      <c r="I263" s="33"/>
      <c r="J263" s="33"/>
      <c r="K263" s="33" t="s">
        <v>1282</v>
      </c>
      <c r="L263" s="41">
        <v>30</v>
      </c>
      <c r="M263" s="41"/>
    </row>
    <row r="264" spans="1:13" x14ac:dyDescent="0.25">
      <c r="A264" s="32">
        <v>620</v>
      </c>
      <c r="B264" s="87" t="str">
        <f>VLOOKUP(A264,Documentos!D:F,3,FALSE)</f>
        <v>Oficio_Solicitud</v>
      </c>
      <c r="C264" s="88" t="str">
        <f>VLOOKUP(A264,Documentos!D:H,5,FALSE)</f>
        <v>DAP</v>
      </c>
      <c r="D264" s="87">
        <f>VLOOKUP(A264,Documentos!D:I,6,FALSE)</f>
        <v>592</v>
      </c>
      <c r="E264" s="7" t="s">
        <v>43</v>
      </c>
      <c r="F264" s="10" t="s">
        <v>10</v>
      </c>
      <c r="G264" s="97" t="s">
        <v>494</v>
      </c>
      <c r="H264" s="33"/>
      <c r="I264" s="33"/>
      <c r="J264" s="33"/>
      <c r="K264" s="33" t="s">
        <v>1236</v>
      </c>
      <c r="L264" s="41">
        <v>52847376</v>
      </c>
      <c r="M264" s="41">
        <v>0</v>
      </c>
    </row>
    <row r="265" spans="1:13" x14ac:dyDescent="0.25">
      <c r="A265" s="32">
        <v>625</v>
      </c>
      <c r="B265" s="87" t="str">
        <f>VLOOKUP(A265,Documentos!D:F,3,FALSE)</f>
        <v>Oficio_Solicitud</v>
      </c>
      <c r="C265" s="88" t="str">
        <f>VLOOKUP(A265,Documentos!D:H,5,FALSE)</f>
        <v>DOH</v>
      </c>
      <c r="D265" s="87">
        <f>VLOOKUP(A265,Documentos!D:I,6,FALSE)</f>
        <v>595</v>
      </c>
      <c r="E265" s="7" t="s">
        <v>1258</v>
      </c>
      <c r="F265" s="10" t="s">
        <v>20</v>
      </c>
      <c r="G265" s="97" t="s">
        <v>494</v>
      </c>
      <c r="H265" s="33"/>
      <c r="I265" s="33"/>
      <c r="J265" s="33"/>
      <c r="K265" s="33" t="s">
        <v>1236</v>
      </c>
      <c r="L265" s="41">
        <v>1337</v>
      </c>
      <c r="M265" s="41">
        <v>1337</v>
      </c>
    </row>
    <row r="266" spans="1:13" x14ac:dyDescent="0.25">
      <c r="A266" s="32">
        <v>627</v>
      </c>
      <c r="B266" s="87" t="str">
        <f>VLOOKUP(A266,Documentos!D:F,3,FALSE)</f>
        <v>Oficio_Solicitud</v>
      </c>
      <c r="C266" s="88" t="str">
        <f>VLOOKUP(A266,Documentos!D:H,5,FALSE)</f>
        <v>DOH_FETCovid19</v>
      </c>
      <c r="D266" s="87">
        <f>VLOOKUP(A266,Documentos!D:I,6,FALSE)</f>
        <v>596</v>
      </c>
      <c r="E266" s="7" t="s">
        <v>1258</v>
      </c>
      <c r="F266" s="10" t="s">
        <v>535</v>
      </c>
      <c r="G266" s="97" t="s">
        <v>494</v>
      </c>
      <c r="H266" s="33"/>
      <c r="I266" s="33"/>
      <c r="J266" s="33"/>
      <c r="K266" s="33" t="s">
        <v>1236</v>
      </c>
      <c r="L266" s="41">
        <v>6226</v>
      </c>
      <c r="M266" s="41">
        <v>6226</v>
      </c>
    </row>
    <row r="267" spans="1:13" x14ac:dyDescent="0.25">
      <c r="A267" s="32">
        <v>628</v>
      </c>
      <c r="B267" s="87" t="str">
        <f>VLOOKUP(A267,Documentos!D:F,3,FALSE)</f>
        <v>Oficio_Solicitud</v>
      </c>
      <c r="C267" s="88" t="str">
        <f>VLOOKUP(A267,Documentos!D:H,5,FALSE)</f>
        <v>APR_FETCovid19</v>
      </c>
      <c r="D267" s="87">
        <f>VLOOKUP(A267,Documentos!D:I,6,FALSE)</f>
        <v>597</v>
      </c>
      <c r="E267" s="7" t="s">
        <v>1258</v>
      </c>
      <c r="F267" s="10" t="s">
        <v>559</v>
      </c>
      <c r="G267" s="97" t="s">
        <v>494</v>
      </c>
      <c r="H267" s="33"/>
      <c r="I267" s="33"/>
      <c r="J267" s="33"/>
      <c r="K267" s="33" t="s">
        <v>1236</v>
      </c>
      <c r="L267" s="41">
        <v>13052</v>
      </c>
      <c r="M267" s="41">
        <v>13052</v>
      </c>
    </row>
    <row r="268" spans="1:13" x14ac:dyDescent="0.25">
      <c r="A268" s="32">
        <v>634</v>
      </c>
      <c r="B268" s="87" t="str">
        <f>VLOOKUP(A268,Documentos!D:F,3,FALSE)</f>
        <v>Oficio_Solicitud</v>
      </c>
      <c r="C268" s="88" t="str">
        <f>VLOOKUP(A268,Documentos!D:H,5,FALSE)</f>
        <v>DAP</v>
      </c>
      <c r="D268" s="87">
        <f>VLOOKUP(A268,Documentos!D:I,6,FALSE)</f>
        <v>606</v>
      </c>
      <c r="E268" s="7" t="s">
        <v>43</v>
      </c>
      <c r="F268" s="10" t="s">
        <v>10</v>
      </c>
      <c r="G268" s="97" t="s">
        <v>494</v>
      </c>
      <c r="H268" s="33"/>
      <c r="I268" s="33"/>
      <c r="J268" s="33"/>
      <c r="K268" s="33" t="s">
        <v>1278</v>
      </c>
      <c r="L268" s="41">
        <v>278328</v>
      </c>
      <c r="M268" s="41">
        <v>0</v>
      </c>
    </row>
    <row r="269" spans="1:13" x14ac:dyDescent="0.25">
      <c r="A269" s="32">
        <v>636</v>
      </c>
      <c r="B269" s="87" t="str">
        <f>VLOOKUP(A269,Documentos!D:F,3,FALSE)</f>
        <v>Proposicion</v>
      </c>
      <c r="C269" s="88" t="str">
        <f>VLOOKUP(A269,Documentos!D:H,5,FALSE)</f>
        <v>DOP_FETCovid19</v>
      </c>
      <c r="D269" s="87">
        <f>VLOOKUP(A269,Documentos!D:I,6,FALSE)</f>
        <v>607</v>
      </c>
      <c r="E269" s="7" t="s">
        <v>60</v>
      </c>
      <c r="F269" s="10" t="s">
        <v>541</v>
      </c>
      <c r="G269" s="97" t="s">
        <v>494</v>
      </c>
      <c r="H269" s="33"/>
      <c r="I269" s="33"/>
      <c r="J269" s="33"/>
      <c r="K269" s="33" t="s">
        <v>1278</v>
      </c>
      <c r="L269" s="41">
        <v>557221</v>
      </c>
      <c r="M269" s="41">
        <v>557221</v>
      </c>
    </row>
    <row r="270" spans="1:13" x14ac:dyDescent="0.25">
      <c r="A270" s="32">
        <v>640</v>
      </c>
      <c r="B270" s="87" t="str">
        <f>VLOOKUP(A270,Documentos!D:F,3,FALSE)</f>
        <v>Oficio_Solicitud</v>
      </c>
      <c r="C270" s="88" t="str">
        <f>VLOOKUP(A270,Documentos!D:H,5,FALSE)</f>
        <v>DAP</v>
      </c>
      <c r="D270" s="87">
        <f>VLOOKUP(A270,Documentos!D:I,6,FALSE)</f>
        <v>611</v>
      </c>
      <c r="E270" s="7" t="s">
        <v>60</v>
      </c>
      <c r="F270" s="10" t="s">
        <v>10</v>
      </c>
      <c r="G270" s="97" t="s">
        <v>494</v>
      </c>
      <c r="H270" s="33"/>
      <c r="I270" s="33"/>
      <c r="J270" s="33"/>
      <c r="K270" s="33" t="s">
        <v>1278</v>
      </c>
      <c r="L270" s="41">
        <v>1370</v>
      </c>
      <c r="M270" s="41"/>
    </row>
    <row r="271" spans="1:13" x14ac:dyDescent="0.25">
      <c r="A271" s="32">
        <v>641</v>
      </c>
      <c r="B271" s="87" t="str">
        <f>VLOOKUP(A271,Documentos!D:F,3,FALSE)</f>
        <v>Proposicion</v>
      </c>
      <c r="C271" s="88" t="str">
        <f>VLOOKUP(A271,Documentos!D:H,5,FALSE)</f>
        <v>DGC</v>
      </c>
      <c r="D271" s="87">
        <f>VLOOKUP(A271,Documentos!D:I,6,FALSE)</f>
        <v>612</v>
      </c>
      <c r="E271" s="7" t="s">
        <v>60</v>
      </c>
      <c r="F271" s="10" t="s">
        <v>16</v>
      </c>
      <c r="G271" s="97" t="s">
        <v>494</v>
      </c>
      <c r="H271" s="33"/>
      <c r="I271" s="33"/>
      <c r="J271" s="33"/>
      <c r="K271" s="33" t="s">
        <v>1278</v>
      </c>
      <c r="L271" s="41">
        <v>36622</v>
      </c>
      <c r="M271" s="41">
        <v>39750</v>
      </c>
    </row>
    <row r="272" spans="1:13" x14ac:dyDescent="0.25">
      <c r="A272" s="32">
        <v>646</v>
      </c>
      <c r="B272" s="87" t="str">
        <f>VLOOKUP(A272,Documentos!D:F,3,FALSE)</f>
        <v>Proposicion</v>
      </c>
      <c r="C272" s="88" t="str">
        <f>VLOOKUP(A272,Documentos!D:H,5,FALSE)</f>
        <v>DAP</v>
      </c>
      <c r="D272" s="87">
        <f>VLOOKUP(A272,Documentos!D:I,6,FALSE)</f>
        <v>615</v>
      </c>
      <c r="E272" s="7" t="s">
        <v>1258</v>
      </c>
      <c r="F272" s="10" t="s">
        <v>10</v>
      </c>
      <c r="G272" s="97" t="s">
        <v>494</v>
      </c>
      <c r="H272" s="33"/>
      <c r="I272" s="33"/>
      <c r="J272" s="33"/>
      <c r="K272" s="33" t="s">
        <v>1236</v>
      </c>
      <c r="L272" s="41">
        <v>16133</v>
      </c>
      <c r="M272" s="41">
        <v>16133</v>
      </c>
    </row>
    <row r="273" spans="1:13" x14ac:dyDescent="0.25">
      <c r="A273" s="32">
        <v>648</v>
      </c>
      <c r="B273" s="87" t="str">
        <f>VLOOKUP(A273,Documentos!D:F,3,FALSE)</f>
        <v>Proposicion</v>
      </c>
      <c r="C273" s="88" t="str">
        <f>VLOOKUP(A273,Documentos!D:H,5,FALSE)</f>
        <v>DA</v>
      </c>
      <c r="D273" s="87">
        <f>VLOOKUP(A273,Documentos!D:I,6,FALSE)</f>
        <v>619</v>
      </c>
      <c r="E273" s="7" t="s">
        <v>60</v>
      </c>
      <c r="F273" s="10" t="s">
        <v>8</v>
      </c>
      <c r="G273" s="97" t="s">
        <v>494</v>
      </c>
      <c r="H273" s="33"/>
      <c r="I273" s="33"/>
      <c r="J273" s="33"/>
      <c r="K273" s="33" t="s">
        <v>1278</v>
      </c>
      <c r="L273" s="41">
        <v>10</v>
      </c>
      <c r="M273" s="41">
        <v>0</v>
      </c>
    </row>
    <row r="274" spans="1:13" x14ac:dyDescent="0.25">
      <c r="A274" s="32">
        <v>649</v>
      </c>
      <c r="B274" s="87" t="str">
        <f>VLOOKUP(A274,Documentos!D:F,3,FALSE)</f>
        <v>Proposicion</v>
      </c>
      <c r="C274" s="88" t="str">
        <f>VLOOKUP(A274,Documentos!D:H,5,FALSE)</f>
        <v>DAP</v>
      </c>
      <c r="D274" s="87">
        <f>VLOOKUP(A274,Documentos!D:I,6,FALSE)</f>
        <v>620</v>
      </c>
      <c r="E274" s="7" t="s">
        <v>1258</v>
      </c>
      <c r="F274" s="10" t="s">
        <v>10</v>
      </c>
      <c r="G274" s="97" t="s">
        <v>494</v>
      </c>
      <c r="H274" s="33"/>
      <c r="I274" s="33"/>
      <c r="J274" s="33"/>
      <c r="K274" s="33" t="s">
        <v>1236</v>
      </c>
      <c r="L274" s="41">
        <v>577</v>
      </c>
      <c r="M274" s="41">
        <v>577</v>
      </c>
    </row>
    <row r="275" spans="1:13" x14ac:dyDescent="0.25">
      <c r="A275" s="32">
        <v>656</v>
      </c>
      <c r="B275" s="87" t="str">
        <f>VLOOKUP(A275,Documentos!D:F,3,FALSE)</f>
        <v>Proposicion</v>
      </c>
      <c r="C275" s="88" t="str">
        <f>VLOOKUP(A275,Documentos!D:H,5,FALSE)</f>
        <v>DAP</v>
      </c>
      <c r="D275" s="87">
        <f>VLOOKUP(A275,Documentos!D:I,6,FALSE)</f>
        <v>625</v>
      </c>
      <c r="E275" s="7" t="s">
        <v>60</v>
      </c>
      <c r="F275" s="10" t="s">
        <v>10</v>
      </c>
      <c r="G275" s="97" t="s">
        <v>494</v>
      </c>
      <c r="H275" s="33"/>
      <c r="I275" s="33"/>
      <c r="J275" s="33"/>
      <c r="K275" s="33" t="s">
        <v>1278</v>
      </c>
      <c r="L275" s="41">
        <v>2847115</v>
      </c>
      <c r="M275" s="41">
        <v>2847115</v>
      </c>
    </row>
    <row r="276" spans="1:13" x14ac:dyDescent="0.25">
      <c r="A276" s="32">
        <v>658</v>
      </c>
      <c r="B276" s="87" t="str">
        <f>VLOOKUP(A276,Documentos!D:F,3,FALSE)</f>
        <v>Oficio_Solicitud</v>
      </c>
      <c r="C276" s="88" t="str">
        <f>VLOOKUP(A276,Documentos!D:H,5,FALSE)</f>
        <v>DAP</v>
      </c>
      <c r="D276" s="87">
        <f>VLOOKUP(A276,Documentos!D:I,6,FALSE)</f>
        <v>628</v>
      </c>
      <c r="E276" s="7" t="s">
        <v>43</v>
      </c>
      <c r="F276" s="10" t="s">
        <v>10</v>
      </c>
      <c r="G276" s="97" t="s">
        <v>494</v>
      </c>
      <c r="H276" s="33"/>
      <c r="I276" s="33"/>
      <c r="J276" s="33"/>
      <c r="K276" s="33" t="s">
        <v>1282</v>
      </c>
      <c r="L276" s="41">
        <v>10194276</v>
      </c>
      <c r="M276" s="41">
        <v>0</v>
      </c>
    </row>
    <row r="277" spans="1:13" x14ac:dyDescent="0.25">
      <c r="A277" s="32">
        <v>659</v>
      </c>
      <c r="B277" s="87" t="str">
        <f>VLOOKUP(A277,Documentos!D:F,3,FALSE)</f>
        <v>Oficio_Solicitud</v>
      </c>
      <c r="C277" s="88" t="str">
        <f>VLOOKUP(A277,Documentos!D:H,5,FALSE)</f>
        <v>DOP_FETCovid19</v>
      </c>
      <c r="D277" s="87">
        <f>VLOOKUP(A277,Documentos!D:I,6,FALSE)</f>
        <v>630</v>
      </c>
      <c r="E277" s="7" t="s">
        <v>60</v>
      </c>
      <c r="F277" s="10" t="s">
        <v>541</v>
      </c>
      <c r="G277" s="97" t="s">
        <v>494</v>
      </c>
      <c r="H277" s="33"/>
      <c r="I277" s="33"/>
      <c r="J277" s="33"/>
      <c r="K277" s="33" t="s">
        <v>1278</v>
      </c>
      <c r="L277" s="41">
        <v>557221</v>
      </c>
      <c r="M277" s="41">
        <v>557221</v>
      </c>
    </row>
    <row r="278" spans="1:13" x14ac:dyDescent="0.25">
      <c r="A278" s="32">
        <v>661</v>
      </c>
      <c r="B278" s="87" t="str">
        <f>VLOOKUP(A278,Documentos!D:F,3,FALSE)</f>
        <v>Proposicion</v>
      </c>
      <c r="C278" s="88" t="str">
        <f>VLOOKUP(A278,Documentos!D:H,5,FALSE)</f>
        <v>DA</v>
      </c>
      <c r="D278" s="87">
        <f>VLOOKUP(A278,Documentos!D:I,6,FALSE)</f>
        <v>633</v>
      </c>
      <c r="E278" s="7" t="s">
        <v>1258</v>
      </c>
      <c r="F278" s="10" t="s">
        <v>8</v>
      </c>
      <c r="G278" s="97" t="s">
        <v>494</v>
      </c>
      <c r="H278" s="33"/>
      <c r="I278" s="33"/>
      <c r="J278" s="33"/>
      <c r="K278" s="33" t="s">
        <v>1236</v>
      </c>
      <c r="L278" s="41">
        <v>150000</v>
      </c>
      <c r="M278" s="41">
        <v>150000</v>
      </c>
    </row>
    <row r="279" spans="1:13" x14ac:dyDescent="0.25">
      <c r="A279" s="32">
        <v>664</v>
      </c>
      <c r="B279" s="87" t="str">
        <f>VLOOKUP(A279,Documentos!D:F,3,FALSE)</f>
        <v>Proposicion</v>
      </c>
      <c r="C279" s="88" t="str">
        <f>VLOOKUP(A279,Documentos!D:H,5,FALSE)</f>
        <v>DV</v>
      </c>
      <c r="D279" s="87">
        <f>VLOOKUP(A279,Documentos!D:I,6,FALSE)</f>
        <v>638</v>
      </c>
      <c r="E279" s="7" t="s">
        <v>60</v>
      </c>
      <c r="F279" s="10" t="s">
        <v>26</v>
      </c>
      <c r="G279" s="97" t="s">
        <v>494</v>
      </c>
      <c r="H279" s="33"/>
      <c r="I279" s="33"/>
      <c r="J279" s="33"/>
      <c r="K279" s="33" t="s">
        <v>1278</v>
      </c>
      <c r="L279" s="41">
        <v>11694880</v>
      </c>
      <c r="M279" s="41">
        <v>12178640</v>
      </c>
    </row>
    <row r="280" spans="1:13" x14ac:dyDescent="0.25">
      <c r="A280" s="32">
        <v>666</v>
      </c>
      <c r="B280" s="87" t="str">
        <f>VLOOKUP(A280,Documentos!D:F,3,FALSE)</f>
        <v>Proposicion</v>
      </c>
      <c r="C280" s="88" t="str">
        <f>VLOOKUP(A280,Documentos!D:H,5,FALSE)</f>
        <v>DOH</v>
      </c>
      <c r="D280" s="87">
        <f>VLOOKUP(A280,Documentos!D:I,6,FALSE)</f>
        <v>639</v>
      </c>
      <c r="E280" s="7" t="s">
        <v>1258</v>
      </c>
      <c r="F280" s="10" t="s">
        <v>20</v>
      </c>
      <c r="G280" s="97" t="s">
        <v>494</v>
      </c>
      <c r="H280" s="33"/>
      <c r="I280" s="33"/>
      <c r="J280" s="33"/>
      <c r="K280" s="33" t="s">
        <v>1236</v>
      </c>
      <c r="L280" s="41">
        <v>93463</v>
      </c>
      <c r="M280" s="41">
        <v>93463</v>
      </c>
    </row>
    <row r="281" spans="1:13" x14ac:dyDescent="0.25">
      <c r="A281" s="32">
        <v>667</v>
      </c>
      <c r="B281" s="87" t="str">
        <f>VLOOKUP(A281,Documentos!D:F,3,FALSE)</f>
        <v>Proposicion</v>
      </c>
      <c r="C281" s="88" t="str">
        <f>VLOOKUP(A281,Documentos!D:H,5,FALSE)</f>
        <v>APR_FETCovid19</v>
      </c>
      <c r="D281" s="87">
        <f>VLOOKUP(A281,Documentos!D:I,6,FALSE)</f>
        <v>640</v>
      </c>
      <c r="E281" s="7" t="s">
        <v>1258</v>
      </c>
      <c r="F281" s="10" t="s">
        <v>559</v>
      </c>
      <c r="G281" s="97" t="s">
        <v>494</v>
      </c>
      <c r="H281" s="33"/>
      <c r="I281" s="33"/>
      <c r="J281" s="33"/>
      <c r="K281" s="33" t="s">
        <v>1236</v>
      </c>
      <c r="L281" s="41">
        <v>84675</v>
      </c>
      <c r="M281" s="41">
        <v>84675</v>
      </c>
    </row>
    <row r="282" spans="1:13" x14ac:dyDescent="0.25">
      <c r="A282" s="32">
        <v>668</v>
      </c>
      <c r="B282" s="87" t="str">
        <f>VLOOKUP(A282,Documentos!D:F,3,FALSE)</f>
        <v>Proposicion</v>
      </c>
      <c r="C282" s="88" t="str">
        <f>VLOOKUP(A282,Documentos!D:H,5,FALSE)</f>
        <v>DV_FETCovid19</v>
      </c>
      <c r="D282" s="87">
        <f>VLOOKUP(A282,Documentos!D:I,6,FALSE)</f>
        <v>643</v>
      </c>
      <c r="E282" s="7" t="s">
        <v>60</v>
      </c>
      <c r="F282" s="10" t="s">
        <v>538</v>
      </c>
      <c r="G282" s="97" t="s">
        <v>494</v>
      </c>
      <c r="H282" s="33"/>
      <c r="I282" s="33"/>
      <c r="J282" s="33"/>
      <c r="K282" s="33" t="s">
        <v>1278</v>
      </c>
      <c r="L282" s="41">
        <v>600000</v>
      </c>
      <c r="M282" s="41">
        <v>600000</v>
      </c>
    </row>
    <row r="283" spans="1:13" x14ac:dyDescent="0.25">
      <c r="A283" s="32">
        <v>669</v>
      </c>
      <c r="B283" s="87" t="str">
        <f>VLOOKUP(A283,Documentos!D:F,3,FALSE)</f>
        <v>Proposicion</v>
      </c>
      <c r="C283" s="88" t="str">
        <f>VLOOKUP(A283,Documentos!D:H,5,FALSE)</f>
        <v>DV</v>
      </c>
      <c r="D283" s="87">
        <f>VLOOKUP(A283,Documentos!D:I,6,FALSE)</f>
        <v>643</v>
      </c>
      <c r="E283" s="7" t="s">
        <v>60</v>
      </c>
      <c r="F283" s="10" t="s">
        <v>26</v>
      </c>
      <c r="G283" s="97" t="s">
        <v>494</v>
      </c>
      <c r="H283" s="33"/>
      <c r="I283" s="33"/>
      <c r="J283" s="33"/>
      <c r="K283" s="33" t="s">
        <v>1278</v>
      </c>
      <c r="L283" s="41">
        <v>40</v>
      </c>
      <c r="M283" s="41">
        <v>0</v>
      </c>
    </row>
    <row r="284" spans="1:13" x14ac:dyDescent="0.25">
      <c r="A284" s="32">
        <v>675</v>
      </c>
      <c r="B284" s="87" t="str">
        <f>VLOOKUP(A284,Documentos!D:F,3,FALSE)</f>
        <v>Proposicion</v>
      </c>
      <c r="C284" s="88" t="str">
        <f>VLOOKUP(A284,Documentos!D:H,5,FALSE)</f>
        <v>DA</v>
      </c>
      <c r="D284" s="87">
        <f>VLOOKUP(A284,Documentos!D:I,6,FALSE)</f>
        <v>652</v>
      </c>
      <c r="E284" s="7" t="s">
        <v>1258</v>
      </c>
      <c r="F284" s="10" t="s">
        <v>8</v>
      </c>
      <c r="G284" s="97" t="s">
        <v>494</v>
      </c>
      <c r="H284" s="33"/>
      <c r="I284" s="33"/>
      <c r="J284" s="33"/>
      <c r="K284" s="33" t="s">
        <v>1236</v>
      </c>
      <c r="L284" s="41">
        <v>34088</v>
      </c>
      <c r="M284" s="41">
        <v>34088</v>
      </c>
    </row>
    <row r="285" spans="1:13" x14ac:dyDescent="0.25">
      <c r="A285" s="32">
        <v>677</v>
      </c>
      <c r="B285" s="87" t="str">
        <f>VLOOKUP(A285,Documentos!D:F,3,FALSE)</f>
        <v>Proposicion</v>
      </c>
      <c r="C285" s="88" t="str">
        <f>VLOOKUP(A285,Documentos!D:H,5,FALSE)</f>
        <v>DAP</v>
      </c>
      <c r="D285" s="87">
        <f>VLOOKUP(A285,Documentos!D:I,6,FALSE)</f>
        <v>653</v>
      </c>
      <c r="E285" s="7" t="s">
        <v>1258</v>
      </c>
      <c r="F285" s="10" t="s">
        <v>10</v>
      </c>
      <c r="G285" s="97" t="s">
        <v>494</v>
      </c>
      <c r="H285" s="33"/>
      <c r="I285" s="33"/>
      <c r="J285" s="33"/>
      <c r="K285" s="33" t="s">
        <v>1236</v>
      </c>
      <c r="L285" s="41">
        <v>38658</v>
      </c>
      <c r="M285" s="41">
        <v>38658</v>
      </c>
    </row>
    <row r="286" spans="1:13" x14ac:dyDescent="0.25">
      <c r="A286" s="32">
        <v>678</v>
      </c>
      <c r="B286" s="87" t="str">
        <f>VLOOKUP(A286,Documentos!D:F,3,FALSE)</f>
        <v>Oficio_Solicitud</v>
      </c>
      <c r="C286" s="88" t="str">
        <f>VLOOKUP(A286,Documentos!D:H,5,FALSE)</f>
        <v>DAP_FETCovid19</v>
      </c>
      <c r="D286" s="87">
        <f>VLOOKUP(A286,Documentos!D:I,6,FALSE)</f>
        <v>653</v>
      </c>
      <c r="E286" s="7" t="s">
        <v>43</v>
      </c>
      <c r="F286" s="10" t="s">
        <v>544</v>
      </c>
      <c r="G286" s="97" t="s">
        <v>494</v>
      </c>
      <c r="H286" s="33"/>
      <c r="I286" s="33"/>
      <c r="J286" s="33"/>
      <c r="K286" s="33" t="s">
        <v>1236</v>
      </c>
      <c r="L286" s="41">
        <v>9557030</v>
      </c>
      <c r="M286" s="41">
        <v>0</v>
      </c>
    </row>
    <row r="287" spans="1:13" x14ac:dyDescent="0.25">
      <c r="A287" s="32">
        <v>681</v>
      </c>
      <c r="B287" s="87" t="str">
        <f>VLOOKUP(A287,Documentos!D:F,3,FALSE)</f>
        <v>Proposicion</v>
      </c>
      <c r="C287" s="88" t="str">
        <f>VLOOKUP(A287,Documentos!D:H,5,FALSE)</f>
        <v>DAP_FETCovid19</v>
      </c>
      <c r="D287" s="87">
        <f>VLOOKUP(A287,Documentos!D:I,6,FALSE)</f>
        <v>654</v>
      </c>
      <c r="E287" s="7" t="s">
        <v>1258</v>
      </c>
      <c r="F287" s="10" t="s">
        <v>544</v>
      </c>
      <c r="G287" s="97" t="s">
        <v>494</v>
      </c>
      <c r="H287" s="33"/>
      <c r="I287" s="33"/>
      <c r="J287" s="33"/>
      <c r="K287" s="33" t="s">
        <v>1236</v>
      </c>
      <c r="L287" s="41">
        <v>100000</v>
      </c>
      <c r="M287" s="41">
        <v>100000</v>
      </c>
    </row>
    <row r="288" spans="1:13" x14ac:dyDescent="0.25">
      <c r="A288" s="32">
        <v>682</v>
      </c>
      <c r="B288" s="87" t="str">
        <f>VLOOKUP(A288,Documentos!D:F,3,FALSE)</f>
        <v>Proposicion</v>
      </c>
      <c r="C288" s="88" t="str">
        <f>VLOOKUP(A288,Documentos!D:H,5,FALSE)</f>
        <v>DAP</v>
      </c>
      <c r="D288" s="87">
        <f>VLOOKUP(A288,Documentos!D:I,6,FALSE)</f>
        <v>655</v>
      </c>
      <c r="E288" s="7" t="s">
        <v>60</v>
      </c>
      <c r="F288" s="10" t="s">
        <v>10</v>
      </c>
      <c r="G288" s="97" t="s">
        <v>494</v>
      </c>
      <c r="H288" s="33"/>
      <c r="I288" s="33"/>
      <c r="J288" s="33"/>
      <c r="K288" s="33" t="s">
        <v>1278</v>
      </c>
      <c r="L288" s="41">
        <v>1467205</v>
      </c>
      <c r="M288" s="41">
        <v>1467205</v>
      </c>
    </row>
    <row r="289" spans="1:13" x14ac:dyDescent="0.25">
      <c r="A289" s="32">
        <v>688</v>
      </c>
      <c r="B289" s="87" t="str">
        <f>VLOOKUP(A289,Documentos!D:F,3,FALSE)</f>
        <v>Oficio_Solicitud</v>
      </c>
      <c r="C289" s="88" t="str">
        <f>VLOOKUP(A289,Documentos!D:H,5,FALSE)</f>
        <v>DOP</v>
      </c>
      <c r="D289" s="87">
        <f>VLOOKUP(A289,Documentos!D:I,6,FALSE)</f>
        <v>666</v>
      </c>
      <c r="E289" s="7" t="s">
        <v>43</v>
      </c>
      <c r="F289" s="10" t="s">
        <v>22</v>
      </c>
      <c r="G289" s="97" t="s">
        <v>494</v>
      </c>
      <c r="H289" s="33"/>
      <c r="I289" s="33"/>
      <c r="J289" s="33"/>
      <c r="K289" s="33" t="s">
        <v>1236</v>
      </c>
      <c r="L289" s="41">
        <v>65263785</v>
      </c>
      <c r="M289" s="41"/>
    </row>
    <row r="290" spans="1:13" x14ac:dyDescent="0.25">
      <c r="A290" s="32">
        <v>691</v>
      </c>
      <c r="B290" s="87" t="str">
        <f>VLOOKUP(A290,Documentos!D:F,3,FALSE)</f>
        <v>Oficio_Solicitud</v>
      </c>
      <c r="C290" s="88" t="str">
        <f>VLOOKUP(A290,Documentos!D:H,5,FALSE)</f>
        <v>DOP_FETCovid19</v>
      </c>
      <c r="D290" s="87">
        <f>VLOOKUP(A290,Documentos!D:I,6,FALSE)</f>
        <v>667</v>
      </c>
      <c r="E290" s="7" t="s">
        <v>43</v>
      </c>
      <c r="F290" s="10" t="s">
        <v>541</v>
      </c>
      <c r="G290" s="97" t="s">
        <v>494</v>
      </c>
      <c r="H290" s="33"/>
      <c r="I290" s="33"/>
      <c r="J290" s="33"/>
      <c r="K290" s="33" t="s">
        <v>1278</v>
      </c>
      <c r="L290" s="41">
        <v>16200797</v>
      </c>
      <c r="M290" s="41"/>
    </row>
    <row r="291" spans="1:13" x14ac:dyDescent="0.25">
      <c r="A291" s="32">
        <v>699</v>
      </c>
      <c r="B291" s="87" t="str">
        <f>VLOOKUP(A291,Documentos!D:F,3,FALSE)</f>
        <v>Oficio_Solicitud</v>
      </c>
      <c r="C291" s="88" t="str">
        <f>VLOOKUP(A291,Documentos!D:H,5,FALSE)</f>
        <v>DGA</v>
      </c>
      <c r="D291" s="87">
        <f>VLOOKUP(A291,Documentos!D:I,6,FALSE)</f>
        <v>146</v>
      </c>
      <c r="E291" s="7" t="s">
        <v>60</v>
      </c>
      <c r="F291" s="10" t="s">
        <v>14</v>
      </c>
      <c r="G291" s="97" t="s">
        <v>494</v>
      </c>
      <c r="H291" s="33"/>
      <c r="I291" s="33"/>
      <c r="J291" s="33"/>
      <c r="K291" s="33" t="s">
        <v>1278</v>
      </c>
      <c r="L291" s="41">
        <v>303529</v>
      </c>
      <c r="M291" s="41">
        <v>0</v>
      </c>
    </row>
    <row r="292" spans="1:13" x14ac:dyDescent="0.25">
      <c r="A292" s="32">
        <v>705</v>
      </c>
      <c r="B292" s="87" t="str">
        <f>VLOOKUP(A292,Documentos!D:F,3,FALSE)</f>
        <v>Proposicion</v>
      </c>
      <c r="C292" s="88" t="str">
        <f>VLOOKUP(A292,Documentos!D:H,5,FALSE)</f>
        <v>DA</v>
      </c>
      <c r="D292" s="87">
        <f>VLOOKUP(A292,Documentos!D:I,6,FALSE)</f>
        <v>679</v>
      </c>
      <c r="E292" s="7" t="s">
        <v>60</v>
      </c>
      <c r="F292" s="10" t="s">
        <v>8</v>
      </c>
      <c r="G292" s="97" t="s">
        <v>494</v>
      </c>
      <c r="H292" s="33"/>
      <c r="I292" s="33"/>
      <c r="J292" s="33"/>
      <c r="K292" s="33" t="s">
        <v>1278</v>
      </c>
      <c r="L292" s="41">
        <v>497440</v>
      </c>
      <c r="M292" s="41">
        <v>204343</v>
      </c>
    </row>
    <row r="293" spans="1:13" x14ac:dyDescent="0.25">
      <c r="A293" s="32">
        <v>706</v>
      </c>
      <c r="B293" s="87" t="str">
        <f>VLOOKUP(A293,Documentos!D:F,3,FALSE)</f>
        <v>Proposicion</v>
      </c>
      <c r="C293" s="88" t="str">
        <f>VLOOKUP(A293,Documentos!D:H,5,FALSE)</f>
        <v>DGC</v>
      </c>
      <c r="D293" s="87">
        <f>VLOOKUP(A293,Documentos!D:I,6,FALSE)</f>
        <v>680</v>
      </c>
      <c r="E293" s="7" t="s">
        <v>60</v>
      </c>
      <c r="F293" s="10" t="s">
        <v>16</v>
      </c>
      <c r="G293" s="97" t="s">
        <v>494</v>
      </c>
      <c r="H293" s="33"/>
      <c r="I293" s="33"/>
      <c r="J293" s="33"/>
      <c r="K293" s="33" t="s">
        <v>1278</v>
      </c>
      <c r="L293" s="41">
        <v>27262000</v>
      </c>
      <c r="M293" s="41">
        <v>0</v>
      </c>
    </row>
    <row r="294" spans="1:13" x14ac:dyDescent="0.25">
      <c r="A294" s="32">
        <v>709</v>
      </c>
      <c r="B294" s="87" t="str">
        <f>VLOOKUP(A294,Documentos!D:F,3,FALSE)</f>
        <v>Proposicion</v>
      </c>
      <c r="C294" s="88" t="str">
        <f>VLOOKUP(A294,Documentos!D:H,5,FALSE)</f>
        <v>DV_FETCovid19</v>
      </c>
      <c r="D294" s="87">
        <f>VLOOKUP(A294,Documentos!D:I,6,FALSE)</f>
        <v>682</v>
      </c>
      <c r="E294" s="7" t="s">
        <v>1258</v>
      </c>
      <c r="F294" s="10" t="s">
        <v>538</v>
      </c>
      <c r="G294" s="97" t="s">
        <v>494</v>
      </c>
      <c r="H294" s="33"/>
      <c r="I294" s="33"/>
      <c r="J294" s="33"/>
      <c r="K294" s="33" t="s">
        <v>1236</v>
      </c>
      <c r="L294" s="41">
        <v>2183535</v>
      </c>
      <c r="M294" s="41">
        <v>2183535</v>
      </c>
    </row>
    <row r="295" spans="1:13" x14ac:dyDescent="0.25">
      <c r="A295" s="32">
        <v>712</v>
      </c>
      <c r="B295" s="87" t="str">
        <f>VLOOKUP(A295,Documentos!D:F,3,FALSE)</f>
        <v>Proposicion</v>
      </c>
      <c r="C295" s="88" t="str">
        <f>VLOOKUP(A295,Documentos!D:H,5,FALSE)</f>
        <v>DV</v>
      </c>
      <c r="D295" s="87">
        <f>VLOOKUP(A295,Documentos!D:I,6,FALSE)</f>
        <v>683</v>
      </c>
      <c r="E295" s="7" t="s">
        <v>1258</v>
      </c>
      <c r="F295" s="10" t="s">
        <v>26</v>
      </c>
      <c r="G295" s="97" t="s">
        <v>494</v>
      </c>
      <c r="H295" s="33"/>
      <c r="I295" s="33"/>
      <c r="J295" s="33"/>
      <c r="K295" s="33" t="s">
        <v>1236</v>
      </c>
      <c r="L295" s="41">
        <v>2717056</v>
      </c>
      <c r="M295" s="41">
        <v>2717056</v>
      </c>
    </row>
    <row r="296" spans="1:13" x14ac:dyDescent="0.25">
      <c r="A296" s="32">
        <v>716</v>
      </c>
      <c r="B296" s="87" t="str">
        <f>VLOOKUP(A296,Documentos!D:F,3,FALSE)</f>
        <v>Oficio_Solicitud</v>
      </c>
      <c r="C296" s="88" t="str">
        <f>VLOOKUP(A296,Documentos!D:H,5,FALSE)</f>
        <v>DOP_FETCovid19</v>
      </c>
      <c r="D296" s="87">
        <f>VLOOKUP(A296,Documentos!D:I,6,FALSE)</f>
        <v>686</v>
      </c>
      <c r="E296" s="7" t="s">
        <v>43</v>
      </c>
      <c r="F296" s="10" t="s">
        <v>541</v>
      </c>
      <c r="G296" s="97" t="s">
        <v>494</v>
      </c>
      <c r="H296" s="33"/>
      <c r="I296" s="33"/>
      <c r="J296" s="33"/>
      <c r="K296" s="33" t="s">
        <v>1278</v>
      </c>
      <c r="L296" s="41">
        <v>4875287</v>
      </c>
      <c r="M296" s="41">
        <v>0</v>
      </c>
    </row>
    <row r="297" spans="1:13" x14ac:dyDescent="0.25">
      <c r="A297" s="32">
        <v>718</v>
      </c>
      <c r="B297" s="87" t="str">
        <f>VLOOKUP(A297,Documentos!D:F,3,FALSE)</f>
        <v>Proposicion</v>
      </c>
      <c r="C297" s="88" t="str">
        <f>VLOOKUP(A297,Documentos!D:H,5,FALSE)</f>
        <v>DGC_FETCovid19</v>
      </c>
      <c r="D297" s="87">
        <f>VLOOKUP(A297,Documentos!D:I,6,FALSE)</f>
        <v>687</v>
      </c>
      <c r="E297" s="7" t="s">
        <v>60</v>
      </c>
      <c r="F297" s="10" t="s">
        <v>562</v>
      </c>
      <c r="G297" s="97" t="s">
        <v>494</v>
      </c>
      <c r="H297" s="33"/>
      <c r="I297" s="33"/>
      <c r="J297" s="33"/>
      <c r="K297" s="33" t="s">
        <v>1278</v>
      </c>
      <c r="L297" s="41">
        <v>0</v>
      </c>
      <c r="M297" s="41">
        <v>11550235</v>
      </c>
    </row>
    <row r="298" spans="1:13" x14ac:dyDescent="0.25">
      <c r="A298" s="32">
        <v>726</v>
      </c>
      <c r="B298" s="87" t="str">
        <f>VLOOKUP(A298,Documentos!D:F,3,FALSE)</f>
        <v>Oficio_Solicitud</v>
      </c>
      <c r="C298" s="88" t="str">
        <f>VLOOKUP(A298,Documentos!D:H,5,FALSE)</f>
        <v>DV</v>
      </c>
      <c r="D298" s="87">
        <f>VLOOKUP(A298,Documentos!D:I,6,FALSE)</f>
        <v>693</v>
      </c>
      <c r="E298" s="7" t="s">
        <v>60</v>
      </c>
      <c r="F298" s="10" t="s">
        <v>26</v>
      </c>
      <c r="G298" s="97" t="s">
        <v>494</v>
      </c>
      <c r="H298" s="33"/>
      <c r="I298" s="33"/>
      <c r="J298" s="33"/>
      <c r="K298" s="33" t="s">
        <v>1278</v>
      </c>
      <c r="L298" s="41">
        <v>5200000</v>
      </c>
      <c r="M298" s="41"/>
    </row>
    <row r="299" spans="1:13" x14ac:dyDescent="0.25">
      <c r="A299" s="32">
        <v>733</v>
      </c>
      <c r="B299" s="87" t="str">
        <f>VLOOKUP(A299,Documentos!D:F,3,FALSE)</f>
        <v>Proposicion</v>
      </c>
      <c r="C299" s="88" t="str">
        <f>VLOOKUP(A299,Documentos!D:H,5,FALSE)</f>
        <v>APR_FETCovid19</v>
      </c>
      <c r="D299" s="87">
        <f>VLOOKUP(A299,Documentos!D:I,6,FALSE)</f>
        <v>698</v>
      </c>
      <c r="E299" s="7" t="s">
        <v>1258</v>
      </c>
      <c r="F299" s="10" t="s">
        <v>559</v>
      </c>
      <c r="G299" s="97" t="s">
        <v>494</v>
      </c>
      <c r="H299" s="33"/>
      <c r="I299" s="33"/>
      <c r="J299" s="33"/>
      <c r="K299" s="33" t="s">
        <v>1236</v>
      </c>
      <c r="L299" s="41">
        <v>184640</v>
      </c>
      <c r="M299" s="41">
        <v>184640</v>
      </c>
    </row>
    <row r="300" spans="1:13" x14ac:dyDescent="0.25">
      <c r="A300" s="32">
        <v>735</v>
      </c>
      <c r="B300" s="87" t="str">
        <f>VLOOKUP(A300,Documentos!D:F,3,FALSE)</f>
        <v>Proposicion</v>
      </c>
      <c r="C300" s="88" t="str">
        <f>VLOOKUP(A300,Documentos!D:H,5,FALSE)</f>
        <v>DOH</v>
      </c>
      <c r="D300" s="87">
        <f>VLOOKUP(A300,Documentos!D:I,6,FALSE)</f>
        <v>699</v>
      </c>
      <c r="E300" s="7" t="s">
        <v>1258</v>
      </c>
      <c r="F300" s="10" t="s">
        <v>20</v>
      </c>
      <c r="G300" s="97" t="s">
        <v>494</v>
      </c>
      <c r="H300" s="33"/>
      <c r="I300" s="33"/>
      <c r="J300" s="33"/>
      <c r="K300" s="33" t="s">
        <v>1236</v>
      </c>
      <c r="L300" s="41">
        <v>65</v>
      </c>
      <c r="M300" s="41">
        <v>65</v>
      </c>
    </row>
    <row r="301" spans="1:13" x14ac:dyDescent="0.25">
      <c r="A301" s="32">
        <v>737</v>
      </c>
      <c r="B301" s="87" t="str">
        <f>VLOOKUP(A301,Documentos!D:F,3,FALSE)</f>
        <v>Proposicion</v>
      </c>
      <c r="C301" s="88" t="str">
        <f>VLOOKUP(A301,Documentos!D:H,5,FALSE)</f>
        <v>DA</v>
      </c>
      <c r="D301" s="87">
        <f>VLOOKUP(A301,Documentos!D:I,6,FALSE)</f>
        <v>701</v>
      </c>
      <c r="E301" s="7" t="s">
        <v>60</v>
      </c>
      <c r="F301" s="10" t="s">
        <v>8</v>
      </c>
      <c r="G301" s="97" t="s">
        <v>494</v>
      </c>
      <c r="H301" s="33"/>
      <c r="I301" s="33"/>
      <c r="J301" s="33"/>
      <c r="K301" s="33" t="s">
        <v>1278</v>
      </c>
      <c r="L301" s="41">
        <v>0</v>
      </c>
      <c r="M301" s="41">
        <v>117924</v>
      </c>
    </row>
    <row r="302" spans="1:13" x14ac:dyDescent="0.25">
      <c r="A302" s="32">
        <v>740</v>
      </c>
      <c r="B302" s="87" t="str">
        <f>VLOOKUP(A302,Documentos!D:F,3,FALSE)</f>
        <v>Proposicion</v>
      </c>
      <c r="C302" s="88" t="str">
        <f>VLOOKUP(A302,Documentos!D:H,5,FALSE)</f>
        <v>APR</v>
      </c>
      <c r="D302" s="87">
        <f>VLOOKUP(A302,Documentos!D:I,6,FALSE)</f>
        <v>702</v>
      </c>
      <c r="E302" s="7" t="s">
        <v>60</v>
      </c>
      <c r="F302" s="10" t="s">
        <v>6</v>
      </c>
      <c r="G302" s="97" t="s">
        <v>494</v>
      </c>
      <c r="H302" s="33"/>
      <c r="I302" s="33"/>
      <c r="J302" s="33"/>
      <c r="K302" s="33" t="s">
        <v>1278</v>
      </c>
      <c r="L302" s="41">
        <v>3878512</v>
      </c>
      <c r="M302" s="41">
        <v>3878512</v>
      </c>
    </row>
    <row r="303" spans="1:13" x14ac:dyDescent="0.25">
      <c r="A303" s="32">
        <v>741</v>
      </c>
      <c r="B303" s="87" t="str">
        <f>VLOOKUP(A303,Documentos!D:F,3,FALSE)</f>
        <v>Proposicion</v>
      </c>
      <c r="C303" s="88" t="str">
        <f>VLOOKUP(A303,Documentos!D:H,5,FALSE)</f>
        <v>DOH_FETCovid19</v>
      </c>
      <c r="D303" s="87">
        <f>VLOOKUP(A303,Documentos!D:I,6,FALSE)</f>
        <v>703</v>
      </c>
      <c r="E303" s="7" t="s">
        <v>60</v>
      </c>
      <c r="F303" s="10" t="s">
        <v>535</v>
      </c>
      <c r="G303" s="97" t="s">
        <v>494</v>
      </c>
      <c r="H303" s="33"/>
      <c r="I303" s="33"/>
      <c r="J303" s="33"/>
      <c r="K303" s="33" t="s">
        <v>1278</v>
      </c>
      <c r="L303" s="41">
        <v>136647</v>
      </c>
      <c r="M303" s="41">
        <v>136647</v>
      </c>
    </row>
    <row r="304" spans="1:13" x14ac:dyDescent="0.25">
      <c r="A304" s="32">
        <v>743</v>
      </c>
      <c r="B304" s="87" t="str">
        <f>VLOOKUP(A304,Documentos!D:F,3,FALSE)</f>
        <v>Oficio_Solicitud</v>
      </c>
      <c r="C304" s="88" t="str">
        <f>VLOOKUP(A304,Documentos!D:H,5,FALSE)</f>
        <v>DA</v>
      </c>
      <c r="D304" s="87">
        <f>VLOOKUP(A304,Documentos!D:I,6,FALSE)</f>
        <v>705</v>
      </c>
      <c r="E304" s="7" t="s">
        <v>60</v>
      </c>
      <c r="F304" s="10" t="s">
        <v>8</v>
      </c>
      <c r="G304" s="97" t="s">
        <v>494</v>
      </c>
      <c r="H304" s="33"/>
      <c r="I304" s="33"/>
      <c r="J304" s="33"/>
      <c r="K304" s="33" t="s">
        <v>1278</v>
      </c>
      <c r="L304" s="41">
        <v>154000</v>
      </c>
      <c r="M304" s="41">
        <v>0</v>
      </c>
    </row>
    <row r="305" spans="1:13" x14ac:dyDescent="0.25">
      <c r="A305" s="36">
        <v>750</v>
      </c>
      <c r="B305" s="90" t="str">
        <f>VLOOKUP(A305,Documentos!D:F,3,FALSE)</f>
        <v>Oficio_Autorizacion</v>
      </c>
      <c r="C305" s="91" t="str">
        <f>VLOOKUP(A305,Documentos!D:H,5,FALSE)</f>
        <v>DGC</v>
      </c>
      <c r="D305" s="92">
        <f>VLOOKUP(A305,Documentos!D:I,6,FALSE)</f>
        <v>707</v>
      </c>
      <c r="E305" s="34" t="s">
        <v>44</v>
      </c>
      <c r="F305" s="35" t="s">
        <v>16</v>
      </c>
      <c r="G305" s="98">
        <v>22</v>
      </c>
      <c r="H305" s="99"/>
      <c r="I305" s="99"/>
      <c r="J305" s="99"/>
      <c r="K305" s="34" t="s">
        <v>1282</v>
      </c>
      <c r="L305" s="41">
        <v>104979</v>
      </c>
      <c r="M305" s="34"/>
    </row>
    <row r="306" spans="1:13" x14ac:dyDescent="0.25">
      <c r="A306" s="32">
        <v>753</v>
      </c>
      <c r="B306" s="87" t="str">
        <f>VLOOKUP(A306,Documentos!D:F,3,FALSE)</f>
        <v>Proposicion</v>
      </c>
      <c r="C306" s="88" t="str">
        <f>VLOOKUP(A306,Documentos!D:H,5,FALSE)</f>
        <v>INH</v>
      </c>
      <c r="D306" s="87">
        <f>VLOOKUP(A306,Documentos!D:I,6,FALSE)</f>
        <v>708</v>
      </c>
      <c r="E306" s="7" t="s">
        <v>60</v>
      </c>
      <c r="F306" s="10" t="s">
        <v>30</v>
      </c>
      <c r="G306" s="97" t="s">
        <v>494</v>
      </c>
      <c r="H306" s="33"/>
      <c r="I306" s="33"/>
      <c r="J306" s="33"/>
      <c r="K306" s="33" t="s">
        <v>1278</v>
      </c>
      <c r="L306" s="41">
        <v>25612</v>
      </c>
      <c r="M306" s="41"/>
    </row>
    <row r="307" spans="1:13" x14ac:dyDescent="0.25">
      <c r="A307" s="32">
        <v>754</v>
      </c>
      <c r="B307" s="87" t="str">
        <f>VLOOKUP(A307,Documentos!D:F,3,FALSE)</f>
        <v>Proposicion</v>
      </c>
      <c r="C307" s="88" t="str">
        <f>VLOOKUP(A307,Documentos!D:H,5,FALSE)</f>
        <v>DP</v>
      </c>
      <c r="D307" s="87">
        <f>VLOOKUP(A307,Documentos!D:I,6,FALSE)</f>
        <v>709</v>
      </c>
      <c r="E307" s="7" t="s">
        <v>60</v>
      </c>
      <c r="F307" s="10" t="s">
        <v>24</v>
      </c>
      <c r="G307" s="97" t="s">
        <v>494</v>
      </c>
      <c r="H307" s="33"/>
      <c r="I307" s="33"/>
      <c r="J307" s="33"/>
      <c r="K307" s="33" t="s">
        <v>1278</v>
      </c>
      <c r="L307" s="41">
        <v>10</v>
      </c>
      <c r="M307" s="41">
        <v>10</v>
      </c>
    </row>
    <row r="308" spans="1:13" x14ac:dyDescent="0.25">
      <c r="A308" s="32">
        <v>755</v>
      </c>
      <c r="B308" s="87" t="str">
        <f>VLOOKUP(A308,Documentos!D:F,3,FALSE)</f>
        <v>Proposicion</v>
      </c>
      <c r="C308" s="88" t="str">
        <f>VLOOKUP(A308,Documentos!D:H,5,FALSE)</f>
        <v>DOH</v>
      </c>
      <c r="D308" s="87">
        <f>VLOOKUP(A308,Documentos!D:I,6,FALSE)</f>
        <v>710</v>
      </c>
      <c r="E308" s="7" t="s">
        <v>60</v>
      </c>
      <c r="F308" s="10" t="s">
        <v>20</v>
      </c>
      <c r="G308" s="97" t="s">
        <v>494</v>
      </c>
      <c r="H308" s="33"/>
      <c r="I308" s="33"/>
      <c r="J308" s="33"/>
      <c r="K308" s="33" t="s">
        <v>1278</v>
      </c>
      <c r="L308" s="41">
        <v>592954</v>
      </c>
      <c r="M308" s="41">
        <v>592954</v>
      </c>
    </row>
    <row r="309" spans="1:13" x14ac:dyDescent="0.25">
      <c r="A309" s="32">
        <v>756</v>
      </c>
      <c r="B309" s="87" t="str">
        <f>VLOOKUP(A309,Documentos!D:F,3,FALSE)</f>
        <v>Oficio_Solicitud</v>
      </c>
      <c r="C309" s="88" t="str">
        <f>VLOOKUP(A309,Documentos!D:H,5,FALSE)</f>
        <v>DOP</v>
      </c>
      <c r="D309" s="87">
        <f>VLOOKUP(A309,Documentos!D:I,6,FALSE)</f>
        <v>711</v>
      </c>
      <c r="E309" s="7" t="s">
        <v>43</v>
      </c>
      <c r="F309" s="10" t="s">
        <v>22</v>
      </c>
      <c r="G309" s="97" t="s">
        <v>494</v>
      </c>
      <c r="H309" s="33"/>
      <c r="I309" s="33"/>
      <c r="J309" s="33"/>
      <c r="K309" s="33" t="s">
        <v>1282</v>
      </c>
      <c r="L309" s="41">
        <v>6408853</v>
      </c>
      <c r="M309" s="41"/>
    </row>
    <row r="310" spans="1:13" x14ac:dyDescent="0.25">
      <c r="A310" s="32">
        <v>759</v>
      </c>
      <c r="B310" s="87" t="str">
        <f>VLOOKUP(A310,Documentos!D:F,3,FALSE)</f>
        <v>Oficio_Solicitud</v>
      </c>
      <c r="C310" s="88" t="str">
        <f>VLOOKUP(A310,Documentos!D:H,5,FALSE)</f>
        <v>DGC</v>
      </c>
      <c r="D310" s="87">
        <f>VLOOKUP(A310,Documentos!D:I,6,FALSE)</f>
        <v>724</v>
      </c>
      <c r="E310" s="7" t="s">
        <v>60</v>
      </c>
      <c r="F310" s="10" t="s">
        <v>16</v>
      </c>
      <c r="G310" s="97" t="s">
        <v>494</v>
      </c>
      <c r="H310" s="33"/>
      <c r="I310" s="33"/>
      <c r="J310" s="33"/>
      <c r="K310" s="33" t="s">
        <v>1278</v>
      </c>
      <c r="L310" s="41">
        <v>4138968</v>
      </c>
      <c r="M310" s="41">
        <v>4138968</v>
      </c>
    </row>
    <row r="311" spans="1:13" x14ac:dyDescent="0.25">
      <c r="A311" s="32">
        <v>761</v>
      </c>
      <c r="B311" s="87" t="str">
        <f>VLOOKUP(A311,Documentos!D:F,3,FALSE)</f>
        <v>Proposicion</v>
      </c>
      <c r="C311" s="88" t="str">
        <f>VLOOKUP(A311,Documentos!D:H,5,FALSE)</f>
        <v>DGA</v>
      </c>
      <c r="D311" s="87">
        <f>VLOOKUP(A311,Documentos!D:I,6,FALSE)</f>
        <v>726</v>
      </c>
      <c r="E311" s="7" t="s">
        <v>1258</v>
      </c>
      <c r="F311" s="10" t="s">
        <v>14</v>
      </c>
      <c r="G311" s="97" t="s">
        <v>494</v>
      </c>
      <c r="H311" s="33"/>
      <c r="I311" s="33"/>
      <c r="J311" s="33"/>
      <c r="K311" s="33" t="s">
        <v>1236</v>
      </c>
      <c r="L311" s="41">
        <v>68922</v>
      </c>
      <c r="M311" s="41">
        <v>68922</v>
      </c>
    </row>
    <row r="312" spans="1:13" x14ac:dyDescent="0.25">
      <c r="A312" s="32">
        <v>770</v>
      </c>
      <c r="B312" s="87" t="str">
        <f>VLOOKUP(A312,Documentos!D:F,3,FALSE)</f>
        <v>Proposicion</v>
      </c>
      <c r="C312" s="88" t="str">
        <f>VLOOKUP(A312,Documentos!D:H,5,FALSE)</f>
        <v>DGC</v>
      </c>
      <c r="D312" s="87">
        <f>VLOOKUP(A312,Documentos!D:I,6,FALSE)</f>
        <v>736</v>
      </c>
      <c r="E312" s="7" t="s">
        <v>41</v>
      </c>
      <c r="F312" s="10" t="s">
        <v>16</v>
      </c>
      <c r="G312" s="97" t="s">
        <v>494</v>
      </c>
      <c r="H312" s="33"/>
      <c r="I312" s="33"/>
      <c r="J312" s="33"/>
      <c r="K312" s="33" t="s">
        <v>1278</v>
      </c>
      <c r="L312" s="41">
        <v>24982532</v>
      </c>
      <c r="M312" s="41">
        <v>24982532</v>
      </c>
    </row>
    <row r="313" spans="1:13" x14ac:dyDescent="0.25">
      <c r="A313" s="32">
        <v>771</v>
      </c>
      <c r="B313" s="87" t="str">
        <f>VLOOKUP(A313,Documentos!D:F,3,FALSE)</f>
        <v>Proposicion</v>
      </c>
      <c r="C313" s="88" t="str">
        <f>VLOOKUP(A313,Documentos!D:H,5,FALSE)</f>
        <v>DOP</v>
      </c>
      <c r="D313" s="87">
        <f>VLOOKUP(A313,Documentos!D:I,6,FALSE)</f>
        <v>737</v>
      </c>
      <c r="E313" s="7" t="s">
        <v>60</v>
      </c>
      <c r="F313" s="10" t="s">
        <v>22</v>
      </c>
      <c r="G313" s="97" t="s">
        <v>494</v>
      </c>
      <c r="H313" s="33"/>
      <c r="I313" s="33"/>
      <c r="J313" s="33"/>
      <c r="K313" s="33" t="s">
        <v>1278</v>
      </c>
      <c r="L313" s="41">
        <v>39037</v>
      </c>
      <c r="M313" s="41">
        <v>4719130</v>
      </c>
    </row>
    <row r="314" spans="1:13" x14ac:dyDescent="0.25">
      <c r="A314" s="32">
        <v>772</v>
      </c>
      <c r="B314" s="87" t="str">
        <f>VLOOKUP(A314,Documentos!D:F,3,FALSE)</f>
        <v>Proposicion</v>
      </c>
      <c r="C314" s="88" t="str">
        <f>VLOOKUP(A314,Documentos!D:H,5,FALSE)</f>
        <v>DAP_FETCovid19</v>
      </c>
      <c r="D314" s="87">
        <f>VLOOKUP(A314,Documentos!D:I,6,FALSE)</f>
        <v>738</v>
      </c>
      <c r="E314" s="7" t="s">
        <v>41</v>
      </c>
      <c r="F314" s="10" t="s">
        <v>544</v>
      </c>
      <c r="G314" s="97" t="s">
        <v>494</v>
      </c>
      <c r="H314" s="33"/>
      <c r="I314" s="33"/>
      <c r="J314" s="33"/>
      <c r="K314" s="33" t="s">
        <v>1236</v>
      </c>
      <c r="L314" s="41">
        <v>0</v>
      </c>
      <c r="M314" s="41">
        <v>2137030</v>
      </c>
    </row>
    <row r="315" spans="1:13" x14ac:dyDescent="0.25">
      <c r="A315" s="32">
        <v>773</v>
      </c>
      <c r="B315" s="87" t="str">
        <f>VLOOKUP(A315,Documentos!D:F,3,FALSE)</f>
        <v>Proposicion</v>
      </c>
      <c r="C315" s="88" t="str">
        <f>VLOOKUP(A315,Documentos!D:H,5,FALSE)</f>
        <v>APR</v>
      </c>
      <c r="D315" s="87">
        <f>VLOOKUP(A315,Documentos!D:I,6,FALSE)</f>
        <v>739</v>
      </c>
      <c r="E315" s="7" t="s">
        <v>60</v>
      </c>
      <c r="F315" s="10" t="s">
        <v>6</v>
      </c>
      <c r="G315" s="97" t="s">
        <v>494</v>
      </c>
      <c r="H315" s="33"/>
      <c r="I315" s="33"/>
      <c r="J315" s="33"/>
      <c r="K315" s="33" t="s">
        <v>1278</v>
      </c>
      <c r="L315" s="41">
        <v>304927</v>
      </c>
      <c r="M315" s="41">
        <v>304927</v>
      </c>
    </row>
    <row r="316" spans="1:13" x14ac:dyDescent="0.25">
      <c r="A316" s="32">
        <v>782</v>
      </c>
      <c r="B316" s="87" t="str">
        <f>VLOOKUP(A316,Documentos!D:F,3,FALSE)</f>
        <v>Proposicion</v>
      </c>
      <c r="C316" s="88" t="str">
        <f>VLOOKUP(A316,Documentos!D:H,5,FALSE)</f>
        <v>APR</v>
      </c>
      <c r="D316" s="87">
        <f>VLOOKUP(A316,Documentos!D:I,6,FALSE)</f>
        <v>747</v>
      </c>
      <c r="E316" s="7" t="s">
        <v>60</v>
      </c>
      <c r="F316" s="10" t="s">
        <v>6</v>
      </c>
      <c r="G316" s="97" t="s">
        <v>494</v>
      </c>
      <c r="H316" s="33"/>
      <c r="I316" s="33"/>
      <c r="J316" s="33"/>
      <c r="K316" s="33" t="s">
        <v>1278</v>
      </c>
      <c r="L316" s="41">
        <v>1350557</v>
      </c>
      <c r="M316" s="41">
        <v>2471720</v>
      </c>
    </row>
    <row r="317" spans="1:13" x14ac:dyDescent="0.25">
      <c r="A317" s="32">
        <v>783</v>
      </c>
      <c r="B317" s="87" t="str">
        <f>VLOOKUP(A317,Documentos!D:F,3,FALSE)</f>
        <v>Proposicion</v>
      </c>
      <c r="C317" s="88" t="str">
        <f>VLOOKUP(A317,Documentos!D:H,5,FALSE)</f>
        <v>DOH_FETCovid19</v>
      </c>
      <c r="D317" s="87">
        <f>VLOOKUP(A317,Documentos!D:I,6,FALSE)</f>
        <v>750</v>
      </c>
      <c r="E317" s="7" t="s">
        <v>60</v>
      </c>
      <c r="F317" s="10" t="s">
        <v>535</v>
      </c>
      <c r="G317" s="97" t="s">
        <v>494</v>
      </c>
      <c r="H317" s="33"/>
      <c r="I317" s="33"/>
      <c r="J317" s="33"/>
      <c r="K317" s="33" t="s">
        <v>1278</v>
      </c>
      <c r="L317" s="41">
        <v>732272</v>
      </c>
      <c r="M317" s="41">
        <v>732272</v>
      </c>
    </row>
    <row r="318" spans="1:13" x14ac:dyDescent="0.25">
      <c r="A318" s="32">
        <v>784</v>
      </c>
      <c r="B318" s="87" t="str">
        <f>VLOOKUP(A318,Documentos!D:F,3,FALSE)</f>
        <v>Oficio_Solicitud</v>
      </c>
      <c r="C318" s="88" t="str">
        <f>VLOOKUP(A318,Documentos!D:H,5,FALSE)</f>
        <v>DGC</v>
      </c>
      <c r="D318" s="87">
        <f>VLOOKUP(A318,Documentos!D:I,6,FALSE)</f>
        <v>752</v>
      </c>
      <c r="E318" s="7" t="s">
        <v>1258</v>
      </c>
      <c r="F318" s="10" t="s">
        <v>16</v>
      </c>
      <c r="G318" s="97" t="s">
        <v>494</v>
      </c>
      <c r="H318" s="33"/>
      <c r="I318" s="33"/>
      <c r="J318" s="33"/>
      <c r="K318" s="33" t="s">
        <v>1236</v>
      </c>
      <c r="L318" s="41">
        <v>133976</v>
      </c>
      <c r="M318" s="41">
        <v>133976</v>
      </c>
    </row>
    <row r="319" spans="1:13" x14ac:dyDescent="0.25">
      <c r="A319" s="32">
        <v>788</v>
      </c>
      <c r="B319" s="87" t="str">
        <f>VLOOKUP(A319,Documentos!D:F,3,FALSE)</f>
        <v>Proposicion</v>
      </c>
      <c r="C319" s="88" t="str">
        <f>VLOOKUP(A319,Documentos!D:H,5,FALSE)</f>
        <v>DOP_FETCovid19</v>
      </c>
      <c r="D319" s="87">
        <f>VLOOKUP(A319,Documentos!D:I,6,FALSE)</f>
        <v>755</v>
      </c>
      <c r="E319" s="7" t="s">
        <v>41</v>
      </c>
      <c r="F319" s="10" t="s">
        <v>541</v>
      </c>
      <c r="G319" s="97" t="s">
        <v>494</v>
      </c>
      <c r="H319" s="33"/>
      <c r="I319" s="33"/>
      <c r="J319" s="33"/>
      <c r="K319" s="33" t="s">
        <v>1236</v>
      </c>
      <c r="L319" s="41">
        <v>73781</v>
      </c>
      <c r="M319" s="41">
        <v>2584201</v>
      </c>
    </row>
    <row r="320" spans="1:13" x14ac:dyDescent="0.25">
      <c r="A320" s="32">
        <v>789</v>
      </c>
      <c r="B320" s="87" t="str">
        <f>VLOOKUP(A320,Documentos!D:F,3,FALSE)</f>
        <v>Proposicion</v>
      </c>
      <c r="C320" s="88" t="str">
        <f>VLOOKUP(A320,Documentos!D:H,5,FALSE)</f>
        <v>DAP</v>
      </c>
      <c r="D320" s="87">
        <f>VLOOKUP(A320,Documentos!D:I,6,FALSE)</f>
        <v>756</v>
      </c>
      <c r="E320" s="7" t="s">
        <v>41</v>
      </c>
      <c r="F320" s="10" t="s">
        <v>10</v>
      </c>
      <c r="G320" s="97" t="s">
        <v>494</v>
      </c>
      <c r="H320" s="33"/>
      <c r="I320" s="33"/>
      <c r="J320" s="33"/>
      <c r="K320" s="33" t="s">
        <v>1236</v>
      </c>
      <c r="L320" s="41">
        <v>2722261</v>
      </c>
      <c r="M320" s="41">
        <v>5016932</v>
      </c>
    </row>
    <row r="321" spans="1:13" x14ac:dyDescent="0.25">
      <c r="A321" s="32">
        <v>792</v>
      </c>
      <c r="B321" s="87" t="str">
        <f>VLOOKUP(A321,Documentos!D:F,3,FALSE)</f>
        <v>Proposicion</v>
      </c>
      <c r="C321" s="88" t="str">
        <f>VLOOKUP(A321,Documentos!D:H,5,FALSE)</f>
        <v>DOH</v>
      </c>
      <c r="D321" s="87">
        <f>VLOOKUP(A321,Documentos!D:I,6,FALSE)</f>
        <v>760</v>
      </c>
      <c r="E321" s="7" t="s">
        <v>60</v>
      </c>
      <c r="F321" s="10" t="s">
        <v>20</v>
      </c>
      <c r="G321" s="97" t="s">
        <v>494</v>
      </c>
      <c r="H321" s="33"/>
      <c r="I321" s="33"/>
      <c r="J321" s="33"/>
      <c r="K321" s="33" t="s">
        <v>1278</v>
      </c>
      <c r="L321" s="41">
        <v>3226671</v>
      </c>
      <c r="M321" s="41">
        <v>2643211</v>
      </c>
    </row>
    <row r="322" spans="1:13" x14ac:dyDescent="0.25">
      <c r="A322" s="32">
        <v>794</v>
      </c>
      <c r="B322" s="87" t="str">
        <f>VLOOKUP(A322,Documentos!D:F,3,FALSE)</f>
        <v>Oficio_Solicitud</v>
      </c>
      <c r="C322" s="88" t="str">
        <f>VLOOKUP(A322,Documentos!D:H,5,FALSE)</f>
        <v>DOP</v>
      </c>
      <c r="D322" s="87">
        <f>VLOOKUP(A322,Documentos!D:I,6,FALSE)</f>
        <v>762</v>
      </c>
      <c r="E322" s="7" t="s">
        <v>60</v>
      </c>
      <c r="F322" s="10" t="s">
        <v>22</v>
      </c>
      <c r="G322" s="97" t="s">
        <v>494</v>
      </c>
      <c r="H322" s="33"/>
      <c r="I322" s="33"/>
      <c r="J322" s="33"/>
      <c r="K322" s="33" t="s">
        <v>1278</v>
      </c>
      <c r="L322" s="41">
        <v>39037</v>
      </c>
      <c r="M322" s="41">
        <v>4719130</v>
      </c>
    </row>
    <row r="323" spans="1:13" x14ac:dyDescent="0.25">
      <c r="A323" s="32">
        <v>795</v>
      </c>
      <c r="B323" s="87" t="str">
        <f>VLOOKUP(A323,Documentos!D:F,3,FALSE)</f>
        <v>Proposicion</v>
      </c>
      <c r="C323" s="88" t="str">
        <f>VLOOKUP(A323,Documentos!D:H,5,FALSE)</f>
        <v>DOH</v>
      </c>
      <c r="D323" s="87">
        <f>VLOOKUP(A323,Documentos!D:I,6,FALSE)</f>
        <v>763</v>
      </c>
      <c r="E323" s="7" t="s">
        <v>1258</v>
      </c>
      <c r="F323" s="10" t="s">
        <v>20</v>
      </c>
      <c r="G323" s="97" t="s">
        <v>494</v>
      </c>
      <c r="H323" s="33"/>
      <c r="I323" s="33"/>
      <c r="J323" s="33"/>
      <c r="K323" s="33" t="s">
        <v>1236</v>
      </c>
      <c r="L323" s="41">
        <v>120000</v>
      </c>
      <c r="M323" s="41">
        <v>120000</v>
      </c>
    </row>
    <row r="324" spans="1:13" x14ac:dyDescent="0.25">
      <c r="A324" s="32">
        <v>796</v>
      </c>
      <c r="B324" s="87" t="str">
        <f>VLOOKUP(A324,Documentos!D:F,3,FALSE)</f>
        <v>Proposicion</v>
      </c>
      <c r="C324" s="88" t="str">
        <f>VLOOKUP(A324,Documentos!D:H,5,FALSE)</f>
        <v>DOH_FETCovid19</v>
      </c>
      <c r="D324" s="87">
        <f>VLOOKUP(A324,Documentos!D:I,6,FALSE)</f>
        <v>765</v>
      </c>
      <c r="E324" s="7" t="s">
        <v>1258</v>
      </c>
      <c r="F324" s="10" t="s">
        <v>535</v>
      </c>
      <c r="G324" s="97" t="s">
        <v>494</v>
      </c>
      <c r="H324" s="33"/>
      <c r="I324" s="33"/>
      <c r="J324" s="33"/>
      <c r="K324" s="33" t="s">
        <v>1236</v>
      </c>
      <c r="L324" s="41">
        <v>204424</v>
      </c>
      <c r="M324" s="41">
        <v>204424</v>
      </c>
    </row>
    <row r="325" spans="1:13" x14ac:dyDescent="0.25">
      <c r="A325" s="32">
        <v>799</v>
      </c>
      <c r="B325" s="87" t="str">
        <f>VLOOKUP(A325,Documentos!D:F,3,FALSE)</f>
        <v>Proposicion</v>
      </c>
      <c r="C325" s="88" t="str">
        <f>VLOOKUP(A325,Documentos!D:H,5,FALSE)</f>
        <v>DP</v>
      </c>
      <c r="D325" s="87">
        <f>VLOOKUP(A325,Documentos!D:I,6,FALSE)</f>
        <v>767</v>
      </c>
      <c r="E325" s="7" t="s">
        <v>41</v>
      </c>
      <c r="F325" s="10" t="s">
        <v>24</v>
      </c>
      <c r="G325" s="97" t="s">
        <v>494</v>
      </c>
      <c r="H325" s="33"/>
      <c r="I325" s="33"/>
      <c r="J325" s="33"/>
      <c r="K325" s="33" t="s">
        <v>1278</v>
      </c>
      <c r="L325" s="41">
        <v>0</v>
      </c>
      <c r="M325" s="41">
        <v>29800</v>
      </c>
    </row>
    <row r="326" spans="1:13" x14ac:dyDescent="0.25">
      <c r="A326" s="32">
        <v>802</v>
      </c>
      <c r="B326" s="87" t="str">
        <f>VLOOKUP(A326,Documentos!D:F,3,FALSE)</f>
        <v>Proposicion</v>
      </c>
      <c r="C326" s="88" t="str">
        <f>VLOOKUP(A326,Documentos!D:H,5,FALSE)</f>
        <v>DA</v>
      </c>
      <c r="D326" s="87">
        <f>VLOOKUP(A326,Documentos!D:I,6,FALSE)</f>
        <v>769</v>
      </c>
      <c r="E326" s="7" t="s">
        <v>41</v>
      </c>
      <c r="F326" s="10" t="s">
        <v>8</v>
      </c>
      <c r="G326" s="97" t="s">
        <v>494</v>
      </c>
      <c r="H326" s="33"/>
      <c r="I326" s="33"/>
      <c r="J326" s="33"/>
      <c r="K326" s="33" t="s">
        <v>1236</v>
      </c>
      <c r="L326" s="41">
        <v>40327</v>
      </c>
      <c r="M326" s="41">
        <v>363504</v>
      </c>
    </row>
    <row r="327" spans="1:13" x14ac:dyDescent="0.25">
      <c r="A327" s="32">
        <v>803</v>
      </c>
      <c r="B327" s="87" t="str">
        <f>VLOOKUP(A327,Documentos!D:F,3,FALSE)</f>
        <v>Proposicion</v>
      </c>
      <c r="C327" s="88" t="str">
        <f>VLOOKUP(A327,Documentos!D:H,5,FALSE)</f>
        <v>DGC</v>
      </c>
      <c r="D327" s="87">
        <f>VLOOKUP(A327,Documentos!D:I,6,FALSE)</f>
        <v>770</v>
      </c>
      <c r="E327" s="7" t="s">
        <v>41</v>
      </c>
      <c r="F327" s="10" t="s">
        <v>16</v>
      </c>
      <c r="G327" s="97" t="s">
        <v>494</v>
      </c>
      <c r="H327" s="33"/>
      <c r="I327" s="33"/>
      <c r="J327" s="33"/>
      <c r="K327" s="33" t="s">
        <v>1278</v>
      </c>
      <c r="L327" s="41">
        <v>27072010</v>
      </c>
      <c r="M327" s="41">
        <v>25898182</v>
      </c>
    </row>
    <row r="328" spans="1:13" x14ac:dyDescent="0.25">
      <c r="A328" s="32">
        <v>807</v>
      </c>
      <c r="B328" s="87" t="str">
        <f>VLOOKUP(A328,Documentos!D:F,3,FALSE)</f>
        <v>Proposicion</v>
      </c>
      <c r="C328" s="88" t="str">
        <f>VLOOKUP(A328,Documentos!D:H,5,FALSE)</f>
        <v>APR_FETCovid19</v>
      </c>
      <c r="D328" s="87">
        <f>VLOOKUP(A328,Documentos!D:I,6,FALSE)</f>
        <v>773</v>
      </c>
      <c r="E328" s="7" t="s">
        <v>1258</v>
      </c>
      <c r="F328" s="10" t="s">
        <v>559</v>
      </c>
      <c r="G328" s="97" t="s">
        <v>494</v>
      </c>
      <c r="H328" s="33"/>
      <c r="I328" s="33"/>
      <c r="J328" s="33"/>
      <c r="K328" s="33" t="s">
        <v>1236</v>
      </c>
      <c r="L328" s="41">
        <v>162392</v>
      </c>
      <c r="M328" s="41">
        <v>162392</v>
      </c>
    </row>
    <row r="329" spans="1:13" x14ac:dyDescent="0.25">
      <c r="A329" s="32">
        <v>809</v>
      </c>
      <c r="B329" s="87" t="str">
        <f>VLOOKUP(A329,Documentos!D:F,3,FALSE)</f>
        <v>Proposicion</v>
      </c>
      <c r="C329" s="88" t="str">
        <f>VLOOKUP(A329,Documentos!D:H,5,FALSE)</f>
        <v>DOP</v>
      </c>
      <c r="D329" s="87">
        <f>VLOOKUP(A329,Documentos!D:I,6,FALSE)</f>
        <v>775</v>
      </c>
      <c r="E329" s="7" t="s">
        <v>41</v>
      </c>
      <c r="F329" s="10" t="s">
        <v>22</v>
      </c>
      <c r="G329" s="97" t="s">
        <v>494</v>
      </c>
      <c r="H329" s="33"/>
      <c r="I329" s="33"/>
      <c r="J329" s="33"/>
      <c r="K329" s="33" t="s">
        <v>1278</v>
      </c>
      <c r="L329" s="41">
        <v>3054647</v>
      </c>
      <c r="M329" s="41">
        <v>11528211</v>
      </c>
    </row>
    <row r="330" spans="1:13" x14ac:dyDescent="0.25">
      <c r="A330" s="32">
        <v>810</v>
      </c>
      <c r="B330" s="87" t="str">
        <f>VLOOKUP(A330,Documentos!D:F,3,FALSE)</f>
        <v>Proposicion</v>
      </c>
      <c r="C330" s="88" t="str">
        <f>VLOOKUP(A330,Documentos!D:H,5,FALSE)</f>
        <v>DV</v>
      </c>
      <c r="D330" s="87">
        <f>VLOOKUP(A330,Documentos!D:I,6,FALSE)</f>
        <v>776</v>
      </c>
      <c r="E330" s="7" t="s">
        <v>60</v>
      </c>
      <c r="F330" s="10" t="s">
        <v>26</v>
      </c>
      <c r="G330" s="97" t="s">
        <v>494</v>
      </c>
      <c r="H330" s="33"/>
      <c r="I330" s="33"/>
      <c r="J330" s="33"/>
      <c r="K330" s="33" t="s">
        <v>1278</v>
      </c>
      <c r="L330" s="44">
        <v>18589150</v>
      </c>
      <c r="M330" s="41"/>
    </row>
    <row r="331" spans="1:13" x14ac:dyDescent="0.25">
      <c r="A331" s="32">
        <v>811</v>
      </c>
      <c r="B331" s="87" t="str">
        <f>VLOOKUP(A331,Documentos!D:F,3,FALSE)</f>
        <v>Proposicion</v>
      </c>
      <c r="C331" s="88" t="str">
        <f>VLOOKUP(A331,Documentos!D:H,5,FALSE)</f>
        <v>APR</v>
      </c>
      <c r="D331" s="87">
        <f>VLOOKUP(A331,Documentos!D:I,6,FALSE)</f>
        <v>777</v>
      </c>
      <c r="E331" s="7" t="s">
        <v>1258</v>
      </c>
      <c r="F331" s="10" t="s">
        <v>6</v>
      </c>
      <c r="G331" s="97" t="s">
        <v>494</v>
      </c>
      <c r="H331" s="33"/>
      <c r="I331" s="33"/>
      <c r="J331" s="33"/>
      <c r="K331" s="33" t="s">
        <v>1236</v>
      </c>
      <c r="L331" s="41">
        <v>317</v>
      </c>
      <c r="M331" s="41">
        <v>317</v>
      </c>
    </row>
    <row r="332" spans="1:13" x14ac:dyDescent="0.25">
      <c r="A332" s="32">
        <v>817</v>
      </c>
      <c r="B332" s="87" t="str">
        <f>VLOOKUP(A332,Documentos!D:F,3,FALSE)</f>
        <v>Oficio_Solicitud</v>
      </c>
      <c r="C332" s="88" t="str">
        <f>VLOOKUP(A332,Documentos!D:H,5,FALSE)</f>
        <v>DOP</v>
      </c>
      <c r="D332" s="87">
        <f>VLOOKUP(A332,Documentos!D:I,6,FALSE)</f>
        <v>782</v>
      </c>
      <c r="E332" s="7" t="s">
        <v>41</v>
      </c>
      <c r="F332" s="10" t="s">
        <v>22</v>
      </c>
      <c r="G332" s="97" t="s">
        <v>494</v>
      </c>
      <c r="H332" s="33"/>
      <c r="I332" s="33"/>
      <c r="J332" s="33"/>
      <c r="K332" s="33" t="s">
        <v>1278</v>
      </c>
      <c r="L332" s="41">
        <v>3054647</v>
      </c>
      <c r="M332" s="41">
        <v>11528211</v>
      </c>
    </row>
    <row r="333" spans="1:13" x14ac:dyDescent="0.25">
      <c r="A333" s="32">
        <v>818</v>
      </c>
      <c r="B333" s="87" t="str">
        <f>VLOOKUP(A333,Documentos!D:F,3,FALSE)</f>
        <v>Proposicion</v>
      </c>
      <c r="C333" s="88" t="str">
        <f>VLOOKUP(A333,Documentos!D:H,5,FALSE)</f>
        <v>DOH</v>
      </c>
      <c r="D333" s="87">
        <f>VLOOKUP(A333,Documentos!D:I,6,FALSE)</f>
        <v>782</v>
      </c>
      <c r="E333" s="7" t="s">
        <v>60</v>
      </c>
      <c r="F333" s="10" t="s">
        <v>20</v>
      </c>
      <c r="G333" s="97" t="s">
        <v>494</v>
      </c>
      <c r="H333" s="33"/>
      <c r="I333" s="33"/>
      <c r="J333" s="33"/>
      <c r="K333" s="33" t="s">
        <v>1278</v>
      </c>
      <c r="L333" s="41">
        <v>45</v>
      </c>
      <c r="M333" s="41"/>
    </row>
    <row r="334" spans="1:13" x14ac:dyDescent="0.25">
      <c r="A334" s="32">
        <v>819</v>
      </c>
      <c r="B334" s="87" t="str">
        <f>VLOOKUP(A334,Documentos!D:F,3,FALSE)</f>
        <v>Oficio_Solicitud</v>
      </c>
      <c r="C334" s="88" t="str">
        <f>VLOOKUP(A334,Documentos!D:H,5,FALSE)</f>
        <v>DOP_FETCovid19</v>
      </c>
      <c r="D334" s="87">
        <f>VLOOKUP(A334,Documentos!D:I,6,FALSE)</f>
        <v>783</v>
      </c>
      <c r="E334" s="7" t="s">
        <v>41</v>
      </c>
      <c r="F334" s="10" t="s">
        <v>541</v>
      </c>
      <c r="G334" s="97" t="s">
        <v>494</v>
      </c>
      <c r="H334" s="33"/>
      <c r="I334" s="33"/>
      <c r="J334" s="33"/>
      <c r="K334" s="33" t="s">
        <v>1236</v>
      </c>
      <c r="L334" s="41">
        <v>73781</v>
      </c>
      <c r="M334" s="41">
        <v>2584201</v>
      </c>
    </row>
    <row r="335" spans="1:13" x14ac:dyDescent="0.25">
      <c r="A335" s="32">
        <v>822</v>
      </c>
      <c r="B335" s="87" t="str">
        <f>VLOOKUP(A335,Documentos!D:F,3,FALSE)</f>
        <v>Proposicion</v>
      </c>
      <c r="C335" s="88" t="str">
        <f>VLOOKUP(A335,Documentos!D:H,5,FALSE)</f>
        <v>DV_FETCovid19</v>
      </c>
      <c r="D335" s="87">
        <f>VLOOKUP(A335,Documentos!D:I,6,FALSE)</f>
        <v>784</v>
      </c>
      <c r="E335" s="7" t="s">
        <v>41</v>
      </c>
      <c r="F335" s="10" t="s">
        <v>538</v>
      </c>
      <c r="G335" s="97" t="s">
        <v>494</v>
      </c>
      <c r="H335" s="33"/>
      <c r="I335" s="33"/>
      <c r="J335" s="33"/>
      <c r="K335" s="33" t="s">
        <v>1278</v>
      </c>
      <c r="L335" s="41">
        <v>40683793</v>
      </c>
      <c r="M335" s="41">
        <v>0</v>
      </c>
    </row>
    <row r="336" spans="1:13" x14ac:dyDescent="0.25">
      <c r="A336" s="32">
        <v>826</v>
      </c>
      <c r="B336" s="87" t="str">
        <f>VLOOKUP(A336,Documentos!D:F,3,FALSE)</f>
        <v>Proposicion</v>
      </c>
      <c r="C336" s="88" t="str">
        <f>VLOOKUP(A336,Documentos!D:H,5,FALSE)</f>
        <v>DAP</v>
      </c>
      <c r="D336" s="87">
        <f>VLOOKUP(A336,Documentos!D:I,6,FALSE)</f>
        <v>789</v>
      </c>
      <c r="E336" s="7" t="s">
        <v>1258</v>
      </c>
      <c r="F336" s="10" t="s">
        <v>10</v>
      </c>
      <c r="G336" s="97" t="s">
        <v>494</v>
      </c>
      <c r="H336" s="33"/>
      <c r="I336" s="33"/>
      <c r="J336" s="33"/>
      <c r="K336" s="33" t="s">
        <v>1236</v>
      </c>
      <c r="L336" s="41">
        <v>117710</v>
      </c>
      <c r="M336" s="41">
        <v>117710</v>
      </c>
    </row>
    <row r="337" spans="1:13" x14ac:dyDescent="0.25">
      <c r="A337" s="32">
        <v>829</v>
      </c>
      <c r="B337" s="87" t="str">
        <f>VLOOKUP(A337,Documentos!D:F,3,FALSE)</f>
        <v>Proposicion</v>
      </c>
      <c r="C337" s="88" t="str">
        <f>VLOOKUP(A337,Documentos!D:H,5,FALSE)</f>
        <v>DAP_FETCovid19</v>
      </c>
      <c r="D337" s="87">
        <f>VLOOKUP(A337,Documentos!D:I,6,FALSE)</f>
        <v>792</v>
      </c>
      <c r="E337" s="7" t="s">
        <v>1258</v>
      </c>
      <c r="F337" s="10" t="s">
        <v>544</v>
      </c>
      <c r="G337" s="97" t="s">
        <v>494</v>
      </c>
      <c r="H337" s="33"/>
      <c r="I337" s="33"/>
      <c r="J337" s="33"/>
      <c r="K337" s="33" t="s">
        <v>1236</v>
      </c>
      <c r="L337" s="41">
        <v>187594</v>
      </c>
      <c r="M337" s="41">
        <v>187594</v>
      </c>
    </row>
    <row r="338" spans="1:13" x14ac:dyDescent="0.25">
      <c r="A338" s="32">
        <v>830</v>
      </c>
      <c r="B338" s="87" t="str">
        <f>VLOOKUP(A338,Documentos!D:F,3,FALSE)</f>
        <v>Proposicion</v>
      </c>
      <c r="C338" s="88" t="str">
        <f>VLOOKUP(A338,Documentos!D:H,5,FALSE)</f>
        <v>DV_FETCovid19</v>
      </c>
      <c r="D338" s="87">
        <f>VLOOKUP(A338,Documentos!D:I,6,FALSE)</f>
        <v>794</v>
      </c>
      <c r="E338" s="7" t="s">
        <v>1258</v>
      </c>
      <c r="F338" s="10" t="s">
        <v>538</v>
      </c>
      <c r="G338" s="97" t="s">
        <v>494</v>
      </c>
      <c r="H338" s="33"/>
      <c r="I338" s="33"/>
      <c r="J338" s="33"/>
      <c r="K338" s="33" t="s">
        <v>1236</v>
      </c>
      <c r="L338" s="41">
        <v>298422</v>
      </c>
      <c r="M338" s="41">
        <v>298422</v>
      </c>
    </row>
    <row r="339" spans="1:13" x14ac:dyDescent="0.25">
      <c r="A339" s="32">
        <v>831</v>
      </c>
      <c r="B339" s="87" t="str">
        <f>VLOOKUP(A339,Documentos!D:F,3,FALSE)</f>
        <v>Proposicion</v>
      </c>
      <c r="C339" s="88" t="str">
        <f>VLOOKUP(A339,Documentos!D:H,5,FALSE)</f>
        <v>DV</v>
      </c>
      <c r="D339" s="87">
        <f>VLOOKUP(A339,Documentos!D:I,6,FALSE)</f>
        <v>795</v>
      </c>
      <c r="E339" s="7" t="s">
        <v>1258</v>
      </c>
      <c r="F339" s="10" t="s">
        <v>26</v>
      </c>
      <c r="G339" s="97" t="s">
        <v>494</v>
      </c>
      <c r="H339" s="33"/>
      <c r="I339" s="33"/>
      <c r="J339" s="33"/>
      <c r="K339" s="33" t="s">
        <v>1236</v>
      </c>
      <c r="L339" s="41">
        <v>1054521</v>
      </c>
      <c r="M339" s="41">
        <v>1054521</v>
      </c>
    </row>
    <row r="340" spans="1:13" x14ac:dyDescent="0.25">
      <c r="A340" s="32">
        <v>833</v>
      </c>
      <c r="B340" s="87" t="str">
        <f>VLOOKUP(A340,Documentos!D:F,3,FALSE)</f>
        <v>Proposicion</v>
      </c>
      <c r="C340" s="88" t="str">
        <f>VLOOKUP(A340,Documentos!D:H,5,FALSE)</f>
        <v>DOH</v>
      </c>
      <c r="D340" s="87">
        <f>VLOOKUP(A340,Documentos!D:I,6,FALSE)</f>
        <v>799</v>
      </c>
      <c r="E340" s="7" t="s">
        <v>1258</v>
      </c>
      <c r="F340" s="10" t="s">
        <v>20</v>
      </c>
      <c r="G340" s="97" t="s">
        <v>494</v>
      </c>
      <c r="H340" s="33"/>
      <c r="I340" s="33"/>
      <c r="J340" s="33"/>
      <c r="K340" s="33" t="s">
        <v>1236</v>
      </c>
      <c r="L340" s="41">
        <v>19311</v>
      </c>
      <c r="M340" s="41">
        <v>19311</v>
      </c>
    </row>
    <row r="341" spans="1:13" x14ac:dyDescent="0.25">
      <c r="A341" s="32">
        <v>837</v>
      </c>
      <c r="B341" s="87" t="str">
        <f>VLOOKUP(A341,Documentos!D:F,3,FALSE)</f>
        <v>Proposicion</v>
      </c>
      <c r="C341" s="88" t="str">
        <f>VLOOKUP(A341,Documentos!D:H,5,FALSE)</f>
        <v>DAP</v>
      </c>
      <c r="D341" s="87">
        <f>VLOOKUP(A341,Documentos!D:I,6,FALSE)</f>
        <v>802</v>
      </c>
      <c r="E341" s="7" t="s">
        <v>43</v>
      </c>
      <c r="F341" s="10" t="s">
        <v>10</v>
      </c>
      <c r="G341" s="97" t="s">
        <v>494</v>
      </c>
      <c r="H341" s="33"/>
      <c r="I341" s="33"/>
      <c r="J341" s="33"/>
      <c r="K341" s="33" t="s">
        <v>1236</v>
      </c>
      <c r="L341" s="41">
        <v>52847376</v>
      </c>
      <c r="M341" s="41">
        <v>0</v>
      </c>
    </row>
    <row r="342" spans="1:13" x14ac:dyDescent="0.25">
      <c r="A342" s="32">
        <v>838</v>
      </c>
      <c r="B342" s="87" t="str">
        <f>VLOOKUP(A342,Documentos!D:F,3,FALSE)</f>
        <v>Proposicion</v>
      </c>
      <c r="C342" s="88" t="str">
        <f>VLOOKUP(A342,Documentos!D:H,5,FALSE)</f>
        <v>APR</v>
      </c>
      <c r="D342" s="87">
        <f>VLOOKUP(A342,Documentos!D:I,6,FALSE)</f>
        <v>802</v>
      </c>
      <c r="E342" s="7" t="s">
        <v>1258</v>
      </c>
      <c r="F342" s="10" t="s">
        <v>6</v>
      </c>
      <c r="G342" s="97" t="s">
        <v>494</v>
      </c>
      <c r="H342" s="33"/>
      <c r="I342" s="33"/>
      <c r="J342" s="33"/>
      <c r="K342" s="33" t="s">
        <v>1236</v>
      </c>
      <c r="L342" s="41">
        <v>4249</v>
      </c>
      <c r="M342" s="41">
        <v>4249</v>
      </c>
    </row>
    <row r="343" spans="1:13" x14ac:dyDescent="0.25">
      <c r="A343" s="32">
        <v>839</v>
      </c>
      <c r="B343" s="87" t="str">
        <f>VLOOKUP(A343,Documentos!D:F,3,FALSE)</f>
        <v>Proposicion</v>
      </c>
      <c r="C343" s="88" t="str">
        <f>VLOOKUP(A343,Documentos!D:H,5,FALSE)</f>
        <v>DAP</v>
      </c>
      <c r="D343" s="87">
        <f>VLOOKUP(A343,Documentos!D:I,6,FALSE)</f>
        <v>803</v>
      </c>
      <c r="E343" s="7" t="s">
        <v>43</v>
      </c>
      <c r="F343" s="10" t="s">
        <v>10</v>
      </c>
      <c r="G343" s="97" t="s">
        <v>494</v>
      </c>
      <c r="H343" s="33"/>
      <c r="I343" s="33"/>
      <c r="J343" s="33"/>
      <c r="K343" s="33" t="s">
        <v>1278</v>
      </c>
      <c r="L343" s="41">
        <v>278328</v>
      </c>
      <c r="M343" s="41">
        <v>0</v>
      </c>
    </row>
    <row r="344" spans="1:13" x14ac:dyDescent="0.25">
      <c r="A344" s="32">
        <v>840</v>
      </c>
      <c r="B344" s="87" t="str">
        <f>VLOOKUP(A344,Documentos!D:F,3,FALSE)</f>
        <v>Proposicion</v>
      </c>
      <c r="C344" s="88" t="str">
        <f>VLOOKUP(A344,Documentos!D:H,5,FALSE)</f>
        <v>DP</v>
      </c>
      <c r="D344" s="87">
        <f>VLOOKUP(A344,Documentos!D:I,6,FALSE)</f>
        <v>804</v>
      </c>
      <c r="E344" s="7" t="s">
        <v>43</v>
      </c>
      <c r="F344" s="10" t="s">
        <v>24</v>
      </c>
      <c r="G344" s="97" t="s">
        <v>494</v>
      </c>
      <c r="H344" s="33"/>
      <c r="I344" s="33"/>
      <c r="J344" s="33"/>
      <c r="K344" s="33" t="s">
        <v>1282</v>
      </c>
      <c r="L344" s="41">
        <v>60300</v>
      </c>
      <c r="M344" s="41">
        <v>0</v>
      </c>
    </row>
    <row r="345" spans="1:13" x14ac:dyDescent="0.25">
      <c r="A345" s="32">
        <v>841</v>
      </c>
      <c r="B345" s="87" t="str">
        <f>VLOOKUP(A345,Documentos!D:F,3,FALSE)</f>
        <v>Proposicion</v>
      </c>
      <c r="C345" s="88" t="str">
        <f>VLOOKUP(A345,Documentos!D:H,5,FALSE)</f>
        <v>DGOP</v>
      </c>
      <c r="D345" s="87">
        <f>VLOOKUP(A345,Documentos!D:I,6,FALSE)</f>
        <v>805</v>
      </c>
      <c r="E345" s="7" t="s">
        <v>43</v>
      </c>
      <c r="F345" s="10" t="s">
        <v>18</v>
      </c>
      <c r="G345" s="97" t="s">
        <v>494</v>
      </c>
      <c r="H345" s="33"/>
      <c r="I345" s="33"/>
      <c r="J345" s="33"/>
      <c r="K345" s="33" t="s">
        <v>1236</v>
      </c>
      <c r="L345" s="41">
        <v>6540</v>
      </c>
      <c r="M345" s="41"/>
    </row>
    <row r="346" spans="1:13" x14ac:dyDescent="0.25">
      <c r="A346" s="32">
        <v>842</v>
      </c>
      <c r="B346" s="87" t="str">
        <f>VLOOKUP(A346,Documentos!D:F,3,FALSE)</f>
        <v>Proposicion</v>
      </c>
      <c r="C346" s="88" t="str">
        <f>VLOOKUP(A346,Documentos!D:H,5,FALSE)</f>
        <v>DAP_FETCovid19</v>
      </c>
      <c r="D346" s="87">
        <f>VLOOKUP(A346,Documentos!D:I,6,FALSE)</f>
        <v>807</v>
      </c>
      <c r="E346" s="7" t="s">
        <v>43</v>
      </c>
      <c r="F346" s="10" t="s">
        <v>544</v>
      </c>
      <c r="G346" s="97" t="s">
        <v>494</v>
      </c>
      <c r="H346" s="33"/>
      <c r="I346" s="33"/>
      <c r="J346" s="33"/>
      <c r="K346" s="33" t="s">
        <v>1282</v>
      </c>
      <c r="L346" s="41">
        <v>44885907</v>
      </c>
      <c r="M346" s="41">
        <v>0</v>
      </c>
    </row>
    <row r="347" spans="1:13" x14ac:dyDescent="0.25">
      <c r="A347" s="32">
        <v>843</v>
      </c>
      <c r="B347" s="87" t="str">
        <f>VLOOKUP(A347,Documentos!D:F,3,FALSE)</f>
        <v>Proposicion</v>
      </c>
      <c r="C347" s="88" t="str">
        <f>VLOOKUP(A347,Documentos!D:H,5,FALSE)</f>
        <v>DAP_FETCovid19</v>
      </c>
      <c r="D347" s="87">
        <f>VLOOKUP(A347,Documentos!D:I,6,FALSE)</f>
        <v>807</v>
      </c>
      <c r="E347" s="7" t="s">
        <v>43</v>
      </c>
      <c r="F347" s="10" t="s">
        <v>544</v>
      </c>
      <c r="G347" s="97" t="s">
        <v>494</v>
      </c>
      <c r="H347" s="33"/>
      <c r="I347" s="33"/>
      <c r="J347" s="33"/>
      <c r="K347" s="33" t="s">
        <v>1236</v>
      </c>
      <c r="L347" s="41">
        <v>44885907</v>
      </c>
      <c r="M347" s="41">
        <v>0</v>
      </c>
    </row>
    <row r="348" spans="1:13" x14ac:dyDescent="0.25">
      <c r="A348" s="32">
        <v>844</v>
      </c>
      <c r="B348" s="87" t="str">
        <f>VLOOKUP(A348,Documentos!D:F,3,FALSE)</f>
        <v>Proposicion</v>
      </c>
      <c r="C348" s="88" t="str">
        <f>VLOOKUP(A348,Documentos!D:H,5,FALSE)</f>
        <v>DAP</v>
      </c>
      <c r="D348" s="87">
        <f>VLOOKUP(A348,Documentos!D:I,6,FALSE)</f>
        <v>807</v>
      </c>
      <c r="E348" s="7" t="s">
        <v>43</v>
      </c>
      <c r="F348" s="10" t="s">
        <v>10</v>
      </c>
      <c r="G348" s="97" t="s">
        <v>494</v>
      </c>
      <c r="H348" s="33"/>
      <c r="I348" s="33"/>
      <c r="J348" s="33"/>
      <c r="K348" s="33" t="s">
        <v>1278</v>
      </c>
      <c r="L348" s="41">
        <v>30</v>
      </c>
      <c r="M348" s="41"/>
    </row>
    <row r="349" spans="1:13" x14ac:dyDescent="0.25">
      <c r="A349" s="32">
        <v>846</v>
      </c>
      <c r="B349" s="87" t="str">
        <f>VLOOKUP(A349,Documentos!D:F,3,FALSE)</f>
        <v>Proposicion</v>
      </c>
      <c r="C349" s="88" t="str">
        <f>VLOOKUP(A349,Documentos!D:H,5,FALSE)</f>
        <v>DP</v>
      </c>
      <c r="D349" s="87">
        <f>VLOOKUP(A349,Documentos!D:I,6,FALSE)</f>
        <v>819</v>
      </c>
      <c r="E349" s="7" t="s">
        <v>43</v>
      </c>
      <c r="F349" s="10" t="s">
        <v>24</v>
      </c>
      <c r="G349" s="97" t="s">
        <v>494</v>
      </c>
      <c r="H349" s="33"/>
      <c r="I349" s="33"/>
      <c r="J349" s="33"/>
      <c r="K349" s="33" t="s">
        <v>1278</v>
      </c>
      <c r="L349" s="41">
        <v>60200</v>
      </c>
      <c r="M349" s="41">
        <v>0</v>
      </c>
    </row>
    <row r="350" spans="1:13" x14ac:dyDescent="0.25">
      <c r="A350" s="32">
        <v>850</v>
      </c>
      <c r="B350" s="87" t="str">
        <f>VLOOKUP(A350,Documentos!D:F,3,FALSE)</f>
        <v>Proposicion</v>
      </c>
      <c r="C350" s="88" t="str">
        <f>VLOOKUP(A350,Documentos!D:H,5,FALSE)</f>
        <v>DGOP</v>
      </c>
      <c r="D350" s="87">
        <f>VLOOKUP(A350,Documentos!D:I,6,FALSE)</f>
        <v>824</v>
      </c>
      <c r="E350" s="7" t="s">
        <v>43</v>
      </c>
      <c r="F350" s="10" t="s">
        <v>18</v>
      </c>
      <c r="G350" s="97" t="s">
        <v>494</v>
      </c>
      <c r="H350" s="33"/>
      <c r="I350" s="33"/>
      <c r="J350" s="33"/>
      <c r="K350" s="33" t="s">
        <v>1236</v>
      </c>
      <c r="L350" s="41">
        <v>35186</v>
      </c>
      <c r="M350" s="41"/>
    </row>
    <row r="351" spans="1:13" x14ac:dyDescent="0.25">
      <c r="A351" s="32">
        <v>851</v>
      </c>
      <c r="B351" s="87" t="str">
        <f>VLOOKUP(A351,Documentos!D:F,3,FALSE)</f>
        <v>Oficio_Solicitud</v>
      </c>
      <c r="C351" s="88" t="str">
        <f>VLOOKUP(A351,Documentos!D:H,5,FALSE)</f>
        <v>DGC</v>
      </c>
      <c r="D351" s="87">
        <f>VLOOKUP(A351,Documentos!D:I,6,FALSE)</f>
        <v>827</v>
      </c>
      <c r="E351" s="7" t="s">
        <v>60</v>
      </c>
      <c r="F351" s="10" t="s">
        <v>16</v>
      </c>
      <c r="G351" s="97" t="s">
        <v>494</v>
      </c>
      <c r="H351" s="33"/>
      <c r="I351" s="33"/>
      <c r="J351" s="33"/>
      <c r="K351" s="33" t="s">
        <v>1278</v>
      </c>
      <c r="L351" s="41">
        <v>36622</v>
      </c>
      <c r="M351" s="41">
        <v>39750</v>
      </c>
    </row>
    <row r="352" spans="1:13" x14ac:dyDescent="0.25">
      <c r="A352" s="32">
        <v>852</v>
      </c>
      <c r="B352" s="87" t="str">
        <f>VLOOKUP(A352,Documentos!D:F,3,FALSE)</f>
        <v>Proposicion</v>
      </c>
      <c r="C352" s="88" t="str">
        <f>VLOOKUP(A352,Documentos!D:H,5,FALSE)</f>
        <v>DOP_FETCovid19</v>
      </c>
      <c r="D352" s="87">
        <f>VLOOKUP(A352,Documentos!D:I,6,FALSE)</f>
        <v>827</v>
      </c>
      <c r="E352" s="7" t="s">
        <v>43</v>
      </c>
      <c r="F352" s="10" t="s">
        <v>541</v>
      </c>
      <c r="G352" s="97" t="s">
        <v>494</v>
      </c>
      <c r="H352" s="33"/>
      <c r="I352" s="33"/>
      <c r="J352" s="33"/>
      <c r="K352" s="33" t="s">
        <v>1236</v>
      </c>
      <c r="L352" s="41">
        <v>4875287</v>
      </c>
      <c r="M352" s="41">
        <v>0</v>
      </c>
    </row>
    <row r="353" spans="1:13" x14ac:dyDescent="0.25">
      <c r="A353" s="32">
        <v>855</v>
      </c>
      <c r="B353" s="87" t="str">
        <f>VLOOKUP(A353,Documentos!D:F,3,FALSE)</f>
        <v>Proposicion</v>
      </c>
      <c r="C353" s="88" t="str">
        <f>VLOOKUP(A353,Documentos!D:H,5,FALSE)</f>
        <v>DOP</v>
      </c>
      <c r="D353" s="87">
        <f>VLOOKUP(A353,Documentos!D:I,6,FALSE)</f>
        <v>834</v>
      </c>
      <c r="E353" s="7" t="s">
        <v>43</v>
      </c>
      <c r="F353" s="10" t="s">
        <v>22</v>
      </c>
      <c r="G353" s="97" t="s">
        <v>494</v>
      </c>
      <c r="H353" s="33"/>
      <c r="I353" s="33"/>
      <c r="J353" s="33"/>
      <c r="K353" s="33" t="s">
        <v>1278</v>
      </c>
      <c r="L353" s="41">
        <v>65263785</v>
      </c>
      <c r="M353" s="41"/>
    </row>
    <row r="354" spans="1:13" x14ac:dyDescent="0.25">
      <c r="A354" s="32">
        <v>857</v>
      </c>
      <c r="B354" s="87" t="str">
        <f>VLOOKUP(A354,Documentos!D:F,3,FALSE)</f>
        <v>Proposicion</v>
      </c>
      <c r="C354" s="88" t="str">
        <f>VLOOKUP(A354,Documentos!D:H,5,FALSE)</f>
        <v>DOP_FETCovid19</v>
      </c>
      <c r="D354" s="87">
        <f>VLOOKUP(A354,Documentos!D:I,6,FALSE)</f>
        <v>835</v>
      </c>
      <c r="E354" s="7" t="s">
        <v>43</v>
      </c>
      <c r="F354" s="10" t="s">
        <v>541</v>
      </c>
      <c r="G354" s="97" t="s">
        <v>494</v>
      </c>
      <c r="H354" s="33"/>
      <c r="I354" s="33"/>
      <c r="J354" s="33"/>
      <c r="K354" s="33" t="s">
        <v>1282</v>
      </c>
      <c r="L354" s="41">
        <v>16200797</v>
      </c>
      <c r="M354" s="41"/>
    </row>
    <row r="355" spans="1:13" x14ac:dyDescent="0.25">
      <c r="A355" s="32">
        <v>860</v>
      </c>
      <c r="B355" s="87" t="str">
        <f>VLOOKUP(A355,Documentos!D:F,3,FALSE)</f>
        <v>Proposicion</v>
      </c>
      <c r="C355" s="88" t="str">
        <f>VLOOKUP(A355,Documentos!D:H,5,FALSE)</f>
        <v>DAP</v>
      </c>
      <c r="D355" s="87">
        <f>VLOOKUP(A355,Documentos!D:I,6,FALSE)</f>
        <v>836</v>
      </c>
      <c r="E355" s="7" t="s">
        <v>43</v>
      </c>
      <c r="F355" s="10" t="s">
        <v>10</v>
      </c>
      <c r="G355" s="97" t="s">
        <v>494</v>
      </c>
      <c r="H355" s="33"/>
      <c r="I355" s="33"/>
      <c r="J355" s="33"/>
      <c r="K355" s="33" t="s">
        <v>1278</v>
      </c>
      <c r="L355" s="41">
        <v>10194276</v>
      </c>
      <c r="M355" s="41">
        <v>0</v>
      </c>
    </row>
    <row r="356" spans="1:13" x14ac:dyDescent="0.25">
      <c r="A356" s="32">
        <v>861</v>
      </c>
      <c r="B356" s="87" t="str">
        <f>VLOOKUP(A356,Documentos!D:F,3,FALSE)</f>
        <v>Proposicion</v>
      </c>
      <c r="C356" s="88" t="str">
        <f>VLOOKUP(A356,Documentos!D:H,5,FALSE)</f>
        <v>DGA_FETCovid19</v>
      </c>
      <c r="D356" s="87">
        <f>VLOOKUP(A356,Documentos!D:I,6,FALSE)</f>
        <v>838</v>
      </c>
      <c r="E356" s="7" t="s">
        <v>43</v>
      </c>
      <c r="F356" s="10" t="s">
        <v>565</v>
      </c>
      <c r="G356" s="97" t="s">
        <v>494</v>
      </c>
      <c r="H356" s="33"/>
      <c r="I356" s="33"/>
      <c r="J356" s="33"/>
      <c r="K356" s="33" t="s">
        <v>1282</v>
      </c>
      <c r="L356" s="41">
        <v>1675955</v>
      </c>
      <c r="M356" s="41">
        <v>0</v>
      </c>
    </row>
    <row r="357" spans="1:13" x14ac:dyDescent="0.25">
      <c r="A357" s="32">
        <v>863</v>
      </c>
      <c r="B357" s="87" t="str">
        <f>VLOOKUP(A357,Documentos!D:F,3,FALSE)</f>
        <v>Proposicion</v>
      </c>
      <c r="C357" s="88" t="str">
        <f>VLOOKUP(A357,Documentos!D:H,5,FALSE)</f>
        <v>DGA</v>
      </c>
      <c r="D357" s="87">
        <f>VLOOKUP(A357,Documentos!D:I,6,FALSE)</f>
        <v>839</v>
      </c>
      <c r="E357" s="7" t="s">
        <v>43</v>
      </c>
      <c r="F357" s="10" t="s">
        <v>14</v>
      </c>
      <c r="G357" s="97" t="s">
        <v>494</v>
      </c>
      <c r="H357" s="33"/>
      <c r="I357" s="33"/>
      <c r="J357" s="33"/>
      <c r="K357" s="33" t="s">
        <v>1236</v>
      </c>
      <c r="L357" s="41">
        <v>458911</v>
      </c>
      <c r="M357" s="41">
        <v>0</v>
      </c>
    </row>
    <row r="358" spans="1:13" x14ac:dyDescent="0.25">
      <c r="A358" s="32">
        <v>865</v>
      </c>
      <c r="B358" s="87" t="str">
        <f>VLOOKUP(A358,Documentos!D:F,3,FALSE)</f>
        <v>Proposicion</v>
      </c>
      <c r="C358" s="88" t="str">
        <f>VLOOKUP(A358,Documentos!D:H,5,FALSE)</f>
        <v>DOP</v>
      </c>
      <c r="D358" s="87">
        <f>VLOOKUP(A358,Documentos!D:I,6,FALSE)</f>
        <v>840</v>
      </c>
      <c r="E358" s="7" t="s">
        <v>43</v>
      </c>
      <c r="F358" s="10" t="s">
        <v>22</v>
      </c>
      <c r="G358" s="97" t="s">
        <v>494</v>
      </c>
      <c r="H358" s="33"/>
      <c r="I358" s="33"/>
      <c r="J358" s="33"/>
      <c r="K358" s="33" t="s">
        <v>1236</v>
      </c>
      <c r="L358" s="41">
        <v>6408853</v>
      </c>
      <c r="M358" s="41"/>
    </row>
    <row r="359" spans="1:13" x14ac:dyDescent="0.25">
      <c r="A359" s="32">
        <v>866</v>
      </c>
      <c r="B359" s="87" t="str">
        <f>VLOOKUP(A359,Documentos!D:F,3,FALSE)</f>
        <v>Proposicion</v>
      </c>
      <c r="C359" s="88" t="str">
        <f>VLOOKUP(A359,Documentos!D:H,5,FALSE)</f>
        <v>DAP_FETCovid19</v>
      </c>
      <c r="D359" s="87">
        <f>VLOOKUP(A359,Documentos!D:I,6,FALSE)</f>
        <v>845</v>
      </c>
      <c r="E359" s="7" t="s">
        <v>43</v>
      </c>
      <c r="F359" s="10" t="s">
        <v>544</v>
      </c>
      <c r="G359" s="97" t="s">
        <v>494</v>
      </c>
      <c r="H359" s="33"/>
      <c r="I359" s="33"/>
      <c r="J359" s="33"/>
      <c r="K359" s="33" t="s">
        <v>1278</v>
      </c>
      <c r="L359" s="41">
        <v>9557030</v>
      </c>
      <c r="M359" s="41">
        <v>0</v>
      </c>
    </row>
    <row r="360" spans="1:13" x14ac:dyDescent="0.25">
      <c r="A360" s="32">
        <v>867</v>
      </c>
      <c r="B360" s="87" t="str">
        <f>VLOOKUP(A360,Documentos!D:F,3,FALSE)</f>
        <v>Proposicion</v>
      </c>
      <c r="C360" s="88" t="str">
        <f>VLOOKUP(A360,Documentos!D:H,5,FALSE)</f>
        <v>APR_FETCovid19</v>
      </c>
      <c r="D360" s="87">
        <f>VLOOKUP(A360,Documentos!D:I,6,FALSE)</f>
        <v>847</v>
      </c>
      <c r="E360" s="7" t="s">
        <v>43</v>
      </c>
      <c r="F360" s="10" t="s">
        <v>559</v>
      </c>
      <c r="G360" s="97" t="s">
        <v>494</v>
      </c>
      <c r="H360" s="33"/>
      <c r="I360" s="33"/>
      <c r="J360" s="33"/>
      <c r="K360" s="33" t="s">
        <v>1236</v>
      </c>
      <c r="L360" s="41">
        <v>58023307</v>
      </c>
      <c r="M360" s="41">
        <v>0</v>
      </c>
    </row>
    <row r="361" spans="1:13" x14ac:dyDescent="0.25">
      <c r="A361" s="32">
        <v>868</v>
      </c>
      <c r="B361" s="87" t="str">
        <f>VLOOKUP(A361,Documentos!D:F,3,FALSE)</f>
        <v>Proposicion</v>
      </c>
      <c r="C361" s="88" t="str">
        <f>VLOOKUP(A361,Documentos!D:H,5,FALSE)</f>
        <v>DGC_FETCovid19</v>
      </c>
      <c r="D361" s="87">
        <f>VLOOKUP(A361,Documentos!D:I,6,FALSE)</f>
        <v>848</v>
      </c>
      <c r="E361" s="7" t="s">
        <v>57</v>
      </c>
      <c r="F361" s="10" t="s">
        <v>562</v>
      </c>
      <c r="G361" s="97" t="s">
        <v>494</v>
      </c>
      <c r="H361" s="33"/>
      <c r="I361" s="33"/>
      <c r="J361" s="33"/>
      <c r="K361" s="33" t="s">
        <v>1278</v>
      </c>
      <c r="L361" s="41">
        <v>11772901</v>
      </c>
      <c r="M361" s="41">
        <v>0</v>
      </c>
    </row>
    <row r="362" spans="1:13" x14ac:dyDescent="0.25">
      <c r="A362" s="32">
        <v>869</v>
      </c>
      <c r="B362" s="87" t="str">
        <f>VLOOKUP(A362,Documentos!D:F,3,FALSE)</f>
        <v>Proposicion</v>
      </c>
      <c r="C362" s="88" t="str">
        <f>VLOOKUP(A362,Documentos!D:H,5,FALSE)</f>
        <v>DGC</v>
      </c>
      <c r="D362" s="87">
        <f>VLOOKUP(A362,Documentos!D:I,6,FALSE)</f>
        <v>848</v>
      </c>
      <c r="E362" s="7" t="s">
        <v>57</v>
      </c>
      <c r="F362" s="10" t="s">
        <v>16</v>
      </c>
      <c r="G362" s="97" t="s">
        <v>494</v>
      </c>
      <c r="H362" s="33"/>
      <c r="I362" s="33"/>
      <c r="J362" s="33"/>
      <c r="K362" s="33" t="s">
        <v>1282</v>
      </c>
      <c r="L362" s="41">
        <v>10</v>
      </c>
      <c r="M362" s="41">
        <v>0</v>
      </c>
    </row>
    <row r="363" spans="1:13" x14ac:dyDescent="0.25">
      <c r="A363" s="32">
        <v>873</v>
      </c>
      <c r="B363" s="87" t="str">
        <f>VLOOKUP(A363,Documentos!D:F,3,FALSE)</f>
        <v>Proposicion</v>
      </c>
      <c r="C363" s="88" t="str">
        <f>VLOOKUP(A363,Documentos!D:H,5,FALSE)</f>
        <v>DGA</v>
      </c>
      <c r="D363" s="87">
        <f>VLOOKUP(A363,Documentos!D:I,6,FALSE)</f>
        <v>856</v>
      </c>
      <c r="E363" s="7" t="s">
        <v>43</v>
      </c>
      <c r="F363" s="10" t="s">
        <v>14</v>
      </c>
      <c r="G363" s="97" t="s">
        <v>494</v>
      </c>
      <c r="H363" s="33"/>
      <c r="I363" s="33"/>
      <c r="J363" s="33"/>
      <c r="K363" s="33" t="s">
        <v>1282</v>
      </c>
      <c r="L363" s="41">
        <v>6014780</v>
      </c>
      <c r="M363" s="41">
        <v>0</v>
      </c>
    </row>
    <row r="364" spans="1:13" x14ac:dyDescent="0.25">
      <c r="A364" s="32">
        <v>875</v>
      </c>
      <c r="B364" s="87" t="str">
        <f>VLOOKUP(A364,Documentos!D:F,3,FALSE)</f>
        <v>Proposicion</v>
      </c>
      <c r="C364" s="88" t="str">
        <f>VLOOKUP(A364,Documentos!D:H,5,FALSE)</f>
        <v>DGC</v>
      </c>
      <c r="D364" s="87">
        <f>VLOOKUP(A364,Documentos!D:I,6,FALSE)</f>
        <v>857</v>
      </c>
      <c r="E364" s="7" t="s">
        <v>57</v>
      </c>
      <c r="F364" s="10" t="s">
        <v>16</v>
      </c>
      <c r="G364" s="97" t="s">
        <v>494</v>
      </c>
      <c r="H364" s="33"/>
      <c r="I364" s="33"/>
      <c r="J364" s="33"/>
      <c r="K364" s="33" t="s">
        <v>1236</v>
      </c>
      <c r="L364" s="41">
        <v>277883951</v>
      </c>
      <c r="M364" s="41">
        <v>0</v>
      </c>
    </row>
    <row r="365" spans="1:13" x14ac:dyDescent="0.25">
      <c r="A365" s="32">
        <v>876</v>
      </c>
      <c r="B365" s="87" t="str">
        <f>VLOOKUP(A365,Documentos!D:F,3,FALSE)</f>
        <v>Proposicion</v>
      </c>
      <c r="C365" s="88" t="str">
        <f>VLOOKUP(A365,Documentos!D:H,5,FALSE)</f>
        <v>DGA_FETCovid19</v>
      </c>
      <c r="D365" s="87">
        <f>VLOOKUP(A365,Documentos!D:I,6,FALSE)</f>
        <v>858</v>
      </c>
      <c r="E365" s="7" t="s">
        <v>43</v>
      </c>
      <c r="F365" s="10" t="s">
        <v>565</v>
      </c>
      <c r="G365" s="97" t="s">
        <v>494</v>
      </c>
      <c r="H365" s="33"/>
      <c r="I365" s="33"/>
      <c r="J365" s="33"/>
      <c r="K365" s="33" t="s">
        <v>1278</v>
      </c>
      <c r="L365" s="41">
        <v>6099332</v>
      </c>
      <c r="M365" s="41">
        <v>0</v>
      </c>
    </row>
    <row r="366" spans="1:13" x14ac:dyDescent="0.25">
      <c r="A366" s="32">
        <v>877</v>
      </c>
      <c r="B366" s="87" t="str">
        <f>VLOOKUP(A366,Documentos!D:F,3,FALSE)</f>
        <v>Oficio_Solicitud</v>
      </c>
      <c r="C366" s="88" t="str">
        <f>VLOOKUP(A366,Documentos!D:H,5,FALSE)</f>
        <v>DOH</v>
      </c>
      <c r="D366" s="87">
        <f>VLOOKUP(A366,Documentos!D:I,6,FALSE)</f>
        <v>860</v>
      </c>
      <c r="E366" s="7" t="s">
        <v>1258</v>
      </c>
      <c r="F366" s="10" t="s">
        <v>20</v>
      </c>
      <c r="G366" s="97" t="s">
        <v>494</v>
      </c>
      <c r="H366" s="33"/>
      <c r="I366" s="33"/>
      <c r="J366" s="33"/>
      <c r="K366" s="33" t="s">
        <v>1236</v>
      </c>
      <c r="L366" s="41">
        <v>2759089</v>
      </c>
      <c r="M366" s="41">
        <v>2759089</v>
      </c>
    </row>
    <row r="367" spans="1:13" x14ac:dyDescent="0.25">
      <c r="A367" s="32">
        <v>878</v>
      </c>
      <c r="B367" s="87" t="str">
        <f>VLOOKUP(A367,Documentos!D:F,3,FALSE)</f>
        <v>Oficio_Solicitud</v>
      </c>
      <c r="C367" s="88" t="str">
        <f>VLOOKUP(A367,Documentos!D:H,5,FALSE)</f>
        <v>DOH_FETCovid19</v>
      </c>
      <c r="D367" s="87">
        <f>VLOOKUP(A367,Documentos!D:I,6,FALSE)</f>
        <v>861</v>
      </c>
      <c r="E367" s="7" t="s">
        <v>1258</v>
      </c>
      <c r="F367" s="10" t="s">
        <v>535</v>
      </c>
      <c r="G367" s="97" t="s">
        <v>494</v>
      </c>
      <c r="H367" s="33"/>
      <c r="I367" s="33"/>
      <c r="J367" s="33"/>
      <c r="K367" s="33" t="s">
        <v>1236</v>
      </c>
      <c r="L367" s="41">
        <v>408906</v>
      </c>
      <c r="M367" s="41">
        <v>408906</v>
      </c>
    </row>
    <row r="368" spans="1:13" x14ac:dyDescent="0.25">
      <c r="A368" s="32">
        <v>879</v>
      </c>
      <c r="B368" s="87" t="str">
        <f>VLOOKUP(A368,Documentos!D:F,3,FALSE)</f>
        <v>Proposicion</v>
      </c>
      <c r="C368" s="88" t="str">
        <f>VLOOKUP(A368,Documentos!D:H,5,FALSE)</f>
        <v>DGC</v>
      </c>
      <c r="D368" s="87">
        <f>VLOOKUP(A368,Documentos!D:I,6,FALSE)</f>
        <v>862</v>
      </c>
      <c r="E368" s="7" t="s">
        <v>57</v>
      </c>
      <c r="F368" s="10" t="s">
        <v>16</v>
      </c>
      <c r="G368" s="97" t="s">
        <v>494</v>
      </c>
      <c r="H368" s="33"/>
      <c r="I368" s="33"/>
      <c r="J368" s="33"/>
      <c r="K368" s="33" t="s">
        <v>1236</v>
      </c>
      <c r="L368" s="41">
        <v>57840612</v>
      </c>
      <c r="M368" s="41">
        <v>0</v>
      </c>
    </row>
    <row r="369" spans="1:13" x14ac:dyDescent="0.25">
      <c r="A369" s="32">
        <v>880</v>
      </c>
      <c r="B369" s="87" t="str">
        <f>VLOOKUP(A369,Documentos!D:F,3,FALSE)</f>
        <v>Oficio_Solicitud</v>
      </c>
      <c r="C369" s="88" t="str">
        <f>VLOOKUP(A369,Documentos!D:H,5,FALSE)</f>
        <v>DV-DV_FETCovid19</v>
      </c>
      <c r="D369" s="87">
        <f>VLOOKUP(A369,Documentos!D:I,6,FALSE)</f>
        <v>11734</v>
      </c>
      <c r="E369" s="7" t="s">
        <v>43</v>
      </c>
      <c r="F369" s="10" t="s">
        <v>26</v>
      </c>
      <c r="G369" s="97" t="s">
        <v>494</v>
      </c>
      <c r="H369" s="33"/>
      <c r="I369" s="33"/>
      <c r="J369" s="33"/>
      <c r="K369" s="33" t="s">
        <v>1278</v>
      </c>
      <c r="L369" s="41">
        <v>1692088927</v>
      </c>
      <c r="M369" s="41">
        <v>0</v>
      </c>
    </row>
    <row r="370" spans="1:13" x14ac:dyDescent="0.25">
      <c r="A370" s="32">
        <v>885</v>
      </c>
      <c r="B370" s="87" t="str">
        <f>VLOOKUP(A370,Documentos!D:F,3,FALSE)</f>
        <v>Oficio_Solicitud</v>
      </c>
      <c r="C370" s="88" t="str">
        <f>VLOOKUP(A370,Documentos!D:H,5,FALSE)</f>
        <v>DA</v>
      </c>
      <c r="D370" s="87">
        <f>VLOOKUP(A370,Documentos!D:I,6,FALSE)</f>
        <v>871</v>
      </c>
      <c r="E370" s="7" t="s">
        <v>60</v>
      </c>
      <c r="F370" s="10" t="s">
        <v>8</v>
      </c>
      <c r="G370" s="97" t="s">
        <v>494</v>
      </c>
      <c r="H370" s="33"/>
      <c r="I370" s="33"/>
      <c r="J370" s="33"/>
      <c r="K370" s="33" t="s">
        <v>1278</v>
      </c>
      <c r="L370" s="41">
        <v>20701</v>
      </c>
      <c r="M370" s="41">
        <v>280263</v>
      </c>
    </row>
    <row r="371" spans="1:13" x14ac:dyDescent="0.25">
      <c r="A371" s="32">
        <v>886</v>
      </c>
      <c r="B371" s="87" t="str">
        <f>VLOOKUP(A371,Documentos!D:F,3,FALSE)</f>
        <v>Oficio_Solicitud</v>
      </c>
      <c r="C371" s="88" t="str">
        <f>VLOOKUP(A371,Documentos!D:H,5,FALSE)</f>
        <v>DV</v>
      </c>
      <c r="D371" s="87">
        <f>VLOOKUP(A371,Documentos!D:I,6,FALSE)</f>
        <v>11734</v>
      </c>
      <c r="E371" s="7" t="s">
        <v>43</v>
      </c>
      <c r="F371" s="10" t="s">
        <v>26</v>
      </c>
      <c r="G371" s="97" t="s">
        <v>494</v>
      </c>
      <c r="H371" s="33"/>
      <c r="I371" s="33"/>
      <c r="J371" s="33"/>
      <c r="K371" s="33" t="s">
        <v>1282</v>
      </c>
      <c r="L371" s="41">
        <v>1664108259</v>
      </c>
      <c r="M371" s="41">
        <v>0</v>
      </c>
    </row>
    <row r="372" spans="1:13" x14ac:dyDescent="0.25">
      <c r="A372" s="32">
        <v>887</v>
      </c>
      <c r="B372" s="87" t="str">
        <f>VLOOKUP(A372,Documentos!D:F,3,FALSE)</f>
        <v>Oficio_Solicitud</v>
      </c>
      <c r="C372" s="88" t="str">
        <f>VLOOKUP(A372,Documentos!D:H,5,FALSE)</f>
        <v>DV</v>
      </c>
      <c r="D372" s="87">
        <f>VLOOKUP(A372,Documentos!D:I,6,FALSE)</f>
        <v>12535</v>
      </c>
      <c r="E372" s="7" t="s">
        <v>43</v>
      </c>
      <c r="F372" s="10" t="s">
        <v>26</v>
      </c>
      <c r="G372" s="97" t="s">
        <v>494</v>
      </c>
      <c r="H372" s="33"/>
      <c r="I372" s="33"/>
      <c r="J372" s="33"/>
      <c r="K372" s="33" t="s">
        <v>1236</v>
      </c>
      <c r="L372" s="41">
        <v>7473500</v>
      </c>
      <c r="M372" s="41">
        <v>0</v>
      </c>
    </row>
    <row r="373" spans="1:13" x14ac:dyDescent="0.25">
      <c r="A373" s="32">
        <v>888</v>
      </c>
      <c r="B373" s="87" t="str">
        <f>VLOOKUP(A373,Documentos!D:F,3,FALSE)</f>
        <v>Proposicion</v>
      </c>
      <c r="C373" s="88" t="str">
        <f>VLOOKUP(A373,Documentos!D:H,5,FALSE)</f>
        <v>DOH</v>
      </c>
      <c r="D373" s="87">
        <f>VLOOKUP(A373,Documentos!D:I,6,FALSE)</f>
        <v>882</v>
      </c>
      <c r="E373" s="7" t="s">
        <v>43</v>
      </c>
      <c r="F373" s="10" t="s">
        <v>20</v>
      </c>
      <c r="G373" s="97" t="s">
        <v>494</v>
      </c>
      <c r="H373" s="33"/>
      <c r="I373" s="33"/>
      <c r="J373" s="33"/>
      <c r="K373" s="33" t="s">
        <v>1278</v>
      </c>
      <c r="L373" s="41">
        <v>73937476</v>
      </c>
      <c r="M373" s="41"/>
    </row>
    <row r="374" spans="1:13" x14ac:dyDescent="0.25">
      <c r="A374" s="32">
        <v>890</v>
      </c>
      <c r="B374" s="87" t="str">
        <f>VLOOKUP(A374,Documentos!D:F,3,FALSE)</f>
        <v>Oficio_Solicitud</v>
      </c>
      <c r="C374" s="88" t="str">
        <f>VLOOKUP(A374,Documentos!D:H,5,FALSE)</f>
        <v>DOH</v>
      </c>
      <c r="D374" s="87">
        <f>VLOOKUP(A374,Documentos!D:I,6,FALSE)</f>
        <v>887</v>
      </c>
      <c r="E374" s="7" t="s">
        <v>60</v>
      </c>
      <c r="F374" s="10" t="s">
        <v>20</v>
      </c>
      <c r="G374" s="97" t="s">
        <v>494</v>
      </c>
      <c r="H374" s="33"/>
      <c r="I374" s="33"/>
      <c r="J374" s="33"/>
      <c r="K374" s="33" t="s">
        <v>1278</v>
      </c>
      <c r="L374" s="41">
        <v>16951970</v>
      </c>
      <c r="M374" s="41"/>
    </row>
    <row r="375" spans="1:13" x14ac:dyDescent="0.25">
      <c r="A375" s="32">
        <v>894</v>
      </c>
      <c r="B375" s="87" t="str">
        <f>VLOOKUP(A375,Documentos!D:F,3,FALSE)</f>
        <v>Oficio_Solicitud</v>
      </c>
      <c r="C375" s="88" t="str">
        <f>VLOOKUP(A375,Documentos!D:H,5,FALSE)</f>
        <v>DGC</v>
      </c>
      <c r="D375" s="87">
        <f>VLOOKUP(A375,Documentos!D:I,6,FALSE)</f>
        <v>899</v>
      </c>
      <c r="E375" s="7" t="s">
        <v>60</v>
      </c>
      <c r="F375" s="10" t="s">
        <v>16</v>
      </c>
      <c r="G375" s="97" t="s">
        <v>494</v>
      </c>
      <c r="H375" s="33"/>
      <c r="I375" s="33"/>
      <c r="J375" s="33"/>
      <c r="K375" s="33" t="s">
        <v>1278</v>
      </c>
      <c r="L375" s="41">
        <v>27262000</v>
      </c>
      <c r="M375" s="41">
        <v>0</v>
      </c>
    </row>
    <row r="376" spans="1:13" x14ac:dyDescent="0.25">
      <c r="A376" s="32">
        <v>912</v>
      </c>
      <c r="B376" s="87" t="str">
        <f>VLOOKUP(A376,Documentos!D:F,3,FALSE)</f>
        <v>Oficio_Solicitud</v>
      </c>
      <c r="C376" s="88" t="str">
        <f>VLOOKUP(A376,Documentos!D:H,5,FALSE)</f>
        <v>DOH_FETCovid19</v>
      </c>
      <c r="D376" s="87">
        <f>VLOOKUP(A376,Documentos!D:I,6,FALSE)</f>
        <v>936</v>
      </c>
      <c r="E376" s="7" t="s">
        <v>60</v>
      </c>
      <c r="F376" s="10" t="s">
        <v>535</v>
      </c>
      <c r="G376" s="97" t="s">
        <v>494</v>
      </c>
      <c r="H376" s="33"/>
      <c r="I376" s="33"/>
      <c r="J376" s="33"/>
      <c r="K376" s="33" t="s">
        <v>1278</v>
      </c>
      <c r="L376" s="41">
        <v>5000000</v>
      </c>
      <c r="M376" s="41"/>
    </row>
    <row r="377" spans="1:13" x14ac:dyDescent="0.25">
      <c r="A377" s="32">
        <v>916</v>
      </c>
      <c r="B377" s="87" t="str">
        <f>VLOOKUP(A377,Documentos!D:F,3,FALSE)</f>
        <v>Oficio_Solicitud</v>
      </c>
      <c r="C377" s="88" t="str">
        <f>VLOOKUP(A377,Documentos!D:H,5,FALSE)</f>
        <v>DOH</v>
      </c>
      <c r="D377" s="87">
        <f>VLOOKUP(A377,Documentos!D:I,6,FALSE)</f>
        <v>947</v>
      </c>
      <c r="E377" s="7" t="s">
        <v>60</v>
      </c>
      <c r="F377" s="10" t="s">
        <v>20</v>
      </c>
      <c r="G377" s="97" t="s">
        <v>494</v>
      </c>
      <c r="H377" s="33"/>
      <c r="I377" s="33"/>
      <c r="J377" s="33"/>
      <c r="K377" s="33" t="s">
        <v>1278</v>
      </c>
      <c r="L377" s="41">
        <v>6155237</v>
      </c>
      <c r="M377" s="41"/>
    </row>
    <row r="378" spans="1:13" x14ac:dyDescent="0.25">
      <c r="A378" s="32">
        <v>936</v>
      </c>
      <c r="B378" s="87" t="str">
        <f>VLOOKUP(A378,Documentos!D:F,3,FALSE)</f>
        <v>Oficio_Solicitud</v>
      </c>
      <c r="C378" s="88" t="str">
        <f>VLOOKUP(A378,Documentos!D:H,5,FALSE)</f>
        <v>DA</v>
      </c>
      <c r="D378" s="87">
        <f>VLOOKUP(A378,Documentos!D:I,6,FALSE)</f>
        <v>990</v>
      </c>
      <c r="E378" s="7" t="s">
        <v>60</v>
      </c>
      <c r="F378" s="10" t="s">
        <v>8</v>
      </c>
      <c r="G378" s="97" t="s">
        <v>494</v>
      </c>
      <c r="H378" s="33"/>
      <c r="I378" s="33"/>
      <c r="J378" s="33"/>
      <c r="K378" s="33" t="s">
        <v>1278</v>
      </c>
      <c r="L378" s="41">
        <v>10</v>
      </c>
      <c r="M378" s="41">
        <v>0</v>
      </c>
    </row>
    <row r="379" spans="1:13" x14ac:dyDescent="0.25">
      <c r="A379" s="32">
        <v>939</v>
      </c>
      <c r="B379" s="87" t="str">
        <f>VLOOKUP(A379,Documentos!D:F,3,FALSE)</f>
        <v>Oficio_Solicitud</v>
      </c>
      <c r="C379" s="88" t="str">
        <f>VLOOKUP(A379,Documentos!D:H,5,FALSE)</f>
        <v>DGC</v>
      </c>
      <c r="D379" s="87">
        <f>VLOOKUP(A379,Documentos!D:I,6,FALSE)</f>
        <v>994</v>
      </c>
      <c r="E379" s="7" t="s">
        <v>41</v>
      </c>
      <c r="F379" s="10" t="s">
        <v>16</v>
      </c>
      <c r="G379" s="97" t="s">
        <v>494</v>
      </c>
      <c r="H379" s="33"/>
      <c r="I379" s="33"/>
      <c r="J379" s="33"/>
      <c r="K379" s="33" t="s">
        <v>1278</v>
      </c>
      <c r="L379" s="41">
        <v>27072010</v>
      </c>
      <c r="M379" s="41">
        <v>25898182</v>
      </c>
    </row>
    <row r="380" spans="1:13" x14ac:dyDescent="0.25">
      <c r="A380" s="32">
        <v>940</v>
      </c>
      <c r="B380" s="87" t="str">
        <f>VLOOKUP(A380,Documentos!D:F,3,FALSE)</f>
        <v>Oficio_Solicitud</v>
      </c>
      <c r="C380" s="88" t="str">
        <f>VLOOKUP(A380,Documentos!D:H,5,FALSE)</f>
        <v>DGC</v>
      </c>
      <c r="D380" s="87">
        <f>VLOOKUP(A380,Documentos!D:I,6,FALSE)</f>
        <v>1003</v>
      </c>
      <c r="E380" s="7" t="s">
        <v>41</v>
      </c>
      <c r="F380" s="10" t="s">
        <v>16</v>
      </c>
      <c r="G380" s="97" t="s">
        <v>494</v>
      </c>
      <c r="H380" s="33"/>
      <c r="I380" s="33"/>
      <c r="J380" s="33"/>
      <c r="K380" s="33" t="s">
        <v>1278</v>
      </c>
      <c r="L380" s="41">
        <v>24982532</v>
      </c>
      <c r="M380" s="41">
        <v>24982532</v>
      </c>
    </row>
    <row r="381" spans="1:13" x14ac:dyDescent="0.25">
      <c r="A381" s="32">
        <v>941</v>
      </c>
      <c r="B381" s="87" t="str">
        <f>VLOOKUP(A381,Documentos!D:F,3,FALSE)</f>
        <v>Oficio_Solicitud</v>
      </c>
      <c r="C381" s="88" t="str">
        <f>VLOOKUP(A381,Documentos!D:H,5,FALSE)</f>
        <v>DOP</v>
      </c>
      <c r="D381" s="87">
        <f>VLOOKUP(A381,Documentos!D:I,6,FALSE)</f>
        <v>455</v>
      </c>
      <c r="E381" s="7" t="s">
        <v>60</v>
      </c>
      <c r="F381" s="10" t="s">
        <v>22</v>
      </c>
      <c r="G381" s="97" t="s">
        <v>494</v>
      </c>
      <c r="H381" s="33"/>
      <c r="I381" s="33"/>
      <c r="J381" s="33"/>
      <c r="K381" s="33" t="s">
        <v>1278</v>
      </c>
      <c r="L381" s="41">
        <v>1719143</v>
      </c>
      <c r="M381" s="41">
        <v>1533048</v>
      </c>
    </row>
    <row r="382" spans="1:13" x14ac:dyDescent="0.25">
      <c r="A382" s="32">
        <v>942</v>
      </c>
      <c r="B382" s="87" t="str">
        <f>VLOOKUP(A382,Documentos!D:F,3,FALSE)</f>
        <v>Oficio_Solicitud</v>
      </c>
      <c r="C382" s="88" t="str">
        <f>VLOOKUP(A382,Documentos!D:H,5,FALSE)</f>
        <v>DA</v>
      </c>
      <c r="D382" s="87">
        <f>VLOOKUP(A382,Documentos!D:I,6,FALSE)</f>
        <v>1013</v>
      </c>
      <c r="E382" s="7" t="s">
        <v>1258</v>
      </c>
      <c r="F382" s="10" t="s">
        <v>8</v>
      </c>
      <c r="G382" s="97" t="s">
        <v>494</v>
      </c>
      <c r="H382" s="33"/>
      <c r="I382" s="33"/>
      <c r="J382" s="33"/>
      <c r="K382" s="33" t="s">
        <v>1236</v>
      </c>
      <c r="L382" s="41">
        <v>150000</v>
      </c>
      <c r="M382" s="41">
        <v>150000</v>
      </c>
    </row>
    <row r="383" spans="1:13" x14ac:dyDescent="0.25">
      <c r="A383" s="32">
        <v>944</v>
      </c>
      <c r="B383" s="87" t="str">
        <f>VLOOKUP(A383,Documentos!D:F,3,FALSE)</f>
        <v>Oficio_Solicitud</v>
      </c>
      <c r="C383" s="88" t="str">
        <f>VLOOKUP(A383,Documentos!D:H,5,FALSE)</f>
        <v>DOH</v>
      </c>
      <c r="D383" s="87">
        <f>VLOOKUP(A383,Documentos!D:I,6,FALSE)</f>
        <v>1018</v>
      </c>
      <c r="E383" s="7" t="s">
        <v>60</v>
      </c>
      <c r="F383" s="10" t="s">
        <v>20</v>
      </c>
      <c r="G383" s="97" t="s">
        <v>494</v>
      </c>
      <c r="H383" s="33"/>
      <c r="I383" s="33"/>
      <c r="J383" s="33"/>
      <c r="K383" s="33" t="s">
        <v>1278</v>
      </c>
      <c r="L383" s="41">
        <v>4572314</v>
      </c>
      <c r="M383" s="41"/>
    </row>
    <row r="384" spans="1:13" x14ac:dyDescent="0.25">
      <c r="A384" s="32">
        <v>947</v>
      </c>
      <c r="B384" s="87" t="str">
        <f>VLOOKUP(A384,Documentos!D:F,3,FALSE)</f>
        <v>Oficio_Solicitud</v>
      </c>
      <c r="C384" s="88" t="str">
        <f>VLOOKUP(A384,Documentos!D:H,5,FALSE)</f>
        <v>DA</v>
      </c>
      <c r="D384" s="87">
        <f>VLOOKUP(A384,Documentos!D:I,6,FALSE)</f>
        <v>1027</v>
      </c>
      <c r="E384" s="7" t="s">
        <v>60</v>
      </c>
      <c r="F384" s="10" t="s">
        <v>8</v>
      </c>
      <c r="G384" s="97" t="s">
        <v>494</v>
      </c>
      <c r="H384" s="33"/>
      <c r="I384" s="33"/>
      <c r="J384" s="33"/>
      <c r="K384" s="33" t="s">
        <v>1278</v>
      </c>
      <c r="L384" s="41">
        <v>497440</v>
      </c>
      <c r="M384" s="41">
        <v>204343</v>
      </c>
    </row>
    <row r="385" spans="1:13" x14ac:dyDescent="0.25">
      <c r="A385" s="32">
        <v>950</v>
      </c>
      <c r="B385" s="87" t="str">
        <f>VLOOKUP(A385,Documentos!D:F,3,FALSE)</f>
        <v>Oficio_Solicitud</v>
      </c>
      <c r="C385" s="88" t="str">
        <f>VLOOKUP(A385,Documentos!D:H,5,FALSE)</f>
        <v>DA</v>
      </c>
      <c r="D385" s="87">
        <f>VLOOKUP(A385,Documentos!D:I,6,FALSE)</f>
        <v>1029</v>
      </c>
      <c r="E385" s="7" t="s">
        <v>1258</v>
      </c>
      <c r="F385" s="10" t="s">
        <v>8</v>
      </c>
      <c r="G385" s="97" t="s">
        <v>494</v>
      </c>
      <c r="H385" s="33"/>
      <c r="I385" s="33"/>
      <c r="J385" s="33"/>
      <c r="K385" s="33" t="s">
        <v>1236</v>
      </c>
      <c r="L385" s="41">
        <v>34088</v>
      </c>
      <c r="M385" s="41">
        <v>34088</v>
      </c>
    </row>
    <row r="386" spans="1:13" x14ac:dyDescent="0.25">
      <c r="A386" s="32">
        <v>962</v>
      </c>
      <c r="B386" s="87" t="str">
        <f>VLOOKUP(A386,Documentos!D:F,3,FALSE)</f>
        <v>Oficio_Solicitud</v>
      </c>
      <c r="C386" s="88" t="str">
        <f>VLOOKUP(A386,Documentos!D:H,5,FALSE)</f>
        <v>DA</v>
      </c>
      <c r="D386" s="87">
        <f>VLOOKUP(A386,Documentos!D:I,6,FALSE)</f>
        <v>1087</v>
      </c>
      <c r="E386" s="7" t="s">
        <v>60</v>
      </c>
      <c r="F386" s="10" t="s">
        <v>8</v>
      </c>
      <c r="G386" s="97" t="s">
        <v>494</v>
      </c>
      <c r="H386" s="33"/>
      <c r="I386" s="33"/>
      <c r="J386" s="33"/>
      <c r="K386" s="33" t="s">
        <v>1278</v>
      </c>
      <c r="L386" s="41">
        <v>0</v>
      </c>
      <c r="M386" s="41">
        <v>117924</v>
      </c>
    </row>
    <row r="387" spans="1:13" x14ac:dyDescent="0.25">
      <c r="A387" s="32">
        <v>963</v>
      </c>
      <c r="B387" s="87" t="str">
        <f>VLOOKUP(A387,Documentos!D:F,3,FALSE)</f>
        <v>Oficio_Solicitud</v>
      </c>
      <c r="C387" s="88" t="str">
        <f>VLOOKUP(A387,Documentos!D:H,5,FALSE)</f>
        <v>DA</v>
      </c>
      <c r="D387" s="87">
        <f>VLOOKUP(A387,Documentos!D:I,6,FALSE)</f>
        <v>1093</v>
      </c>
      <c r="E387" s="7" t="s">
        <v>60</v>
      </c>
      <c r="F387" s="10" t="s">
        <v>8</v>
      </c>
      <c r="G387" s="97" t="s">
        <v>494</v>
      </c>
      <c r="H387" s="33"/>
      <c r="I387" s="33"/>
      <c r="J387" s="33"/>
      <c r="K387" s="33" t="s">
        <v>1278</v>
      </c>
      <c r="L387" s="41">
        <v>0</v>
      </c>
      <c r="M387" s="41">
        <v>0</v>
      </c>
    </row>
    <row r="388" spans="1:13" x14ac:dyDescent="0.25">
      <c r="A388" s="32">
        <v>964</v>
      </c>
      <c r="B388" s="87" t="str">
        <f>VLOOKUP(A388,Documentos!D:F,3,FALSE)</f>
        <v>Oficio_Solicitud</v>
      </c>
      <c r="C388" s="88" t="str">
        <f>VLOOKUP(A388,Documentos!D:H,5,FALSE)</f>
        <v>APR_FETCovid19</v>
      </c>
      <c r="D388" s="87">
        <f>VLOOKUP(A388,Documentos!D:I,6,FALSE)</f>
        <v>1110</v>
      </c>
      <c r="E388" s="7" t="s">
        <v>1258</v>
      </c>
      <c r="F388" s="10" t="s">
        <v>559</v>
      </c>
      <c r="G388" s="97" t="s">
        <v>494</v>
      </c>
      <c r="H388" s="33"/>
      <c r="I388" s="33"/>
      <c r="J388" s="33"/>
      <c r="K388" s="33" t="s">
        <v>1236</v>
      </c>
      <c r="L388" s="41">
        <v>667241</v>
      </c>
      <c r="M388" s="41">
        <v>667241</v>
      </c>
    </row>
    <row r="389" spans="1:13" x14ac:dyDescent="0.25">
      <c r="A389" s="32">
        <v>974</v>
      </c>
      <c r="B389" s="87" t="str">
        <f>VLOOKUP(A389,Documentos!D:F,3,FALSE)</f>
        <v>Oficio_Solicitud</v>
      </c>
      <c r="C389" s="88" t="str">
        <f>VLOOKUP(A389,Documentos!D:H,5,FALSE)</f>
        <v>DA</v>
      </c>
      <c r="D389" s="87">
        <f>VLOOKUP(A389,Documentos!D:I,6,FALSE)</f>
        <v>1142</v>
      </c>
      <c r="E389" s="7" t="s">
        <v>41</v>
      </c>
      <c r="F389" s="10" t="s">
        <v>8</v>
      </c>
      <c r="G389" s="97" t="s">
        <v>494</v>
      </c>
      <c r="H389" s="33"/>
      <c r="I389" s="33"/>
      <c r="J389" s="33"/>
      <c r="K389" s="33" t="s">
        <v>1236</v>
      </c>
      <c r="L389" s="41">
        <v>29827</v>
      </c>
      <c r="M389" s="41">
        <v>363504</v>
      </c>
    </row>
    <row r="390" spans="1:13" x14ac:dyDescent="0.25">
      <c r="A390" s="32">
        <v>976</v>
      </c>
      <c r="B390" s="87" t="str">
        <f>VLOOKUP(A390,Documentos!D:F,3,FALSE)</f>
        <v>Oficio_Solicitud</v>
      </c>
      <c r="C390" s="88" t="str">
        <f>VLOOKUP(A390,Documentos!D:H,5,FALSE)</f>
        <v>DA</v>
      </c>
      <c r="D390" s="87">
        <f>VLOOKUP(A390,Documentos!D:I,6,FALSE)</f>
        <v>1158</v>
      </c>
      <c r="E390" s="7" t="s">
        <v>41</v>
      </c>
      <c r="F390" s="10" t="s">
        <v>8</v>
      </c>
      <c r="G390" s="97" t="s">
        <v>494</v>
      </c>
      <c r="H390" s="33"/>
      <c r="I390" s="33"/>
      <c r="J390" s="33"/>
      <c r="K390" s="33" t="s">
        <v>1278</v>
      </c>
      <c r="L390" s="41">
        <v>10500</v>
      </c>
      <c r="M390" s="41">
        <v>0</v>
      </c>
    </row>
    <row r="391" spans="1:13" x14ac:dyDescent="0.25">
      <c r="A391" s="32">
        <v>988</v>
      </c>
      <c r="B391" s="87" t="str">
        <f>VLOOKUP(A391,Documentos!D:F,3,FALSE)</f>
        <v>Proposicion</v>
      </c>
      <c r="C391" s="88" t="str">
        <f>VLOOKUP(A391,Documentos!D:H,5,FALSE)</f>
        <v>DOP</v>
      </c>
      <c r="D391" s="87">
        <f>VLOOKUP(A391,Documentos!D:I,6,FALSE)</f>
        <v>449</v>
      </c>
      <c r="E391" s="7" t="s">
        <v>60</v>
      </c>
      <c r="F391" s="10" t="s">
        <v>22</v>
      </c>
      <c r="G391" s="97" t="s">
        <v>494</v>
      </c>
      <c r="H391" s="33"/>
      <c r="I391" s="33"/>
      <c r="J391" s="33"/>
      <c r="K391" s="33" t="s">
        <v>1278</v>
      </c>
      <c r="L391" s="41">
        <v>1719143</v>
      </c>
      <c r="M391" s="41">
        <v>1533048</v>
      </c>
    </row>
    <row r="392" spans="1:13" x14ac:dyDescent="0.25">
      <c r="A392" s="32">
        <v>990</v>
      </c>
      <c r="B392" s="87" t="str">
        <f>VLOOKUP(A392,Documentos!D:F,3,FALSE)</f>
        <v>Oficio_Solicitud</v>
      </c>
      <c r="C392" s="88" t="str">
        <f>VLOOKUP(A392,Documentos!D:H,5,FALSE)</f>
        <v>DOH</v>
      </c>
      <c r="D392" s="87">
        <f>VLOOKUP(A392,Documentos!D:I,6,FALSE)</f>
        <v>1228</v>
      </c>
      <c r="E392" s="7" t="s">
        <v>60</v>
      </c>
      <c r="F392" s="10" t="s">
        <v>20</v>
      </c>
      <c r="G392" s="97" t="s">
        <v>494</v>
      </c>
      <c r="H392" s="33"/>
      <c r="I392" s="33"/>
      <c r="J392" s="33"/>
      <c r="K392" s="33" t="s">
        <v>1278</v>
      </c>
      <c r="L392" s="41">
        <v>841000</v>
      </c>
      <c r="M392" s="41"/>
    </row>
    <row r="393" spans="1:13" x14ac:dyDescent="0.25">
      <c r="A393" s="32">
        <v>1001</v>
      </c>
      <c r="B393" s="87" t="str">
        <f>VLOOKUP(A393,Documentos!D:F,3,FALSE)</f>
        <v>Oficio_Solicitud</v>
      </c>
      <c r="C393" s="88" t="str">
        <f>VLOOKUP(A393,Documentos!D:H,5,FALSE)</f>
        <v>DGC</v>
      </c>
      <c r="D393" s="87">
        <f>VLOOKUP(A393,Documentos!D:I,6,FALSE)</f>
        <v>1284</v>
      </c>
      <c r="E393" s="7" t="s">
        <v>57</v>
      </c>
      <c r="F393" s="10" t="s">
        <v>16</v>
      </c>
      <c r="G393" s="97" t="s">
        <v>494</v>
      </c>
      <c r="H393" s="33"/>
      <c r="I393" s="33"/>
      <c r="J393" s="33"/>
      <c r="K393" s="33" t="s">
        <v>1278</v>
      </c>
      <c r="L393" s="41">
        <v>57840612</v>
      </c>
      <c r="M393" s="41">
        <v>0</v>
      </c>
    </row>
    <row r="394" spans="1:13" x14ac:dyDescent="0.25">
      <c r="A394" s="32">
        <v>1002</v>
      </c>
      <c r="B394" s="87" t="str">
        <f>VLOOKUP(A394,Documentos!D:F,3,FALSE)</f>
        <v>Oficio_Solicitud</v>
      </c>
      <c r="C394" s="88" t="str">
        <f>VLOOKUP(A394,Documentos!D:H,5,FALSE)</f>
        <v>DGC_FETCovid19</v>
      </c>
      <c r="D394" s="87">
        <f>VLOOKUP(A394,Documentos!D:I,6,FALSE)</f>
        <v>1285</v>
      </c>
      <c r="E394" s="7" t="s">
        <v>57</v>
      </c>
      <c r="F394" s="10" t="s">
        <v>562</v>
      </c>
      <c r="G394" s="97" t="s">
        <v>494</v>
      </c>
      <c r="H394" s="33"/>
      <c r="I394" s="33"/>
      <c r="J394" s="33"/>
      <c r="K394" s="33" t="s">
        <v>1236</v>
      </c>
      <c r="L394" s="41">
        <v>11772901</v>
      </c>
      <c r="M394" s="41">
        <v>0</v>
      </c>
    </row>
    <row r="395" spans="1:13" x14ac:dyDescent="0.25">
      <c r="A395" s="32">
        <v>1003</v>
      </c>
      <c r="B395" s="87" t="str">
        <f>VLOOKUP(A395,Documentos!D:F,3,FALSE)</f>
        <v>Oficio_Solicitud</v>
      </c>
      <c r="C395" s="88" t="str">
        <f>VLOOKUP(A395,Documentos!D:H,5,FALSE)</f>
        <v>DGC</v>
      </c>
      <c r="D395" s="87">
        <f>VLOOKUP(A395,Documentos!D:I,6,FALSE)</f>
        <v>1285</v>
      </c>
      <c r="E395" s="7" t="s">
        <v>57</v>
      </c>
      <c r="F395" s="10" t="s">
        <v>16</v>
      </c>
      <c r="G395" s="97" t="s">
        <v>494</v>
      </c>
      <c r="H395" s="33"/>
      <c r="I395" s="33"/>
      <c r="J395" s="33"/>
      <c r="K395" s="33" t="s">
        <v>1278</v>
      </c>
      <c r="L395" s="41">
        <v>10</v>
      </c>
      <c r="M395" s="41">
        <v>0</v>
      </c>
    </row>
    <row r="396" spans="1:13" x14ac:dyDescent="0.25">
      <c r="A396" s="32">
        <v>1005</v>
      </c>
      <c r="B396" s="87" t="str">
        <f>VLOOKUP(A396,Documentos!D:F,3,FALSE)</f>
        <v>Oficio_Solicitud</v>
      </c>
      <c r="C396" s="88" t="str">
        <f>VLOOKUP(A396,Documentos!D:H,5,FALSE)</f>
        <v>DGC</v>
      </c>
      <c r="D396" s="87">
        <f>VLOOKUP(A396,Documentos!D:I,6,FALSE)</f>
        <v>1286</v>
      </c>
      <c r="E396" s="7" t="s">
        <v>57</v>
      </c>
      <c r="F396" s="10" t="s">
        <v>16</v>
      </c>
      <c r="G396" s="97" t="s">
        <v>494</v>
      </c>
      <c r="H396" s="33"/>
      <c r="I396" s="33"/>
      <c r="J396" s="33"/>
      <c r="K396" s="33" t="s">
        <v>1282</v>
      </c>
      <c r="L396" s="41">
        <v>277883951</v>
      </c>
      <c r="M396" s="41">
        <v>0</v>
      </c>
    </row>
    <row r="397" spans="1:13" x14ac:dyDescent="0.25">
      <c r="A397" s="36">
        <v>1010</v>
      </c>
      <c r="B397" s="90" t="str">
        <f>VLOOKUP(A397,Documentos!D:F,3,FALSE)</f>
        <v>Oficio_Autorizacion</v>
      </c>
      <c r="C397" s="91" t="str">
        <f>VLOOKUP(A397,Documentos!D:H,5,FALSE)</f>
        <v>DGA</v>
      </c>
      <c r="D397" s="92">
        <f>VLOOKUP(A397,Documentos!D:I,6,FALSE)</f>
        <v>1307</v>
      </c>
      <c r="E397" s="34" t="s">
        <v>44</v>
      </c>
      <c r="F397" s="35" t="s">
        <v>14</v>
      </c>
      <c r="G397" s="98">
        <v>22</v>
      </c>
      <c r="H397" s="99"/>
      <c r="I397" s="99"/>
      <c r="J397" s="99"/>
      <c r="K397" s="34" t="s">
        <v>1282</v>
      </c>
      <c r="L397" s="41">
        <v>329910</v>
      </c>
      <c r="M397" s="34"/>
    </row>
    <row r="398" spans="1:13" x14ac:dyDescent="0.25">
      <c r="A398" s="32">
        <v>1016</v>
      </c>
      <c r="B398" s="87" t="str">
        <f>VLOOKUP(A398,Documentos!D:F,3,FALSE)</f>
        <v>Oficio_Solicitud</v>
      </c>
      <c r="C398" s="88" t="str">
        <f>VLOOKUP(A398,Documentos!D:H,5,FALSE)</f>
        <v>DA_FETCovid19</v>
      </c>
      <c r="D398" s="87">
        <f>VLOOKUP(A398,Documentos!D:I,6,FALSE)</f>
        <v>1340</v>
      </c>
      <c r="E398" s="7" t="s">
        <v>43</v>
      </c>
      <c r="F398" s="10" t="s">
        <v>532</v>
      </c>
      <c r="G398" s="97" t="s">
        <v>494</v>
      </c>
      <c r="H398" s="33"/>
      <c r="I398" s="33"/>
      <c r="J398" s="33"/>
      <c r="K398" s="33" t="s">
        <v>1278</v>
      </c>
      <c r="L398" s="41">
        <v>3669133</v>
      </c>
      <c r="M398" s="41">
        <v>0</v>
      </c>
    </row>
    <row r="399" spans="1:13" x14ac:dyDescent="0.25">
      <c r="A399" s="32">
        <v>1017</v>
      </c>
      <c r="B399" s="87" t="str">
        <f>VLOOKUP(A399,Documentos!D:F,3,FALSE)</f>
        <v>Oficio_Solicitud</v>
      </c>
      <c r="C399" s="88" t="str">
        <f>VLOOKUP(A399,Documentos!D:H,5,FALSE)</f>
        <v>DA</v>
      </c>
      <c r="D399" s="87">
        <f>VLOOKUP(A399,Documentos!D:I,6,FALSE)</f>
        <v>1340</v>
      </c>
      <c r="E399" s="7" t="s">
        <v>43</v>
      </c>
      <c r="F399" s="10" t="s">
        <v>8</v>
      </c>
      <c r="G399" s="97" t="s">
        <v>494</v>
      </c>
      <c r="H399" s="33"/>
      <c r="I399" s="33"/>
      <c r="J399" s="33"/>
      <c r="K399" s="33" t="s">
        <v>1282</v>
      </c>
      <c r="L399" s="41">
        <v>3669133</v>
      </c>
      <c r="M399" s="41">
        <v>0</v>
      </c>
    </row>
    <row r="400" spans="1:13" x14ac:dyDescent="0.25">
      <c r="A400" s="32">
        <v>1018</v>
      </c>
      <c r="B400" s="87" t="str">
        <f>VLOOKUP(A400,Documentos!D:F,3,FALSE)</f>
        <v>Oficio_Solicitud</v>
      </c>
      <c r="C400" s="88" t="str">
        <f>VLOOKUP(A400,Documentos!D:H,5,FALSE)</f>
        <v>DA</v>
      </c>
      <c r="D400" s="87">
        <f>VLOOKUP(A400,Documentos!D:I,6,FALSE)</f>
        <v>1341</v>
      </c>
      <c r="E400" s="7" t="s">
        <v>43</v>
      </c>
      <c r="F400" s="10" t="s">
        <v>8</v>
      </c>
      <c r="G400" s="97" t="s">
        <v>494</v>
      </c>
      <c r="H400" s="33"/>
      <c r="I400" s="33"/>
      <c r="J400" s="33"/>
      <c r="K400" s="33" t="s">
        <v>1236</v>
      </c>
      <c r="L400" s="41">
        <v>3444018</v>
      </c>
      <c r="M400" s="41">
        <v>0</v>
      </c>
    </row>
    <row r="401" spans="1:13" x14ac:dyDescent="0.25">
      <c r="A401" s="32">
        <v>1026</v>
      </c>
      <c r="B401" s="87" t="str">
        <f>VLOOKUP(A401,Documentos!D:F,3,FALSE)</f>
        <v>Oficio_Solicitud</v>
      </c>
      <c r="C401" s="88" t="str">
        <f>VLOOKUP(A401,Documentos!D:H,5,FALSE)</f>
        <v>DOH_FETCovid19</v>
      </c>
      <c r="D401" s="87">
        <f>VLOOKUP(A401,Documentos!D:I,6,FALSE)</f>
        <v>1363</v>
      </c>
      <c r="E401" s="7" t="s">
        <v>1258</v>
      </c>
      <c r="F401" s="10" t="s">
        <v>535</v>
      </c>
      <c r="G401" s="97" t="s">
        <v>494</v>
      </c>
      <c r="H401" s="33"/>
      <c r="I401" s="33"/>
      <c r="J401" s="33"/>
      <c r="K401" s="33" t="s">
        <v>1236</v>
      </c>
      <c r="L401" s="41">
        <v>961462</v>
      </c>
      <c r="M401" s="41">
        <v>961462</v>
      </c>
    </row>
    <row r="402" spans="1:13" x14ac:dyDescent="0.25">
      <c r="A402" s="32">
        <v>1027</v>
      </c>
      <c r="B402" s="87" t="str">
        <f>VLOOKUP(A402,Documentos!D:F,3,FALSE)</f>
        <v>Oficio_Solicitud</v>
      </c>
      <c r="C402" s="88" t="str">
        <f>VLOOKUP(A402,Documentos!D:H,5,FALSE)</f>
        <v>DA_FETCovid19</v>
      </c>
      <c r="D402" s="87">
        <f>VLOOKUP(A402,Documentos!D:I,6,FALSE)</f>
        <v>1372</v>
      </c>
      <c r="E402" s="7" t="s">
        <v>43</v>
      </c>
      <c r="F402" s="10" t="s">
        <v>532</v>
      </c>
      <c r="G402" s="97" t="s">
        <v>494</v>
      </c>
      <c r="H402" s="33"/>
      <c r="I402" s="33"/>
      <c r="J402" s="33"/>
      <c r="K402" s="33" t="s">
        <v>1236</v>
      </c>
      <c r="L402" s="41">
        <v>2018018</v>
      </c>
      <c r="M402" s="41"/>
    </row>
    <row r="403" spans="1:13" x14ac:dyDescent="0.25">
      <c r="A403" s="32">
        <v>1028</v>
      </c>
      <c r="B403" s="87" t="str">
        <f>VLOOKUP(A403,Documentos!D:F,3,FALSE)</f>
        <v>Oficio_Solicitud</v>
      </c>
      <c r="C403" s="88" t="str">
        <f>VLOOKUP(A403,Documentos!D:H,5,FALSE)</f>
        <v>DA</v>
      </c>
      <c r="D403" s="87">
        <f>VLOOKUP(A403,Documentos!D:I,6,FALSE)</f>
        <v>1374</v>
      </c>
      <c r="E403" s="7" t="s">
        <v>43</v>
      </c>
      <c r="F403" s="10" t="s">
        <v>8</v>
      </c>
      <c r="G403" s="97" t="s">
        <v>494</v>
      </c>
      <c r="H403" s="33"/>
      <c r="I403" s="33"/>
      <c r="J403" s="33"/>
      <c r="K403" s="33" t="s">
        <v>1278</v>
      </c>
      <c r="L403" s="41">
        <v>2724429</v>
      </c>
      <c r="M403" s="41">
        <v>0</v>
      </c>
    </row>
    <row r="404" spans="1:13" x14ac:dyDescent="0.25">
      <c r="A404" s="32">
        <v>1038</v>
      </c>
      <c r="B404" s="87" t="str">
        <f>VLOOKUP(A404,Documentos!D:F,3,FALSE)</f>
        <v>Oficio_Solicitud</v>
      </c>
      <c r="C404" s="88" t="str">
        <f>VLOOKUP(A404,Documentos!D:H,5,FALSE)</f>
        <v>DGC</v>
      </c>
      <c r="D404" s="87">
        <f>VLOOKUP(A404,Documentos!D:I,6,FALSE)</f>
        <v>1445</v>
      </c>
      <c r="E404" s="7" t="s">
        <v>57</v>
      </c>
      <c r="F404" s="10" t="s">
        <v>16</v>
      </c>
      <c r="G404" s="97" t="s">
        <v>494</v>
      </c>
      <c r="H404" s="33"/>
      <c r="I404" s="33"/>
      <c r="J404" s="33"/>
      <c r="K404" s="33" t="s">
        <v>1236</v>
      </c>
      <c r="L404" s="41">
        <v>3855675</v>
      </c>
      <c r="M404" s="41">
        <v>0</v>
      </c>
    </row>
    <row r="405" spans="1:13" x14ac:dyDescent="0.25">
      <c r="A405" s="32">
        <v>1047</v>
      </c>
      <c r="B405" s="87" t="str">
        <f>VLOOKUP(A405,Documentos!D:F,3,FALSE)</f>
        <v>Oficio_Solicitud</v>
      </c>
      <c r="C405" s="88" t="str">
        <f>VLOOKUP(A405,Documentos!D:H,5,FALSE)</f>
        <v>DOH</v>
      </c>
      <c r="D405" s="87">
        <f>VLOOKUP(A405,Documentos!D:I,6,FALSE)</f>
        <v>1470</v>
      </c>
      <c r="E405" s="7" t="s">
        <v>1258</v>
      </c>
      <c r="F405" s="10" t="s">
        <v>20</v>
      </c>
      <c r="G405" s="97" t="s">
        <v>494</v>
      </c>
      <c r="H405" s="33"/>
      <c r="I405" s="33"/>
      <c r="J405" s="33"/>
      <c r="K405" s="33" t="s">
        <v>1236</v>
      </c>
      <c r="L405" s="41">
        <v>36774</v>
      </c>
      <c r="M405" s="41">
        <v>36774</v>
      </c>
    </row>
    <row r="406" spans="1:13" x14ac:dyDescent="0.25">
      <c r="A406" s="32">
        <v>1058</v>
      </c>
      <c r="B406" s="87" t="str">
        <f>VLOOKUP(A406,Documentos!D:F,3,FALSE)</f>
        <v>Oficio_Solicitud</v>
      </c>
      <c r="C406" s="88" t="str">
        <f>VLOOKUP(A406,Documentos!D:H,5,FALSE)</f>
        <v>APR</v>
      </c>
      <c r="D406" s="87">
        <f>VLOOKUP(A406,Documentos!D:I,6,FALSE)</f>
        <v>1585</v>
      </c>
      <c r="E406" s="7" t="s">
        <v>1258</v>
      </c>
      <c r="F406" s="10" t="s">
        <v>6</v>
      </c>
      <c r="G406" s="97" t="s">
        <v>494</v>
      </c>
      <c r="H406" s="33"/>
      <c r="I406" s="33"/>
      <c r="J406" s="33"/>
      <c r="K406" s="33" t="s">
        <v>1236</v>
      </c>
      <c r="L406" s="41">
        <v>79183</v>
      </c>
      <c r="M406" s="41">
        <v>79183</v>
      </c>
    </row>
    <row r="407" spans="1:13" x14ac:dyDescent="0.25">
      <c r="A407" s="32">
        <v>1070</v>
      </c>
      <c r="B407" s="87" t="str">
        <f>VLOOKUP(A407,Documentos!D:F,3,FALSE)</f>
        <v>Oficio_Solicitud</v>
      </c>
      <c r="C407" s="88" t="str">
        <f>VLOOKUP(A407,Documentos!D:H,5,FALSE)</f>
        <v>DOH</v>
      </c>
      <c r="D407" s="87">
        <f>VLOOKUP(A407,Documentos!D:I,6,FALSE)</f>
        <v>1605</v>
      </c>
      <c r="E407" s="7" t="s">
        <v>1258</v>
      </c>
      <c r="F407" s="10" t="s">
        <v>20</v>
      </c>
      <c r="G407" s="97" t="s">
        <v>494</v>
      </c>
      <c r="H407" s="33"/>
      <c r="I407" s="33"/>
      <c r="J407" s="33"/>
      <c r="K407" s="33" t="s">
        <v>1236</v>
      </c>
      <c r="L407" s="41">
        <v>13000</v>
      </c>
      <c r="M407" s="41">
        <v>13000</v>
      </c>
    </row>
    <row r="408" spans="1:13" x14ac:dyDescent="0.25">
      <c r="A408" s="32">
        <v>1080</v>
      </c>
      <c r="B408" s="87" t="str">
        <f>VLOOKUP(A408,Documentos!D:F,3,FALSE)</f>
        <v>Oficio_Solicitud</v>
      </c>
      <c r="C408" s="88" t="str">
        <f>VLOOKUP(A408,Documentos!D:H,5,FALSE)</f>
        <v>DOH</v>
      </c>
      <c r="D408" s="87">
        <f>VLOOKUP(A408,Documentos!D:I,6,FALSE)</f>
        <v>1714</v>
      </c>
      <c r="E408" s="7" t="s">
        <v>60</v>
      </c>
      <c r="F408" s="10" t="s">
        <v>20</v>
      </c>
      <c r="G408" s="97" t="s">
        <v>494</v>
      </c>
      <c r="H408" s="33"/>
      <c r="I408" s="33"/>
      <c r="J408" s="33"/>
      <c r="K408" s="33" t="s">
        <v>1278</v>
      </c>
      <c r="L408" s="41">
        <v>6565481</v>
      </c>
      <c r="M408" s="41">
        <v>2066695</v>
      </c>
    </row>
    <row r="409" spans="1:13" x14ac:dyDescent="0.25">
      <c r="A409" s="32">
        <v>1089</v>
      </c>
      <c r="B409" s="87" t="str">
        <f>VLOOKUP(A409,Documentos!D:F,3,FALSE)</f>
        <v>Oficio_Solicitud</v>
      </c>
      <c r="C409" s="88" t="str">
        <f>VLOOKUP(A409,Documentos!D:H,5,FALSE)</f>
        <v>APR</v>
      </c>
      <c r="D409" s="87">
        <f>VLOOKUP(A409,Documentos!D:I,6,FALSE)</f>
        <v>1747</v>
      </c>
      <c r="E409" s="7" t="s">
        <v>1258</v>
      </c>
      <c r="F409" s="10" t="s">
        <v>6</v>
      </c>
      <c r="G409" s="97" t="s">
        <v>494</v>
      </c>
      <c r="H409" s="33"/>
      <c r="I409" s="33"/>
      <c r="J409" s="33"/>
      <c r="K409" s="33" t="s">
        <v>1236</v>
      </c>
      <c r="L409" s="41">
        <v>271003</v>
      </c>
      <c r="M409" s="41">
        <v>271003</v>
      </c>
    </row>
    <row r="410" spans="1:13" x14ac:dyDescent="0.25">
      <c r="A410" s="32">
        <v>1093</v>
      </c>
      <c r="B410" s="87" t="str">
        <f>VLOOKUP(A410,Documentos!D:F,3,FALSE)</f>
        <v>Oficio_Solicitud</v>
      </c>
      <c r="C410" s="88" t="str">
        <f>VLOOKUP(A410,Documentos!D:H,5,FALSE)</f>
        <v>APR_FETCovid19</v>
      </c>
      <c r="D410" s="87">
        <f>VLOOKUP(A410,Documentos!D:I,6,FALSE)</f>
        <v>1748</v>
      </c>
      <c r="E410" s="7" t="s">
        <v>1258</v>
      </c>
      <c r="F410" s="10" t="s">
        <v>559</v>
      </c>
      <c r="G410" s="97" t="s">
        <v>494</v>
      </c>
      <c r="H410" s="33"/>
      <c r="I410" s="33"/>
      <c r="J410" s="33"/>
      <c r="K410" s="33" t="s">
        <v>1236</v>
      </c>
      <c r="L410" s="41">
        <v>1139500</v>
      </c>
      <c r="M410" s="41">
        <v>1139500</v>
      </c>
    </row>
    <row r="411" spans="1:13" x14ac:dyDescent="0.25">
      <c r="A411" s="32">
        <v>1096</v>
      </c>
      <c r="B411" s="87" t="str">
        <f>VLOOKUP(A411,Documentos!D:F,3,FALSE)</f>
        <v>Oficio_Solicitud</v>
      </c>
      <c r="C411" s="88" t="str">
        <f>VLOOKUP(A411,Documentos!D:H,5,FALSE)</f>
        <v>DV</v>
      </c>
      <c r="D411" s="87">
        <f>VLOOKUP(A411,Documentos!D:I,6,FALSE)</f>
        <v>7638</v>
      </c>
      <c r="E411" s="7" t="s">
        <v>60</v>
      </c>
      <c r="F411" s="10" t="s">
        <v>26</v>
      </c>
      <c r="G411" s="97" t="s">
        <v>494</v>
      </c>
      <c r="H411" s="33"/>
      <c r="I411" s="33"/>
      <c r="J411" s="33"/>
      <c r="K411" s="33" t="s">
        <v>1278</v>
      </c>
      <c r="L411" s="41">
        <v>54278355</v>
      </c>
      <c r="M411" s="41">
        <v>56958095</v>
      </c>
    </row>
    <row r="412" spans="1:13" x14ac:dyDescent="0.25">
      <c r="A412" s="32">
        <v>1107</v>
      </c>
      <c r="B412" s="87" t="str">
        <f>VLOOKUP(A412,Documentos!D:F,3,FALSE)</f>
        <v>Oficio_Solicitud</v>
      </c>
      <c r="C412" s="88" t="str">
        <f>VLOOKUP(A412,Documentos!D:H,5,FALSE)</f>
        <v>DOH</v>
      </c>
      <c r="D412" s="87">
        <f>VLOOKUP(A412,Documentos!D:I,6,FALSE)</f>
        <v>1752</v>
      </c>
      <c r="E412" s="7" t="s">
        <v>1258</v>
      </c>
      <c r="F412" s="10" t="s">
        <v>20</v>
      </c>
      <c r="G412" s="97" t="s">
        <v>494</v>
      </c>
      <c r="H412" s="33"/>
      <c r="I412" s="33"/>
      <c r="J412" s="33"/>
      <c r="K412" s="33" t="s">
        <v>1236</v>
      </c>
      <c r="L412" s="41">
        <v>150000</v>
      </c>
      <c r="M412" s="41">
        <v>150000</v>
      </c>
    </row>
    <row r="413" spans="1:13" x14ac:dyDescent="0.25">
      <c r="A413" s="32">
        <v>1108</v>
      </c>
      <c r="B413" s="87" t="str">
        <f>VLOOKUP(A413,Documentos!D:F,3,FALSE)</f>
        <v>Oficio_Solicitud</v>
      </c>
      <c r="C413" s="88" t="str">
        <f>VLOOKUP(A413,Documentos!D:H,5,FALSE)</f>
        <v>DOH</v>
      </c>
      <c r="D413" s="87">
        <f>VLOOKUP(A413,Documentos!D:I,6,FALSE)</f>
        <v>1780</v>
      </c>
      <c r="E413" s="7" t="s">
        <v>1258</v>
      </c>
      <c r="F413" s="10" t="s">
        <v>20</v>
      </c>
      <c r="G413" s="97" t="s">
        <v>494</v>
      </c>
      <c r="H413" s="33"/>
      <c r="I413" s="33"/>
      <c r="J413" s="33"/>
      <c r="K413" s="33" t="s">
        <v>1236</v>
      </c>
      <c r="L413" s="41">
        <v>16160</v>
      </c>
      <c r="M413" s="41">
        <v>16160</v>
      </c>
    </row>
    <row r="414" spans="1:13" x14ac:dyDescent="0.25">
      <c r="A414" s="32">
        <v>1117</v>
      </c>
      <c r="B414" s="87" t="str">
        <f>VLOOKUP(A414,Documentos!D:F,3,FALSE)</f>
        <v>Oficio_Solicitud</v>
      </c>
      <c r="C414" s="88" t="str">
        <f>VLOOKUP(A414,Documentos!D:H,5,FALSE)</f>
        <v>DOH</v>
      </c>
      <c r="D414" s="87">
        <f>VLOOKUP(A414,Documentos!D:I,6,FALSE)</f>
        <v>1919</v>
      </c>
      <c r="E414" s="7" t="s">
        <v>1258</v>
      </c>
      <c r="F414" s="10" t="s">
        <v>20</v>
      </c>
      <c r="G414" s="97" t="s">
        <v>494</v>
      </c>
      <c r="H414" s="33"/>
      <c r="I414" s="33"/>
      <c r="J414" s="33"/>
      <c r="K414" s="33" t="s">
        <v>1236</v>
      </c>
      <c r="L414" s="41">
        <v>9328</v>
      </c>
      <c r="M414" s="41">
        <v>9328</v>
      </c>
    </row>
    <row r="415" spans="1:13" x14ac:dyDescent="0.25">
      <c r="A415" s="32">
        <v>1139</v>
      </c>
      <c r="B415" s="87" t="str">
        <f>VLOOKUP(A415,Documentos!D:F,3,FALSE)</f>
        <v>Oficio_Solicitud</v>
      </c>
      <c r="C415" s="88" t="str">
        <f>VLOOKUP(A415,Documentos!D:H,5,FALSE)</f>
        <v>APR</v>
      </c>
      <c r="D415" s="87">
        <f>VLOOKUP(A415,Documentos!D:I,6,FALSE)</f>
        <v>1920</v>
      </c>
      <c r="E415" s="7" t="s">
        <v>1258</v>
      </c>
      <c r="F415" s="10" t="s">
        <v>6</v>
      </c>
      <c r="G415" s="97" t="s">
        <v>494</v>
      </c>
      <c r="H415" s="33"/>
      <c r="I415" s="33"/>
      <c r="J415" s="33"/>
      <c r="K415" s="33" t="s">
        <v>1236</v>
      </c>
      <c r="L415" s="41">
        <v>856</v>
      </c>
      <c r="M415" s="41">
        <v>856</v>
      </c>
    </row>
    <row r="416" spans="1:13" x14ac:dyDescent="0.25">
      <c r="A416" s="32">
        <v>1142</v>
      </c>
      <c r="B416" s="87" t="str">
        <f>VLOOKUP(A416,Documentos!D:F,3,FALSE)</f>
        <v>Oficio_Solicitud</v>
      </c>
      <c r="C416" s="88" t="str">
        <f>VLOOKUP(A416,Documentos!D:H,5,FALSE)</f>
        <v>DOH_FETCovid19</v>
      </c>
      <c r="D416" s="87">
        <f>VLOOKUP(A416,Documentos!D:I,6,FALSE)</f>
        <v>1946</v>
      </c>
      <c r="E416" s="7" t="s">
        <v>1258</v>
      </c>
      <c r="F416" s="10" t="s">
        <v>535</v>
      </c>
      <c r="G416" s="97" t="s">
        <v>494</v>
      </c>
      <c r="H416" s="33"/>
      <c r="I416" s="33"/>
      <c r="J416" s="33"/>
      <c r="K416" s="33" t="s">
        <v>1236</v>
      </c>
      <c r="L416" s="41">
        <v>108339</v>
      </c>
      <c r="M416" s="41">
        <v>108339</v>
      </c>
    </row>
    <row r="417" spans="1:13" x14ac:dyDescent="0.25">
      <c r="A417" s="32">
        <v>1143</v>
      </c>
      <c r="B417" s="87" t="str">
        <f>VLOOKUP(A417,Documentos!D:F,3,FALSE)</f>
        <v>Oficio_Solicitud</v>
      </c>
      <c r="C417" s="88" t="str">
        <f>VLOOKUP(A417,Documentos!D:H,5,FALSE)</f>
        <v>DOH_FETCovid19</v>
      </c>
      <c r="D417" s="87">
        <f>VLOOKUP(A417,Documentos!D:I,6,FALSE)</f>
        <v>1950</v>
      </c>
      <c r="E417" s="7" t="s">
        <v>60</v>
      </c>
      <c r="F417" s="10" t="s">
        <v>535</v>
      </c>
      <c r="G417" s="97" t="s">
        <v>494</v>
      </c>
      <c r="H417" s="33"/>
      <c r="I417" s="33"/>
      <c r="J417" s="33"/>
      <c r="K417" s="33" t="s">
        <v>1278</v>
      </c>
      <c r="L417" s="41">
        <v>198891</v>
      </c>
      <c r="M417" s="41">
        <v>6283086</v>
      </c>
    </row>
    <row r="418" spans="1:13" x14ac:dyDescent="0.25">
      <c r="A418" s="32">
        <v>1146</v>
      </c>
      <c r="B418" s="87" t="str">
        <f>VLOOKUP(A418,Documentos!D:F,3,FALSE)</f>
        <v>Oficio_Solicitud</v>
      </c>
      <c r="C418" s="88" t="str">
        <f>VLOOKUP(A418,Documentos!D:H,5,FALSE)</f>
        <v>DA_FETCovid19</v>
      </c>
      <c r="D418" s="87">
        <f>VLOOKUP(A418,Documentos!D:I,6,FALSE)</f>
        <v>1156</v>
      </c>
      <c r="E418" s="7" t="s">
        <v>60</v>
      </c>
      <c r="F418" s="10" t="s">
        <v>532</v>
      </c>
      <c r="G418" s="97" t="s">
        <v>494</v>
      </c>
      <c r="H418" s="33"/>
      <c r="I418" s="33"/>
      <c r="J418" s="33"/>
      <c r="K418" s="33" t="s">
        <v>1278</v>
      </c>
      <c r="L418" s="41">
        <v>0</v>
      </c>
      <c r="M418" s="41">
        <v>0</v>
      </c>
    </row>
    <row r="419" spans="1:13" x14ac:dyDescent="0.25">
      <c r="A419" s="32">
        <v>1152</v>
      </c>
      <c r="B419" s="87" t="str">
        <f>VLOOKUP(A419,Documentos!D:F,3,FALSE)</f>
        <v>Oficio_Solicitud</v>
      </c>
      <c r="C419" s="88" t="str">
        <f>VLOOKUP(A419,Documentos!D:H,5,FALSE)</f>
        <v>DOH_FETCovid19</v>
      </c>
      <c r="D419" s="87">
        <f>VLOOKUP(A419,Documentos!D:I,6,FALSE)</f>
        <v>1950</v>
      </c>
      <c r="E419" s="7" t="s">
        <v>60</v>
      </c>
      <c r="F419" s="10" t="s">
        <v>535</v>
      </c>
      <c r="G419" s="97" t="s">
        <v>494</v>
      </c>
      <c r="H419" s="33"/>
      <c r="I419" s="33"/>
      <c r="J419" s="33"/>
      <c r="K419" s="33" t="s">
        <v>1278</v>
      </c>
      <c r="L419" s="41">
        <v>198891</v>
      </c>
      <c r="M419" s="41">
        <v>6283086</v>
      </c>
    </row>
    <row r="420" spans="1:13" x14ac:dyDescent="0.25">
      <c r="A420" s="32">
        <v>1153</v>
      </c>
      <c r="B420" s="87" t="str">
        <f>VLOOKUP(A420,Documentos!D:F,3,FALSE)</f>
        <v>Oficio_Solicitud</v>
      </c>
      <c r="C420" s="88" t="str">
        <f>VLOOKUP(A420,Documentos!D:H,5,FALSE)</f>
        <v>APR</v>
      </c>
      <c r="D420" s="87">
        <f>VLOOKUP(A420,Documentos!D:I,6,FALSE)</f>
        <v>1956</v>
      </c>
      <c r="E420" s="7" t="s">
        <v>42</v>
      </c>
      <c r="F420" s="10" t="s">
        <v>6</v>
      </c>
      <c r="G420" s="97" t="s">
        <v>494</v>
      </c>
      <c r="H420" s="33"/>
      <c r="I420" s="33"/>
      <c r="J420" s="33"/>
      <c r="K420" s="33" t="s">
        <v>1282</v>
      </c>
      <c r="L420" s="41">
        <v>281518</v>
      </c>
      <c r="M420" s="41"/>
    </row>
    <row r="421" spans="1:13" x14ac:dyDescent="0.25">
      <c r="A421" s="32">
        <v>1157</v>
      </c>
      <c r="B421" s="87" t="str">
        <f>VLOOKUP(A421,Documentos!D:F,3,FALSE)</f>
        <v>Oficio_Solicitud</v>
      </c>
      <c r="C421" s="88" t="str">
        <f>VLOOKUP(A421,Documentos!D:H,5,FALSE)</f>
        <v>APR_FETCovid19</v>
      </c>
      <c r="D421" s="87">
        <f>VLOOKUP(A421,Documentos!D:I,6,FALSE)</f>
        <v>1987</v>
      </c>
      <c r="E421" s="7" t="s">
        <v>1258</v>
      </c>
      <c r="F421" s="10" t="s">
        <v>559</v>
      </c>
      <c r="G421" s="97" t="s">
        <v>494</v>
      </c>
      <c r="H421" s="33"/>
      <c r="I421" s="33"/>
      <c r="J421" s="33"/>
      <c r="K421" s="33" t="s">
        <v>1236</v>
      </c>
      <c r="L421" s="41">
        <v>150</v>
      </c>
      <c r="M421" s="41">
        <v>150</v>
      </c>
    </row>
    <row r="422" spans="1:13" x14ac:dyDescent="0.25">
      <c r="A422" s="32">
        <v>1159</v>
      </c>
      <c r="B422" s="87" t="str">
        <f>VLOOKUP(A422,Documentos!D:F,3,FALSE)</f>
        <v>Oficio_Solicitud</v>
      </c>
      <c r="C422" s="88" t="str">
        <f>VLOOKUP(A422,Documentos!D:H,5,FALSE)</f>
        <v>APR</v>
      </c>
      <c r="D422" s="87">
        <f>VLOOKUP(A422,Documentos!D:I,6,FALSE)</f>
        <v>1992</v>
      </c>
      <c r="E422" s="7" t="s">
        <v>1258</v>
      </c>
      <c r="F422" s="10" t="s">
        <v>6</v>
      </c>
      <c r="G422" s="97" t="s">
        <v>494</v>
      </c>
      <c r="H422" s="33"/>
      <c r="I422" s="33"/>
      <c r="J422" s="33"/>
      <c r="K422" s="33" t="s">
        <v>1236</v>
      </c>
      <c r="L422" s="41">
        <v>25769</v>
      </c>
      <c r="M422" s="41">
        <v>25769</v>
      </c>
    </row>
    <row r="423" spans="1:13" x14ac:dyDescent="0.25">
      <c r="A423" s="32">
        <v>1179</v>
      </c>
      <c r="B423" s="87" t="str">
        <f>VLOOKUP(A423,Documentos!D:F,3,FALSE)</f>
        <v>Oficio_Solicitud</v>
      </c>
      <c r="C423" s="88" t="str">
        <f>VLOOKUP(A423,Documentos!D:H,5,FALSE)</f>
        <v>DOH</v>
      </c>
      <c r="D423" s="87">
        <f>VLOOKUP(A423,Documentos!D:I,6,FALSE)</f>
        <v>2232</v>
      </c>
      <c r="E423" s="7" t="s">
        <v>1258</v>
      </c>
      <c r="F423" s="10" t="s">
        <v>20</v>
      </c>
      <c r="G423" s="97" t="s">
        <v>494</v>
      </c>
      <c r="H423" s="33"/>
      <c r="I423" s="33"/>
      <c r="J423" s="33"/>
      <c r="K423" s="33" t="s">
        <v>1236</v>
      </c>
      <c r="L423" s="41">
        <v>93463</v>
      </c>
      <c r="M423" s="41">
        <v>93463</v>
      </c>
    </row>
    <row r="424" spans="1:13" x14ac:dyDescent="0.25">
      <c r="A424" s="32">
        <v>1185</v>
      </c>
      <c r="B424" s="87" t="str">
        <f>VLOOKUP(A424,Documentos!D:F,3,FALSE)</f>
        <v>Oficio_Solicitud</v>
      </c>
      <c r="C424" s="88" t="str">
        <f>VLOOKUP(A424,Documentos!D:H,5,FALSE)</f>
        <v>APR_FETCovid19</v>
      </c>
      <c r="D424" s="87">
        <f>VLOOKUP(A424,Documentos!D:I,6,FALSE)</f>
        <v>2233</v>
      </c>
      <c r="E424" s="7" t="s">
        <v>1258</v>
      </c>
      <c r="F424" s="10" t="s">
        <v>559</v>
      </c>
      <c r="G424" s="97" t="s">
        <v>494</v>
      </c>
      <c r="H424" s="33"/>
      <c r="I424" s="33"/>
      <c r="J424" s="33"/>
      <c r="K424" s="33" t="s">
        <v>1236</v>
      </c>
      <c r="L424" s="41">
        <v>84675</v>
      </c>
      <c r="M424" s="41">
        <v>84675</v>
      </c>
    </row>
    <row r="425" spans="1:13" x14ac:dyDescent="0.25">
      <c r="A425" s="32">
        <v>1192</v>
      </c>
      <c r="B425" s="87" t="str">
        <f>VLOOKUP(A425,Documentos!D:F,3,FALSE)</f>
        <v>Oficio_Solicitud</v>
      </c>
      <c r="C425" s="88" t="str">
        <f>VLOOKUP(A425,Documentos!D:H,5,FALSE)</f>
        <v>APR</v>
      </c>
      <c r="D425" s="87">
        <f>VLOOKUP(A425,Documentos!D:I,6,FALSE)</f>
        <v>2342</v>
      </c>
      <c r="E425" s="7" t="s">
        <v>60</v>
      </c>
      <c r="F425" s="10" t="s">
        <v>6</v>
      </c>
      <c r="G425" s="97" t="s">
        <v>494</v>
      </c>
      <c r="H425" s="33"/>
      <c r="I425" s="33"/>
      <c r="J425" s="33"/>
      <c r="K425" s="33" t="s">
        <v>1278</v>
      </c>
      <c r="L425" s="41">
        <v>3878512</v>
      </c>
      <c r="M425" s="41">
        <v>3878512</v>
      </c>
    </row>
    <row r="426" spans="1:13" x14ac:dyDescent="0.25">
      <c r="A426" s="32">
        <v>1193</v>
      </c>
      <c r="B426" s="87" t="str">
        <f>VLOOKUP(A426,Documentos!D:F,3,FALSE)</f>
        <v>Oficio_Solicitud</v>
      </c>
      <c r="C426" s="88" t="str">
        <f>VLOOKUP(A426,Documentos!D:H,5,FALSE)</f>
        <v>DOH_FETCovid19</v>
      </c>
      <c r="D426" s="87">
        <f>VLOOKUP(A426,Documentos!D:I,6,FALSE)</f>
        <v>2343</v>
      </c>
      <c r="E426" s="7" t="s">
        <v>60</v>
      </c>
      <c r="F426" s="10" t="s">
        <v>535</v>
      </c>
      <c r="G426" s="97" t="s">
        <v>494</v>
      </c>
      <c r="H426" s="33"/>
      <c r="I426" s="33"/>
      <c r="J426" s="33"/>
      <c r="K426" s="33" t="s">
        <v>1278</v>
      </c>
      <c r="L426" s="41">
        <v>136647</v>
      </c>
      <c r="M426" s="41">
        <v>136647</v>
      </c>
    </row>
    <row r="427" spans="1:13" x14ac:dyDescent="0.25">
      <c r="A427" s="32">
        <v>1197</v>
      </c>
      <c r="B427" s="87" t="str">
        <f>VLOOKUP(A427,Documentos!D:F,3,FALSE)</f>
        <v>Oficio_Solicitud</v>
      </c>
      <c r="C427" s="88" t="str">
        <f>VLOOKUP(A427,Documentos!D:H,5,FALSE)</f>
        <v>DOH_FETCovid19</v>
      </c>
      <c r="D427" s="87">
        <f>VLOOKUP(A427,Documentos!D:I,6,FALSE)</f>
        <v>2389</v>
      </c>
      <c r="E427" s="7" t="s">
        <v>60</v>
      </c>
      <c r="F427" s="10" t="s">
        <v>535</v>
      </c>
      <c r="G427" s="97" t="s">
        <v>494</v>
      </c>
      <c r="H427" s="33"/>
      <c r="I427" s="33"/>
      <c r="J427" s="33"/>
      <c r="K427" s="33" t="s">
        <v>1278</v>
      </c>
      <c r="L427" s="41">
        <v>732272</v>
      </c>
      <c r="M427" s="41">
        <v>732272</v>
      </c>
    </row>
    <row r="428" spans="1:13" x14ac:dyDescent="0.25">
      <c r="A428" s="32">
        <v>1198</v>
      </c>
      <c r="B428" s="87" t="str">
        <f>VLOOKUP(A428,Documentos!D:F,3,FALSE)</f>
        <v>Oficio_Solicitud</v>
      </c>
      <c r="C428" s="88" t="str">
        <f>VLOOKUP(A428,Documentos!D:H,5,FALSE)</f>
        <v>DOH</v>
      </c>
      <c r="D428" s="87">
        <f>VLOOKUP(A428,Documentos!D:I,6,FALSE)</f>
        <v>2407</v>
      </c>
      <c r="E428" s="7" t="s">
        <v>60</v>
      </c>
      <c r="F428" s="10" t="s">
        <v>20</v>
      </c>
      <c r="G428" s="97" t="s">
        <v>494</v>
      </c>
      <c r="H428" s="33"/>
      <c r="I428" s="33"/>
      <c r="J428" s="33"/>
      <c r="K428" s="33" t="s">
        <v>1278</v>
      </c>
      <c r="L428" s="41">
        <v>592954</v>
      </c>
      <c r="M428" s="41">
        <v>592954</v>
      </c>
    </row>
    <row r="429" spans="1:13" x14ac:dyDescent="0.25">
      <c r="A429" s="32">
        <v>1199</v>
      </c>
      <c r="B429" s="87" t="str">
        <f>VLOOKUP(A429,Documentos!D:F,3,FALSE)</f>
        <v>Oficio_Solicitud</v>
      </c>
      <c r="C429" s="88" t="str">
        <f>VLOOKUP(A429,Documentos!D:H,5,FALSE)</f>
        <v>APR_FETCovid19</v>
      </c>
      <c r="D429" s="87">
        <f>VLOOKUP(A429,Documentos!D:I,6,FALSE)</f>
        <v>2449</v>
      </c>
      <c r="E429" s="7" t="s">
        <v>1258</v>
      </c>
      <c r="F429" s="10" t="s">
        <v>559</v>
      </c>
      <c r="G429" s="97" t="s">
        <v>494</v>
      </c>
      <c r="H429" s="33"/>
      <c r="I429" s="33"/>
      <c r="J429" s="33"/>
      <c r="K429" s="33" t="s">
        <v>1236</v>
      </c>
      <c r="L429" s="41">
        <v>184640</v>
      </c>
      <c r="M429" s="41">
        <v>184640</v>
      </c>
    </row>
    <row r="430" spans="1:13" x14ac:dyDescent="0.25">
      <c r="A430" s="32">
        <v>1210</v>
      </c>
      <c r="B430" s="87" t="str">
        <f>VLOOKUP(A430,Documentos!D:F,3,FALSE)</f>
        <v>Oficio_Solicitud</v>
      </c>
      <c r="C430" s="88" t="str">
        <f>VLOOKUP(A430,Documentos!D:H,5,FALSE)</f>
        <v>APR</v>
      </c>
      <c r="D430" s="87">
        <f>VLOOKUP(A430,Documentos!D:I,6,FALSE)</f>
        <v>2460</v>
      </c>
      <c r="E430" s="7" t="s">
        <v>60</v>
      </c>
      <c r="F430" s="10" t="s">
        <v>6</v>
      </c>
      <c r="G430" s="97" t="s">
        <v>494</v>
      </c>
      <c r="H430" s="33"/>
      <c r="I430" s="33"/>
      <c r="J430" s="33"/>
      <c r="K430" s="33" t="s">
        <v>1278</v>
      </c>
      <c r="L430" s="41">
        <v>866809</v>
      </c>
      <c r="M430" s="41">
        <v>1987972</v>
      </c>
    </row>
    <row r="431" spans="1:13" x14ac:dyDescent="0.25">
      <c r="A431" s="32">
        <v>1211</v>
      </c>
      <c r="B431" s="87" t="str">
        <f>VLOOKUP(A431,Documentos!D:F,3,FALSE)</f>
        <v>Oficio_Solicitud</v>
      </c>
      <c r="C431" s="88" t="str">
        <f>VLOOKUP(A431,Documentos!D:H,5,FALSE)</f>
        <v>APR</v>
      </c>
      <c r="D431" s="87">
        <f>VLOOKUP(A431,Documentos!D:I,6,FALSE)</f>
        <v>2461</v>
      </c>
      <c r="E431" s="7" t="s">
        <v>60</v>
      </c>
      <c r="F431" s="10" t="s">
        <v>6</v>
      </c>
      <c r="G431" s="97" t="s">
        <v>494</v>
      </c>
      <c r="H431" s="33"/>
      <c r="I431" s="33"/>
      <c r="J431" s="33"/>
      <c r="K431" s="33" t="s">
        <v>1278</v>
      </c>
      <c r="L431" s="41">
        <v>483748</v>
      </c>
      <c r="M431" s="41">
        <v>483748</v>
      </c>
    </row>
    <row r="432" spans="1:13" x14ac:dyDescent="0.25">
      <c r="A432" s="32">
        <v>1212</v>
      </c>
      <c r="B432" s="87" t="str">
        <f>VLOOKUP(A432,Documentos!D:F,3,FALSE)</f>
        <v>Oficio_Solicitud</v>
      </c>
      <c r="C432" s="88" t="str">
        <f>VLOOKUP(A432,Documentos!D:H,5,FALSE)</f>
        <v>DOH</v>
      </c>
      <c r="D432" s="87">
        <f>VLOOKUP(A432,Documentos!D:I,6,FALSE)</f>
        <v>2491</v>
      </c>
      <c r="E432" s="7" t="s">
        <v>1258</v>
      </c>
      <c r="F432" s="10" t="s">
        <v>20</v>
      </c>
      <c r="G432" s="97" t="s">
        <v>494</v>
      </c>
      <c r="H432" s="33"/>
      <c r="I432" s="33"/>
      <c r="J432" s="33"/>
      <c r="K432" s="33" t="s">
        <v>1236</v>
      </c>
      <c r="L432" s="41">
        <v>65</v>
      </c>
      <c r="M432" s="41">
        <v>65</v>
      </c>
    </row>
    <row r="433" spans="1:13" x14ac:dyDescent="0.25">
      <c r="A433" s="32">
        <v>1214</v>
      </c>
      <c r="B433" s="87" t="str">
        <f>VLOOKUP(A433,Documentos!D:F,3,FALSE)</f>
        <v>Oficio_Solicitud</v>
      </c>
      <c r="C433" s="88" t="str">
        <f>VLOOKUP(A433,Documentos!D:H,5,FALSE)</f>
        <v>APR</v>
      </c>
      <c r="D433" s="87">
        <f>VLOOKUP(A433,Documentos!D:I,6,FALSE)</f>
        <v>2492</v>
      </c>
      <c r="E433" s="7" t="s">
        <v>60</v>
      </c>
      <c r="F433" s="10" t="s">
        <v>6</v>
      </c>
      <c r="G433" s="97" t="s">
        <v>494</v>
      </c>
      <c r="H433" s="33"/>
      <c r="I433" s="33"/>
      <c r="J433" s="33"/>
      <c r="K433" s="33" t="s">
        <v>1278</v>
      </c>
      <c r="L433" s="41">
        <v>304927</v>
      </c>
      <c r="M433" s="41">
        <v>304927</v>
      </c>
    </row>
    <row r="434" spans="1:13" x14ac:dyDescent="0.25">
      <c r="A434" s="32">
        <v>1215</v>
      </c>
      <c r="B434" s="87" t="str">
        <f>VLOOKUP(A434,Documentos!D:F,3,FALSE)</f>
        <v>Oficio_Solicitud</v>
      </c>
      <c r="C434" s="88" t="str">
        <f>VLOOKUP(A434,Documentos!D:H,5,FALSE)</f>
        <v>DV_FETCovid19</v>
      </c>
      <c r="D434" s="87">
        <f>VLOOKUP(A434,Documentos!D:I,6,FALSE)</f>
        <v>2545</v>
      </c>
      <c r="E434" s="7" t="s">
        <v>1258</v>
      </c>
      <c r="F434" s="10" t="s">
        <v>538</v>
      </c>
      <c r="G434" s="97" t="s">
        <v>494</v>
      </c>
      <c r="H434" s="33"/>
      <c r="I434" s="33"/>
      <c r="J434" s="33"/>
      <c r="K434" s="33" t="s">
        <v>1236</v>
      </c>
      <c r="L434" s="41">
        <v>546300</v>
      </c>
      <c r="M434" s="41">
        <v>546300</v>
      </c>
    </row>
    <row r="435" spans="1:13" x14ac:dyDescent="0.25">
      <c r="A435" s="32">
        <v>1218</v>
      </c>
      <c r="B435" s="87" t="str">
        <f>VLOOKUP(A435,Documentos!D:F,3,FALSE)</f>
        <v>Oficio_Solicitud</v>
      </c>
      <c r="C435" s="88" t="str">
        <f>VLOOKUP(A435,Documentos!D:H,5,FALSE)</f>
        <v>DV</v>
      </c>
      <c r="D435" s="87">
        <f>VLOOKUP(A435,Documentos!D:I,6,FALSE)</f>
        <v>2545</v>
      </c>
      <c r="E435" s="7" t="s">
        <v>1258</v>
      </c>
      <c r="F435" s="10" t="s">
        <v>26</v>
      </c>
      <c r="G435" s="97" t="s">
        <v>494</v>
      </c>
      <c r="H435" s="33"/>
      <c r="I435" s="33"/>
      <c r="J435" s="33"/>
      <c r="K435" s="33" t="s">
        <v>1236</v>
      </c>
      <c r="L435" s="41">
        <v>127495</v>
      </c>
      <c r="M435" s="41">
        <v>127495</v>
      </c>
    </row>
    <row r="436" spans="1:13" x14ac:dyDescent="0.25">
      <c r="A436" s="32">
        <v>1219</v>
      </c>
      <c r="B436" s="87" t="str">
        <f>VLOOKUP(A436,Documentos!D:F,3,FALSE)</f>
        <v>Oficio_Solicitud</v>
      </c>
      <c r="C436" s="88" t="str">
        <f>VLOOKUP(A436,Documentos!D:H,5,FALSE)</f>
        <v>DOH</v>
      </c>
      <c r="D436" s="87">
        <f>VLOOKUP(A436,Documentos!D:I,6,FALSE)</f>
        <v>2558</v>
      </c>
      <c r="E436" s="7" t="s">
        <v>60</v>
      </c>
      <c r="F436" s="10" t="s">
        <v>20</v>
      </c>
      <c r="G436" s="97" t="s">
        <v>494</v>
      </c>
      <c r="H436" s="33"/>
      <c r="I436" s="33"/>
      <c r="J436" s="33"/>
      <c r="K436" s="33" t="s">
        <v>1278</v>
      </c>
      <c r="L436" s="41">
        <v>45</v>
      </c>
      <c r="M436" s="41"/>
    </row>
    <row r="437" spans="1:13" x14ac:dyDescent="0.25">
      <c r="A437" s="32">
        <v>1221</v>
      </c>
      <c r="B437" s="87" t="str">
        <f>VLOOKUP(A437,Documentos!D:F,3,FALSE)</f>
        <v>Oficio_Solicitud</v>
      </c>
      <c r="C437" s="88" t="str">
        <f>VLOOKUP(A437,Documentos!D:H,5,FALSE)</f>
        <v>DOH</v>
      </c>
      <c r="D437" s="87">
        <f>VLOOKUP(A437,Documentos!D:I,6,FALSE)</f>
        <v>2559</v>
      </c>
      <c r="E437" s="7" t="s">
        <v>60</v>
      </c>
      <c r="F437" s="10" t="s">
        <v>20</v>
      </c>
      <c r="G437" s="97" t="s">
        <v>494</v>
      </c>
      <c r="H437" s="33"/>
      <c r="I437" s="33"/>
      <c r="J437" s="33"/>
      <c r="K437" s="33" t="s">
        <v>1278</v>
      </c>
      <c r="L437" s="41">
        <v>3226671</v>
      </c>
      <c r="M437" s="41">
        <v>2643211</v>
      </c>
    </row>
    <row r="438" spans="1:13" x14ac:dyDescent="0.25">
      <c r="A438" s="32">
        <v>1235</v>
      </c>
      <c r="B438" s="87" t="str">
        <f>VLOOKUP(A438,Documentos!D:F,3,FALSE)</f>
        <v>Oficio_Solicitud</v>
      </c>
      <c r="C438" s="88" t="str">
        <f>VLOOKUP(A438,Documentos!D:H,5,FALSE)</f>
        <v>DV</v>
      </c>
      <c r="D438" s="87">
        <f>VLOOKUP(A438,Documentos!D:I,6,FALSE)</f>
        <v>2716</v>
      </c>
      <c r="E438" s="7" t="s">
        <v>1258</v>
      </c>
      <c r="F438" s="10" t="s">
        <v>26</v>
      </c>
      <c r="G438" s="97" t="s">
        <v>494</v>
      </c>
      <c r="H438" s="33"/>
      <c r="I438" s="33"/>
      <c r="J438" s="33"/>
      <c r="K438" s="33" t="s">
        <v>1236</v>
      </c>
      <c r="L438" s="41">
        <v>129793</v>
      </c>
      <c r="M438" s="41">
        <v>129793</v>
      </c>
    </row>
    <row r="439" spans="1:13" x14ac:dyDescent="0.25">
      <c r="A439" s="32">
        <v>1236</v>
      </c>
      <c r="B439" s="87" t="str">
        <f>VLOOKUP(A439,Documentos!D:F,3,FALSE)</f>
        <v>Oficio_Solicitud</v>
      </c>
      <c r="C439" s="88" t="str">
        <f>VLOOKUP(A439,Documentos!D:H,5,FALSE)</f>
        <v>DV_FETCovid19</v>
      </c>
      <c r="D439" s="87">
        <f>VLOOKUP(A439,Documentos!D:I,6,FALSE)</f>
        <v>2716</v>
      </c>
      <c r="E439" s="7" t="s">
        <v>1258</v>
      </c>
      <c r="F439" s="10" t="s">
        <v>538</v>
      </c>
      <c r="G439" s="97" t="s">
        <v>494</v>
      </c>
      <c r="H439" s="33"/>
      <c r="I439" s="33"/>
      <c r="J439" s="33"/>
      <c r="K439" s="33" t="s">
        <v>1236</v>
      </c>
      <c r="L439" s="41">
        <v>53400</v>
      </c>
      <c r="M439" s="41">
        <v>53400</v>
      </c>
    </row>
    <row r="440" spans="1:13" x14ac:dyDescent="0.25">
      <c r="A440" s="32">
        <v>1248</v>
      </c>
      <c r="B440" s="87" t="str">
        <f>VLOOKUP(A440,Documentos!D:F,3,FALSE)</f>
        <v>Oficio_Solicitud</v>
      </c>
      <c r="C440" s="88" t="str">
        <f>VLOOKUP(A440,Documentos!D:H,5,FALSE)</f>
        <v>DOH_FETCovid19</v>
      </c>
      <c r="D440" s="87">
        <f>VLOOKUP(A440,Documentos!D:I,6,FALSE)</f>
        <v>2732</v>
      </c>
      <c r="E440" s="7" t="s">
        <v>1258</v>
      </c>
      <c r="F440" s="10" t="s">
        <v>535</v>
      </c>
      <c r="G440" s="97" t="s">
        <v>494</v>
      </c>
      <c r="H440" s="33"/>
      <c r="I440" s="33"/>
      <c r="J440" s="33"/>
      <c r="K440" s="33" t="s">
        <v>1236</v>
      </c>
      <c r="L440" s="41">
        <v>204424</v>
      </c>
      <c r="M440" s="41">
        <v>204424</v>
      </c>
    </row>
    <row r="441" spans="1:13" x14ac:dyDescent="0.25">
      <c r="A441" s="32">
        <v>1249</v>
      </c>
      <c r="B441" s="87" t="str">
        <f>VLOOKUP(A441,Documentos!D:F,3,FALSE)</f>
        <v>Oficio_Solicitud</v>
      </c>
      <c r="C441" s="88" t="str">
        <f>VLOOKUP(A441,Documentos!D:H,5,FALSE)</f>
        <v>DOH</v>
      </c>
      <c r="D441" s="87">
        <f>VLOOKUP(A441,Documentos!D:I,6,FALSE)</f>
        <v>2733</v>
      </c>
      <c r="E441" s="7" t="s">
        <v>1258</v>
      </c>
      <c r="F441" s="10" t="s">
        <v>20</v>
      </c>
      <c r="G441" s="97" t="s">
        <v>494</v>
      </c>
      <c r="H441" s="33"/>
      <c r="I441" s="33"/>
      <c r="J441" s="33"/>
      <c r="K441" s="33" t="s">
        <v>1236</v>
      </c>
      <c r="L441" s="41">
        <v>120000</v>
      </c>
      <c r="M441" s="41">
        <v>120000</v>
      </c>
    </row>
    <row r="442" spans="1:13" x14ac:dyDescent="0.25">
      <c r="A442" s="32">
        <v>1250</v>
      </c>
      <c r="B442" s="87" t="str">
        <f>VLOOKUP(A442,Documentos!D:F,3,FALSE)</f>
        <v>Oficio_Solicitud</v>
      </c>
      <c r="C442" s="88" t="str">
        <f>VLOOKUP(A442,Documentos!D:H,5,FALSE)</f>
        <v>APR</v>
      </c>
      <c r="D442" s="87">
        <f>VLOOKUP(A442,Documentos!D:I,6,FALSE)</f>
        <v>2734</v>
      </c>
      <c r="E442" s="7" t="s">
        <v>1258</v>
      </c>
      <c r="F442" s="10" t="s">
        <v>6</v>
      </c>
      <c r="G442" s="97" t="s">
        <v>494</v>
      </c>
      <c r="H442" s="33"/>
      <c r="I442" s="33"/>
      <c r="J442" s="33"/>
      <c r="K442" s="33" t="s">
        <v>1236</v>
      </c>
      <c r="L442" s="41">
        <v>317</v>
      </c>
      <c r="M442" s="41">
        <v>317</v>
      </c>
    </row>
    <row r="443" spans="1:13" x14ac:dyDescent="0.25">
      <c r="A443" s="32">
        <v>1252</v>
      </c>
      <c r="B443" s="87" t="str">
        <f>VLOOKUP(A443,Documentos!D:F,3,FALSE)</f>
        <v>Oficio_Solicitud</v>
      </c>
      <c r="C443" s="88" t="str">
        <f>VLOOKUP(A443,Documentos!D:H,5,FALSE)</f>
        <v>APR_FETCovid19</v>
      </c>
      <c r="D443" s="87">
        <f>VLOOKUP(A443,Documentos!D:I,6,FALSE)</f>
        <v>2736</v>
      </c>
      <c r="E443" s="7" t="s">
        <v>1258</v>
      </c>
      <c r="F443" s="10" t="s">
        <v>559</v>
      </c>
      <c r="G443" s="97" t="s">
        <v>494</v>
      </c>
      <c r="H443" s="33"/>
      <c r="I443" s="33"/>
      <c r="J443" s="33"/>
      <c r="K443" s="33" t="s">
        <v>1236</v>
      </c>
      <c r="L443" s="41">
        <v>162392</v>
      </c>
      <c r="M443" s="41">
        <v>162392</v>
      </c>
    </row>
    <row r="444" spans="1:13" x14ac:dyDescent="0.25">
      <c r="A444" s="32">
        <v>1254</v>
      </c>
      <c r="B444" s="87" t="str">
        <f>VLOOKUP(A444,Documentos!D:F,3,FALSE)</f>
        <v>Oficio_Solicitud</v>
      </c>
      <c r="C444" s="88" t="str">
        <f>VLOOKUP(A444,Documentos!D:H,5,FALSE)</f>
        <v>DOH</v>
      </c>
      <c r="D444" s="87">
        <f>VLOOKUP(A444,Documentos!D:I,6,FALSE)</f>
        <v>2820</v>
      </c>
      <c r="E444" s="7" t="s">
        <v>1258</v>
      </c>
      <c r="F444" s="10" t="s">
        <v>20</v>
      </c>
      <c r="G444" s="97" t="s">
        <v>494</v>
      </c>
      <c r="H444" s="33"/>
      <c r="I444" s="33"/>
      <c r="J444" s="33"/>
      <c r="K444" s="33" t="s">
        <v>1236</v>
      </c>
      <c r="L444" s="41">
        <v>19311</v>
      </c>
      <c r="M444" s="41">
        <v>19311</v>
      </c>
    </row>
    <row r="445" spans="1:13" x14ac:dyDescent="0.25">
      <c r="A445" s="32">
        <v>1255</v>
      </c>
      <c r="B445" s="87" t="str">
        <f>VLOOKUP(A445,Documentos!D:F,3,FALSE)</f>
        <v>Oficio_Solicitud</v>
      </c>
      <c r="C445" s="88" t="str">
        <f>VLOOKUP(A445,Documentos!D:H,5,FALSE)</f>
        <v>APR</v>
      </c>
      <c r="D445" s="87">
        <f>VLOOKUP(A445,Documentos!D:I,6,FALSE)</f>
        <v>2826</v>
      </c>
      <c r="E445" s="7" t="s">
        <v>1258</v>
      </c>
      <c r="F445" s="10" t="s">
        <v>6</v>
      </c>
      <c r="G445" s="97" t="s">
        <v>494</v>
      </c>
      <c r="H445" s="33"/>
      <c r="I445" s="33"/>
      <c r="J445" s="33"/>
      <c r="K445" s="33" t="s">
        <v>1236</v>
      </c>
      <c r="L445" s="41">
        <v>4249</v>
      </c>
      <c r="M445" s="41">
        <v>4249</v>
      </c>
    </row>
    <row r="446" spans="1:13" x14ac:dyDescent="0.25">
      <c r="A446" s="32">
        <v>1282</v>
      </c>
      <c r="B446" s="87" t="str">
        <f>VLOOKUP(A446,Documentos!D:F,3,FALSE)</f>
        <v>Oficio_Solicitud</v>
      </c>
      <c r="C446" s="88" t="str">
        <f>VLOOKUP(A446,Documentos!D:H,5,FALSE)</f>
        <v>SISS</v>
      </c>
      <c r="D446" s="87">
        <f>VLOOKUP(A446,Documentos!D:I,6,FALSE)</f>
        <v>3537</v>
      </c>
      <c r="E446" s="7" t="s">
        <v>43</v>
      </c>
      <c r="F446" s="10" t="s">
        <v>33</v>
      </c>
      <c r="G446" s="97" t="s">
        <v>494</v>
      </c>
      <c r="H446" s="33"/>
      <c r="I446" s="33"/>
      <c r="J446" s="33"/>
      <c r="K446" s="33" t="s">
        <v>1278</v>
      </c>
      <c r="L446" s="41">
        <v>183723</v>
      </c>
      <c r="M446" s="41"/>
    </row>
    <row r="447" spans="1:13" x14ac:dyDescent="0.25">
      <c r="A447" s="32">
        <v>1283</v>
      </c>
      <c r="B447" s="87" t="str">
        <f>VLOOKUP(A447,Documentos!D:F,3,FALSE)</f>
        <v>Oficio_Solicitud</v>
      </c>
      <c r="C447" s="88" t="str">
        <f>VLOOKUP(A447,Documentos!D:H,5,FALSE)</f>
        <v>DV</v>
      </c>
      <c r="D447" s="87">
        <f>VLOOKUP(A447,Documentos!D:I,6,FALSE)</f>
        <v>3591</v>
      </c>
      <c r="E447" s="7" t="s">
        <v>1258</v>
      </c>
      <c r="F447" s="10" t="s">
        <v>26</v>
      </c>
      <c r="G447" s="97" t="s">
        <v>494</v>
      </c>
      <c r="H447" s="33"/>
      <c r="I447" s="33"/>
      <c r="J447" s="33"/>
      <c r="K447" s="33" t="s">
        <v>1236</v>
      </c>
      <c r="L447" s="41">
        <v>2007399</v>
      </c>
      <c r="M447" s="41">
        <v>2007399</v>
      </c>
    </row>
    <row r="448" spans="1:13" x14ac:dyDescent="0.25">
      <c r="A448" s="32">
        <v>1284</v>
      </c>
      <c r="B448" s="87" t="str">
        <f>VLOOKUP(A448,Documentos!D:F,3,FALSE)</f>
        <v>Oficio_Solicitud</v>
      </c>
      <c r="C448" s="88" t="str">
        <f>VLOOKUP(A448,Documentos!D:H,5,FALSE)</f>
        <v>DV_FETCovid19</v>
      </c>
      <c r="D448" s="87">
        <f>VLOOKUP(A448,Documentos!D:I,6,FALSE)</f>
        <v>3591</v>
      </c>
      <c r="E448" s="7" t="s">
        <v>1258</v>
      </c>
      <c r="F448" s="10" t="s">
        <v>538</v>
      </c>
      <c r="G448" s="97" t="s">
        <v>494</v>
      </c>
      <c r="H448" s="33"/>
      <c r="I448" s="33"/>
      <c r="J448" s="33"/>
      <c r="K448" s="33" t="s">
        <v>1236</v>
      </c>
      <c r="L448" s="41">
        <v>1798000</v>
      </c>
      <c r="M448" s="41">
        <v>1798000</v>
      </c>
    </row>
    <row r="449" spans="1:13" x14ac:dyDescent="0.25">
      <c r="A449" s="32">
        <v>1286</v>
      </c>
      <c r="B449" s="87" t="str">
        <f>VLOOKUP(A449,Documentos!D:F,3,FALSE)</f>
        <v>Oficio_Solicitud</v>
      </c>
      <c r="C449" s="88" t="str">
        <f>VLOOKUP(A449,Documentos!D:H,5,FALSE)</f>
        <v>DOH</v>
      </c>
      <c r="D449" s="87">
        <f>VLOOKUP(A449,Documentos!D:I,6,FALSE)</f>
        <v>3696</v>
      </c>
      <c r="E449" s="7" t="s">
        <v>43</v>
      </c>
      <c r="F449" s="10" t="s">
        <v>20</v>
      </c>
      <c r="G449" s="97" t="s">
        <v>494</v>
      </c>
      <c r="H449" s="33"/>
      <c r="I449" s="33"/>
      <c r="J449" s="33"/>
      <c r="K449" s="33" t="s">
        <v>1282</v>
      </c>
      <c r="L449" s="41">
        <v>73937476</v>
      </c>
      <c r="M449" s="41"/>
    </row>
    <row r="450" spans="1:13" x14ac:dyDescent="0.25">
      <c r="A450" s="32">
        <v>1287</v>
      </c>
      <c r="B450" s="87" t="str">
        <f>VLOOKUP(A450,Documentos!D:F,3,FALSE)</f>
        <v>Oficio_Solicitud</v>
      </c>
      <c r="C450" s="88" t="str">
        <f>VLOOKUP(A450,Documentos!D:H,5,FALSE)</f>
        <v>DOH_FETCovid19</v>
      </c>
      <c r="D450" s="87">
        <f>VLOOKUP(A450,Documentos!D:I,6,FALSE)</f>
        <v>3697</v>
      </c>
      <c r="E450" s="7" t="s">
        <v>43</v>
      </c>
      <c r="F450" s="10" t="s">
        <v>535</v>
      </c>
      <c r="G450" s="97" t="s">
        <v>494</v>
      </c>
      <c r="H450" s="33"/>
      <c r="I450" s="33"/>
      <c r="J450" s="33"/>
      <c r="K450" s="33" t="s">
        <v>1282</v>
      </c>
      <c r="L450" s="41">
        <v>88504701</v>
      </c>
      <c r="M450" s="41"/>
    </row>
    <row r="451" spans="1:13" x14ac:dyDescent="0.25">
      <c r="A451" s="32">
        <v>1288</v>
      </c>
      <c r="B451" s="87" t="str">
        <f>VLOOKUP(A451,Documentos!D:F,3,FALSE)</f>
        <v>Oficio_Solicitud</v>
      </c>
      <c r="C451" s="88" t="str">
        <f>VLOOKUP(A451,Documentos!D:H,5,FALSE)</f>
        <v>APR_FETCovid19</v>
      </c>
      <c r="D451" s="87">
        <f>VLOOKUP(A451,Documentos!D:I,6,FALSE)</f>
        <v>3730</v>
      </c>
      <c r="E451" s="7" t="s">
        <v>43</v>
      </c>
      <c r="F451" s="10" t="s">
        <v>559</v>
      </c>
      <c r="G451" s="97" t="s">
        <v>494</v>
      </c>
      <c r="H451" s="33"/>
      <c r="I451" s="33"/>
      <c r="J451" s="33"/>
      <c r="K451" s="33" t="s">
        <v>1278</v>
      </c>
      <c r="L451" s="41">
        <v>58023307</v>
      </c>
      <c r="M451" s="41">
        <v>0</v>
      </c>
    </row>
    <row r="452" spans="1:13" x14ac:dyDescent="0.25">
      <c r="A452" s="32">
        <v>1292</v>
      </c>
      <c r="B452" s="87" t="str">
        <f>VLOOKUP(A452,Documentos!D:F,3,FALSE)</f>
        <v>Oficio_Solicitud</v>
      </c>
      <c r="C452" s="88" t="str">
        <f>VLOOKUP(A452,Documentos!D:H,5,FALSE)</f>
        <v>DV</v>
      </c>
      <c r="D452" s="87">
        <f>VLOOKUP(A452,Documentos!D:I,6,FALSE)</f>
        <v>4279</v>
      </c>
      <c r="E452" s="7" t="s">
        <v>60</v>
      </c>
      <c r="F452" s="10" t="s">
        <v>26</v>
      </c>
      <c r="G452" s="97" t="s">
        <v>494</v>
      </c>
      <c r="H452" s="33"/>
      <c r="I452" s="33"/>
      <c r="J452" s="33"/>
      <c r="K452" s="33" t="s">
        <v>1278</v>
      </c>
      <c r="L452" s="41">
        <v>31554330</v>
      </c>
      <c r="M452" s="41">
        <v>19509000</v>
      </c>
    </row>
    <row r="453" spans="1:13" x14ac:dyDescent="0.25">
      <c r="A453" s="32">
        <v>1293</v>
      </c>
      <c r="B453" s="87" t="str">
        <f>VLOOKUP(A453,Documentos!D:F,3,FALSE)</f>
        <v>Oficio_Solicitud</v>
      </c>
      <c r="C453" s="88" t="str">
        <f>VLOOKUP(A453,Documentos!D:H,5,FALSE)</f>
        <v>DV_FETCovid19</v>
      </c>
      <c r="D453" s="87">
        <f>VLOOKUP(A453,Documentos!D:I,6,FALSE)</f>
        <v>4279</v>
      </c>
      <c r="E453" s="7" t="s">
        <v>60</v>
      </c>
      <c r="F453" s="10" t="s">
        <v>538</v>
      </c>
      <c r="G453" s="97" t="s">
        <v>494</v>
      </c>
      <c r="H453" s="33"/>
      <c r="I453" s="33"/>
      <c r="J453" s="33"/>
      <c r="K453" s="33" t="s">
        <v>1278</v>
      </c>
      <c r="L453" s="41">
        <v>17985500</v>
      </c>
      <c r="M453" s="41">
        <v>18185500</v>
      </c>
    </row>
    <row r="454" spans="1:13" x14ac:dyDescent="0.25">
      <c r="A454" s="32">
        <v>1296</v>
      </c>
      <c r="B454" s="87" t="str">
        <f>VLOOKUP(A454,Documentos!D:F,3,FALSE)</f>
        <v>Oficio_Solicitud</v>
      </c>
      <c r="C454" s="88" t="str">
        <f>VLOOKUP(A454,Documentos!D:H,5,FALSE)</f>
        <v>DOH</v>
      </c>
      <c r="D454" s="87">
        <f>VLOOKUP(A454,Documentos!D:I,6,FALSE)</f>
        <v>1516</v>
      </c>
      <c r="E454" s="7" t="s">
        <v>60</v>
      </c>
      <c r="F454" s="10" t="s">
        <v>20</v>
      </c>
      <c r="G454" s="97" t="s">
        <v>494</v>
      </c>
      <c r="H454" s="33"/>
      <c r="I454" s="33"/>
      <c r="J454" s="33"/>
      <c r="K454" s="33" t="s">
        <v>1278</v>
      </c>
      <c r="L454" s="41">
        <v>10817160</v>
      </c>
      <c r="M454" s="41">
        <v>11651605</v>
      </c>
    </row>
    <row r="455" spans="1:13" x14ac:dyDescent="0.25">
      <c r="A455" s="42">
        <v>1297</v>
      </c>
      <c r="B455" s="87" t="str">
        <f>VLOOKUP(A455,Documentos!D:F,3,FALSE)</f>
        <v>Oficio_Solicitud</v>
      </c>
      <c r="C455" s="88" t="str">
        <f>VLOOKUP(A455,Documentos!D:H,5,FALSE)</f>
        <v>DV-DV_FETCovid19</v>
      </c>
      <c r="D455" s="87">
        <f>VLOOKUP(A455,Documentos!D:I,6,FALSE)</f>
        <v>4480</v>
      </c>
      <c r="E455" s="7" t="s">
        <v>1257</v>
      </c>
      <c r="F455" s="10" t="s">
        <v>538</v>
      </c>
      <c r="G455" s="97" t="s">
        <v>494</v>
      </c>
      <c r="H455" s="33"/>
      <c r="I455" s="33"/>
      <c r="J455" s="33"/>
      <c r="K455" s="33" t="s">
        <v>1236</v>
      </c>
      <c r="L455" s="41">
        <v>170570008</v>
      </c>
      <c r="M455" s="41">
        <v>170570008</v>
      </c>
    </row>
    <row r="456" spans="1:13" x14ac:dyDescent="0.25">
      <c r="A456" s="32">
        <v>1298</v>
      </c>
      <c r="B456" s="87" t="str">
        <f>VLOOKUP(A456,Documentos!D:F,3,FALSE)</f>
        <v>Oficio_Solicitud</v>
      </c>
      <c r="C456" s="88" t="str">
        <f>VLOOKUP(A456,Documentos!D:H,5,FALSE)</f>
        <v>DV_FETCovid19</v>
      </c>
      <c r="D456" s="87">
        <f>VLOOKUP(A456,Documentos!D:I,6,FALSE)</f>
        <v>4480</v>
      </c>
      <c r="E456" s="7" t="s">
        <v>60</v>
      </c>
      <c r="F456" s="10" t="s">
        <v>538</v>
      </c>
      <c r="G456" s="97" t="s">
        <v>494</v>
      </c>
      <c r="H456" s="33"/>
      <c r="I456" s="33"/>
      <c r="J456" s="33"/>
      <c r="K456" s="33" t="s">
        <v>1278</v>
      </c>
      <c r="L456" s="41">
        <v>119072008</v>
      </c>
      <c r="M456" s="41">
        <v>118872008</v>
      </c>
    </row>
    <row r="457" spans="1:13" x14ac:dyDescent="0.25">
      <c r="A457" s="32">
        <v>1300</v>
      </c>
      <c r="B457" s="87" t="str">
        <f>VLOOKUP(A457,Documentos!D:F,3,FALSE)</f>
        <v>Oficio_Solicitud</v>
      </c>
      <c r="C457" s="88" t="str">
        <f>VLOOKUP(A457,Documentos!D:H,5,FALSE)</f>
        <v>DV</v>
      </c>
      <c r="D457" s="87">
        <f>VLOOKUP(A457,Documentos!D:I,6,FALSE)</f>
        <v>4561</v>
      </c>
      <c r="E457" s="7" t="s">
        <v>60</v>
      </c>
      <c r="F457" s="10" t="s">
        <v>26</v>
      </c>
      <c r="G457" s="97" t="s">
        <v>494</v>
      </c>
      <c r="H457" s="33"/>
      <c r="I457" s="33"/>
      <c r="J457" s="33"/>
      <c r="K457" s="33" t="s">
        <v>1278</v>
      </c>
      <c r="L457" s="41">
        <v>1479000</v>
      </c>
      <c r="M457" s="41"/>
    </row>
    <row r="458" spans="1:13" x14ac:dyDescent="0.25">
      <c r="A458" s="32">
        <v>1303</v>
      </c>
      <c r="B458" s="87" t="str">
        <f>VLOOKUP(A458,Documentos!D:F,3,FALSE)</f>
        <v>Proposicion</v>
      </c>
      <c r="C458" s="88" t="str">
        <f>VLOOKUP(A458,Documentos!D:H,5,FALSE)</f>
        <v>APR</v>
      </c>
      <c r="D458" s="87">
        <f>VLOOKUP(A458,Documentos!D:I,6,FALSE)</f>
        <v>594</v>
      </c>
      <c r="E458" s="7" t="s">
        <v>42</v>
      </c>
      <c r="F458" s="10" t="s">
        <v>6</v>
      </c>
      <c r="G458" s="97" t="s">
        <v>494</v>
      </c>
      <c r="H458" s="33"/>
      <c r="I458" s="33"/>
      <c r="J458" s="33"/>
      <c r="K458" s="33" t="s">
        <v>1282</v>
      </c>
      <c r="L458" s="41">
        <v>281518</v>
      </c>
      <c r="M458" s="41"/>
    </row>
    <row r="459" spans="1:13" x14ac:dyDescent="0.25">
      <c r="A459" s="32">
        <v>1306</v>
      </c>
      <c r="B459" s="87" t="str">
        <f>VLOOKUP(A459,Documentos!D:F,3,FALSE)</f>
        <v>Oficio_Solicitud</v>
      </c>
      <c r="C459" s="88" t="str">
        <f>VLOOKUP(A459,Documentos!D:H,5,FALSE)</f>
        <v>DV</v>
      </c>
      <c r="D459" s="87">
        <f>VLOOKUP(A459,Documentos!D:I,6,FALSE)</f>
        <v>5312</v>
      </c>
      <c r="E459" s="7" t="s">
        <v>60</v>
      </c>
      <c r="F459" s="10" t="s">
        <v>26</v>
      </c>
      <c r="G459" s="97" t="s">
        <v>494</v>
      </c>
      <c r="H459" s="33"/>
      <c r="I459" s="33"/>
      <c r="J459" s="33"/>
      <c r="K459" s="33" t="s">
        <v>1278</v>
      </c>
      <c r="L459" s="41">
        <v>31791640</v>
      </c>
      <c r="M459" s="41">
        <v>22963557</v>
      </c>
    </row>
    <row r="460" spans="1:13" x14ac:dyDescent="0.25">
      <c r="A460" s="32">
        <v>1307</v>
      </c>
      <c r="B460" s="87" t="str">
        <f>VLOOKUP(A460,Documentos!D:F,3,FALSE)</f>
        <v>Oficio_Solicitud</v>
      </c>
      <c r="C460" s="88" t="str">
        <f>VLOOKUP(A460,Documentos!D:H,5,FALSE)</f>
        <v>DV</v>
      </c>
      <c r="D460" s="87">
        <f>VLOOKUP(A460,Documentos!D:I,6,FALSE)</f>
        <v>5539</v>
      </c>
      <c r="E460" s="7" t="s">
        <v>1258</v>
      </c>
      <c r="F460" s="10" t="s">
        <v>26</v>
      </c>
      <c r="G460" s="97" t="s">
        <v>494</v>
      </c>
      <c r="H460" s="33"/>
      <c r="I460" s="33"/>
      <c r="J460" s="33"/>
      <c r="K460" s="33" t="s">
        <v>1236</v>
      </c>
      <c r="L460" s="41">
        <v>1692187</v>
      </c>
      <c r="M460" s="41">
        <v>1692187</v>
      </c>
    </row>
    <row r="461" spans="1:13" x14ac:dyDescent="0.25">
      <c r="A461" s="32">
        <v>1308</v>
      </c>
      <c r="B461" s="87" t="str">
        <f>VLOOKUP(A461,Documentos!D:F,3,FALSE)</f>
        <v>Oficio_Solicitud</v>
      </c>
      <c r="C461" s="88" t="str">
        <f>VLOOKUP(A461,Documentos!D:H,5,FALSE)</f>
        <v>DV_FETCovid19</v>
      </c>
      <c r="D461" s="87">
        <f>VLOOKUP(A461,Documentos!D:I,6,FALSE)</f>
        <v>5539</v>
      </c>
      <c r="E461" s="7" t="s">
        <v>1258</v>
      </c>
      <c r="F461" s="10" t="s">
        <v>538</v>
      </c>
      <c r="G461" s="97" t="s">
        <v>494</v>
      </c>
      <c r="H461" s="33"/>
      <c r="I461" s="33"/>
      <c r="J461" s="33"/>
      <c r="K461" s="33" t="s">
        <v>1236</v>
      </c>
      <c r="L461" s="41">
        <v>36287</v>
      </c>
      <c r="M461" s="41">
        <v>36287</v>
      </c>
    </row>
    <row r="462" spans="1:13" x14ac:dyDescent="0.25">
      <c r="A462" s="32">
        <v>1310</v>
      </c>
      <c r="B462" s="87" t="str">
        <f>VLOOKUP(A462,Documentos!D:F,3,FALSE)</f>
        <v>Oficio_Solicitud</v>
      </c>
      <c r="C462" s="88" t="str">
        <f>VLOOKUP(A462,Documentos!D:H,5,FALSE)</f>
        <v>DV</v>
      </c>
      <c r="D462" s="87">
        <f>VLOOKUP(A462,Documentos!D:I,6,FALSE)</f>
        <v>6134</v>
      </c>
      <c r="E462" s="7" t="s">
        <v>60</v>
      </c>
      <c r="F462" s="10" t="s">
        <v>26</v>
      </c>
      <c r="G462" s="97" t="s">
        <v>494</v>
      </c>
      <c r="H462" s="33"/>
      <c r="I462" s="33"/>
      <c r="J462" s="33"/>
      <c r="K462" s="33" t="s">
        <v>1278</v>
      </c>
      <c r="L462" s="41">
        <v>41300</v>
      </c>
      <c r="M462" s="41">
        <v>0</v>
      </c>
    </row>
    <row r="463" spans="1:13" x14ac:dyDescent="0.25">
      <c r="A463" s="32">
        <v>1313</v>
      </c>
      <c r="B463" s="87" t="str">
        <f>VLOOKUP(A463,Documentos!D:F,3,FALSE)</f>
        <v>Oficio_Solicitud</v>
      </c>
      <c r="C463" s="88" t="str">
        <f>VLOOKUP(A463,Documentos!D:H,5,FALSE)</f>
        <v>DV</v>
      </c>
      <c r="D463" s="87">
        <f>VLOOKUP(A463,Documentos!D:I,6,FALSE)</f>
        <v>6850</v>
      </c>
      <c r="E463" s="7" t="s">
        <v>60</v>
      </c>
      <c r="F463" s="10" t="s">
        <v>26</v>
      </c>
      <c r="G463" s="97" t="s">
        <v>494</v>
      </c>
      <c r="H463" s="33"/>
      <c r="I463" s="33"/>
      <c r="J463" s="33"/>
      <c r="K463" s="33" t="s">
        <v>1278</v>
      </c>
      <c r="L463" s="41">
        <v>320800</v>
      </c>
      <c r="M463" s="41">
        <v>0</v>
      </c>
    </row>
    <row r="464" spans="1:13" x14ac:dyDescent="0.25">
      <c r="A464" s="32">
        <v>1314</v>
      </c>
      <c r="B464" s="87" t="str">
        <f>VLOOKUP(A464,Documentos!D:F,3,FALSE)</f>
        <v>Oficio_Solicitud</v>
      </c>
      <c r="C464" s="88" t="str">
        <f>VLOOKUP(A464,Documentos!D:H,5,FALSE)</f>
        <v>DV</v>
      </c>
      <c r="D464" s="87">
        <f>VLOOKUP(A464,Documentos!D:I,6,FALSE)</f>
        <v>6877</v>
      </c>
      <c r="E464" s="7" t="s">
        <v>1258</v>
      </c>
      <c r="F464" s="10" t="s">
        <v>26</v>
      </c>
      <c r="G464" s="97" t="s">
        <v>494</v>
      </c>
      <c r="H464" s="33"/>
      <c r="I464" s="33"/>
      <c r="J464" s="33"/>
      <c r="K464" s="33" t="s">
        <v>1236</v>
      </c>
      <c r="L464" s="41">
        <v>1227610</v>
      </c>
      <c r="M464" s="41">
        <v>1227610</v>
      </c>
    </row>
    <row r="465" spans="1:13" x14ac:dyDescent="0.25">
      <c r="A465" s="32">
        <v>1315</v>
      </c>
      <c r="B465" s="87" t="str">
        <f>VLOOKUP(A465,Documentos!D:F,3,FALSE)</f>
        <v>Oficio_Solicitud</v>
      </c>
      <c r="C465" s="88" t="str">
        <f>VLOOKUP(A465,Documentos!D:H,5,FALSE)</f>
        <v>DV_FETCovid19</v>
      </c>
      <c r="D465" s="87">
        <f>VLOOKUP(A465,Documentos!D:I,6,FALSE)</f>
        <v>6877</v>
      </c>
      <c r="E465" s="7" t="s">
        <v>1258</v>
      </c>
      <c r="F465" s="10" t="s">
        <v>538</v>
      </c>
      <c r="G465" s="97" t="s">
        <v>494</v>
      </c>
      <c r="H465" s="33"/>
      <c r="I465" s="33"/>
      <c r="J465" s="33"/>
      <c r="K465" s="33" t="s">
        <v>1236</v>
      </c>
      <c r="L465" s="41">
        <v>77740</v>
      </c>
      <c r="M465" s="41">
        <v>77740</v>
      </c>
    </row>
    <row r="466" spans="1:13" x14ac:dyDescent="0.25">
      <c r="A466" s="32">
        <v>1321</v>
      </c>
      <c r="B466" s="87" t="str">
        <f>VLOOKUP(A466,Documentos!D:F,3,FALSE)</f>
        <v>Oficio_Solicitud</v>
      </c>
      <c r="C466" s="88" t="str">
        <f>VLOOKUP(A466,Documentos!D:H,5,FALSE)</f>
        <v>DV</v>
      </c>
      <c r="D466" s="87">
        <f>VLOOKUP(A466,Documentos!D:I,6,FALSE)</f>
        <v>7613</v>
      </c>
      <c r="E466" s="7" t="s">
        <v>1258</v>
      </c>
      <c r="F466" s="10" t="s">
        <v>26</v>
      </c>
      <c r="G466" s="97" t="s">
        <v>494</v>
      </c>
      <c r="H466" s="33"/>
      <c r="I466" s="33"/>
      <c r="J466" s="33"/>
      <c r="K466" s="33" t="s">
        <v>1236</v>
      </c>
      <c r="L466" s="41">
        <v>923470</v>
      </c>
      <c r="M466" s="41">
        <v>923470</v>
      </c>
    </row>
    <row r="467" spans="1:13" x14ac:dyDescent="0.25">
      <c r="A467" s="32">
        <v>1322</v>
      </c>
      <c r="B467" s="87" t="str">
        <f>VLOOKUP(A467,Documentos!D:F,3,FALSE)</f>
        <v>Oficio_Solicitud</v>
      </c>
      <c r="C467" s="88" t="str">
        <f>VLOOKUP(A467,Documentos!D:H,5,FALSE)</f>
        <v>DV_FETCovid19</v>
      </c>
      <c r="D467" s="87">
        <f>VLOOKUP(A467,Documentos!D:I,6,FALSE)</f>
        <v>7613</v>
      </c>
      <c r="E467" s="7" t="s">
        <v>1258</v>
      </c>
      <c r="F467" s="10" t="s">
        <v>538</v>
      </c>
      <c r="G467" s="97" t="s">
        <v>494</v>
      </c>
      <c r="H467" s="33"/>
      <c r="I467" s="33"/>
      <c r="J467" s="33"/>
      <c r="K467" s="33" t="s">
        <v>1236</v>
      </c>
      <c r="L467" s="41">
        <v>400000</v>
      </c>
      <c r="M467" s="41">
        <v>400000</v>
      </c>
    </row>
    <row r="468" spans="1:13" x14ac:dyDescent="0.25">
      <c r="A468" s="32">
        <v>1323</v>
      </c>
      <c r="B468" s="87" t="str">
        <f>VLOOKUP(A468,Documentos!D:F,3,FALSE)</f>
        <v>Oficio_Solicitud</v>
      </c>
      <c r="C468" s="88" t="str">
        <f>VLOOKUP(A468,Documentos!D:H,5,FALSE)</f>
        <v>DV</v>
      </c>
      <c r="D468" s="87">
        <f>VLOOKUP(A468,Documentos!D:I,6,FALSE)</f>
        <v>7638</v>
      </c>
      <c r="E468" s="7" t="s">
        <v>60</v>
      </c>
      <c r="F468" s="10" t="s">
        <v>26</v>
      </c>
      <c r="G468" s="97" t="s">
        <v>494</v>
      </c>
      <c r="H468" s="33"/>
      <c r="I468" s="33"/>
      <c r="J468" s="33"/>
      <c r="K468" s="33" t="s">
        <v>1278</v>
      </c>
      <c r="L468" s="41">
        <v>56473701</v>
      </c>
      <c r="M468" s="41">
        <v>58123095</v>
      </c>
    </row>
    <row r="469" spans="1:13" x14ac:dyDescent="0.25">
      <c r="A469" s="32">
        <v>1324</v>
      </c>
      <c r="B469" s="87" t="str">
        <f>VLOOKUP(A469,Documentos!D:F,3,FALSE)</f>
        <v>Oficio_Solicitud</v>
      </c>
      <c r="C469" s="88" t="str">
        <f>VLOOKUP(A469,Documentos!D:H,5,FALSE)</f>
        <v>DV_FETCovid19</v>
      </c>
      <c r="D469" s="87">
        <f>VLOOKUP(A469,Documentos!D:I,6,FALSE)</f>
        <v>7638</v>
      </c>
      <c r="E469" s="7" t="s">
        <v>60</v>
      </c>
      <c r="F469" s="10" t="s">
        <v>538</v>
      </c>
      <c r="G469" s="97" t="s">
        <v>494</v>
      </c>
      <c r="H469" s="33"/>
      <c r="I469" s="33"/>
      <c r="J469" s="33"/>
      <c r="K469" s="33" t="s">
        <v>1278</v>
      </c>
      <c r="L469" s="41">
        <v>5722550</v>
      </c>
      <c r="M469" s="41">
        <v>6138500</v>
      </c>
    </row>
    <row r="470" spans="1:13" x14ac:dyDescent="0.25">
      <c r="A470" s="32">
        <v>1325</v>
      </c>
      <c r="B470" s="87" t="str">
        <f>VLOOKUP(A470,Documentos!D:F,3,FALSE)</f>
        <v>Proposicion</v>
      </c>
      <c r="C470" s="88" t="str">
        <f>VLOOKUP(A470,Documentos!D:H,5,FALSE)</f>
        <v>DV</v>
      </c>
      <c r="D470" s="87">
        <f>VLOOKUP(A470,Documentos!D:I,6,FALSE)</f>
        <v>582</v>
      </c>
      <c r="E470" s="7" t="s">
        <v>60</v>
      </c>
      <c r="F470" s="10" t="s">
        <v>26</v>
      </c>
      <c r="G470" s="97" t="s">
        <v>494</v>
      </c>
      <c r="H470" s="33"/>
      <c r="I470" s="33"/>
      <c r="J470" s="33"/>
      <c r="K470" s="33" t="s">
        <v>1278</v>
      </c>
      <c r="L470" s="41">
        <v>54278355</v>
      </c>
      <c r="M470" s="41">
        <v>56958095</v>
      </c>
    </row>
    <row r="471" spans="1:13" x14ac:dyDescent="0.25">
      <c r="A471" s="32">
        <v>1328</v>
      </c>
      <c r="B471" s="87" t="str">
        <f>VLOOKUP(A471,Documentos!D:F,3,FALSE)</f>
        <v>Oficio_Solicitud</v>
      </c>
      <c r="C471" s="88" t="str">
        <f>VLOOKUP(A471,Documentos!D:H,5,FALSE)</f>
        <v>DV</v>
      </c>
      <c r="D471" s="87">
        <f>VLOOKUP(A471,Documentos!D:I,6,FALSE)</f>
        <v>7868</v>
      </c>
      <c r="E471" s="7" t="s">
        <v>60</v>
      </c>
      <c r="F471" s="10" t="s">
        <v>26</v>
      </c>
      <c r="G471" s="97" t="s">
        <v>494</v>
      </c>
      <c r="H471" s="33"/>
      <c r="I471" s="33"/>
      <c r="J471" s="33"/>
      <c r="K471" s="33" t="s">
        <v>1278</v>
      </c>
      <c r="L471" s="41">
        <v>10250</v>
      </c>
      <c r="M471" s="41">
        <v>0</v>
      </c>
    </row>
    <row r="472" spans="1:13" x14ac:dyDescent="0.25">
      <c r="A472" s="32">
        <v>1329</v>
      </c>
      <c r="B472" s="87" t="str">
        <f>VLOOKUP(A472,Documentos!D:F,3,FALSE)</f>
        <v>Oficio_Solicitud</v>
      </c>
      <c r="C472" s="88" t="str">
        <f>VLOOKUP(A472,Documentos!D:H,5,FALSE)</f>
        <v>DV</v>
      </c>
      <c r="D472" s="87">
        <f>VLOOKUP(A472,Documentos!D:I,6,FALSE)</f>
        <v>8260</v>
      </c>
      <c r="E472" s="7" t="s">
        <v>60</v>
      </c>
      <c r="F472" s="10" t="s">
        <v>26</v>
      </c>
      <c r="G472" s="97" t="s">
        <v>494</v>
      </c>
      <c r="H472" s="33"/>
      <c r="I472" s="33"/>
      <c r="J472" s="33"/>
      <c r="K472" s="33" t="s">
        <v>1278</v>
      </c>
      <c r="L472" s="41">
        <v>11694880</v>
      </c>
      <c r="M472" s="41">
        <v>12178640</v>
      </c>
    </row>
    <row r="473" spans="1:13" x14ac:dyDescent="0.25">
      <c r="A473" s="32">
        <v>1330</v>
      </c>
      <c r="B473" s="87" t="str">
        <f>VLOOKUP(A473,Documentos!D:F,3,FALSE)</f>
        <v>Oficio_Solicitud</v>
      </c>
      <c r="C473" s="88" t="str">
        <f>VLOOKUP(A473,Documentos!D:H,5,FALSE)</f>
        <v>DV_FETCovid19</v>
      </c>
      <c r="D473" s="87">
        <f>VLOOKUP(A473,Documentos!D:I,6,FALSE)</f>
        <v>8260</v>
      </c>
      <c r="E473" s="7" t="s">
        <v>60</v>
      </c>
      <c r="F473" s="10" t="s">
        <v>538</v>
      </c>
      <c r="G473" s="97" t="s">
        <v>494</v>
      </c>
      <c r="H473" s="33"/>
      <c r="I473" s="33"/>
      <c r="J473" s="33"/>
      <c r="K473" s="33" t="s">
        <v>1278</v>
      </c>
      <c r="L473" s="41">
        <v>600000</v>
      </c>
      <c r="M473" s="41">
        <v>600000</v>
      </c>
    </row>
    <row r="474" spans="1:13" x14ac:dyDescent="0.25">
      <c r="A474" s="32">
        <v>1331</v>
      </c>
      <c r="B474" s="87" t="str">
        <f>VLOOKUP(A474,Documentos!D:F,3,FALSE)</f>
        <v>Oficio_Solicitud</v>
      </c>
      <c r="C474" s="88" t="str">
        <f>VLOOKUP(A474,Documentos!D:H,5,FALSE)</f>
        <v>DV</v>
      </c>
      <c r="D474" s="87">
        <f>VLOOKUP(A474,Documentos!D:I,6,FALSE)</f>
        <v>8260</v>
      </c>
      <c r="E474" s="7" t="s">
        <v>60</v>
      </c>
      <c r="F474" s="10" t="s">
        <v>26</v>
      </c>
      <c r="G474" s="97" t="s">
        <v>494</v>
      </c>
      <c r="H474" s="33"/>
      <c r="I474" s="33"/>
      <c r="J474" s="33"/>
      <c r="K474" s="33" t="s">
        <v>1278</v>
      </c>
      <c r="L474" s="41">
        <v>40</v>
      </c>
      <c r="M474" s="41">
        <v>0</v>
      </c>
    </row>
    <row r="475" spans="1:13" x14ac:dyDescent="0.25">
      <c r="A475" s="32">
        <v>1335</v>
      </c>
      <c r="B475" s="87" t="str">
        <f>VLOOKUP(A475,Documentos!D:F,3,FALSE)</f>
        <v>Oficio_Solicitud</v>
      </c>
      <c r="C475" s="88" t="str">
        <f>VLOOKUP(A475,Documentos!D:H,5,FALSE)</f>
        <v>DV</v>
      </c>
      <c r="D475" s="87">
        <f>VLOOKUP(A475,Documentos!D:I,6,FALSE)</f>
        <v>8951</v>
      </c>
      <c r="E475" s="7" t="s">
        <v>1258</v>
      </c>
      <c r="F475" s="10" t="s">
        <v>26</v>
      </c>
      <c r="G475" s="97" t="s">
        <v>494</v>
      </c>
      <c r="H475" s="33"/>
      <c r="I475" s="33"/>
      <c r="J475" s="33"/>
      <c r="K475" s="33" t="s">
        <v>1236</v>
      </c>
      <c r="L475" s="41">
        <v>2717056</v>
      </c>
      <c r="M475" s="41">
        <v>2717056</v>
      </c>
    </row>
    <row r="476" spans="1:13" x14ac:dyDescent="0.25">
      <c r="A476" s="32">
        <v>1337</v>
      </c>
      <c r="B476" s="87" t="str">
        <f>VLOOKUP(A476,Documentos!D:F,3,FALSE)</f>
        <v>Oficio_Solicitud</v>
      </c>
      <c r="C476" s="88" t="str">
        <f>VLOOKUP(A476,Documentos!D:H,5,FALSE)</f>
        <v>DV_FETCovid19</v>
      </c>
      <c r="D476" s="87">
        <f>VLOOKUP(A476,Documentos!D:I,6,FALSE)</f>
        <v>8951</v>
      </c>
      <c r="E476" s="7" t="s">
        <v>1258</v>
      </c>
      <c r="F476" s="10" t="s">
        <v>538</v>
      </c>
      <c r="G476" s="97" t="s">
        <v>494</v>
      </c>
      <c r="H476" s="33"/>
      <c r="I476" s="33"/>
      <c r="J476" s="33"/>
      <c r="K476" s="33" t="s">
        <v>1236</v>
      </c>
      <c r="L476" s="41">
        <v>2183535</v>
      </c>
      <c r="M476" s="41">
        <v>2183535</v>
      </c>
    </row>
    <row r="477" spans="1:13" x14ac:dyDescent="0.25">
      <c r="A477" s="32">
        <v>1339</v>
      </c>
      <c r="B477" s="87" t="str">
        <f>VLOOKUP(A477,Documentos!D:F,3,FALSE)</f>
        <v>Oficio_Solicitud</v>
      </c>
      <c r="C477" s="88" t="str">
        <f>VLOOKUP(A477,Documentos!D:H,5,FALSE)</f>
        <v>DV</v>
      </c>
      <c r="D477" s="87">
        <f>VLOOKUP(A477,Documentos!D:I,6,FALSE)</f>
        <v>9653</v>
      </c>
      <c r="E477" s="7" t="s">
        <v>60</v>
      </c>
      <c r="F477" s="10" t="s">
        <v>26</v>
      </c>
      <c r="G477" s="97" t="s">
        <v>494</v>
      </c>
      <c r="H477" s="33"/>
      <c r="I477" s="33"/>
      <c r="J477" s="33"/>
      <c r="K477" s="33" t="s">
        <v>1278</v>
      </c>
      <c r="L477" s="44">
        <v>18589150</v>
      </c>
      <c r="M477" s="41"/>
    </row>
    <row r="478" spans="1:13" x14ac:dyDescent="0.25">
      <c r="A478" s="32">
        <v>1343</v>
      </c>
      <c r="B478" s="87" t="str">
        <f>VLOOKUP(A478,Documentos!D:F,3,FALSE)</f>
        <v>Oficio_Solicitud</v>
      </c>
      <c r="C478" s="88" t="str">
        <f>VLOOKUP(A478,Documentos!D:H,5,FALSE)</f>
        <v>DV_FETCovid19</v>
      </c>
      <c r="D478" s="87">
        <f>VLOOKUP(A478,Documentos!D:I,6,FALSE)</f>
        <v>9909</v>
      </c>
      <c r="E478" s="7" t="s">
        <v>41</v>
      </c>
      <c r="F478" s="10" t="s">
        <v>538</v>
      </c>
      <c r="G478" s="97" t="s">
        <v>494</v>
      </c>
      <c r="H478" s="33"/>
      <c r="I478" s="33"/>
      <c r="J478" s="33"/>
      <c r="K478" s="33" t="s">
        <v>1278</v>
      </c>
      <c r="L478" s="41">
        <v>40683793</v>
      </c>
      <c r="M478" s="41">
        <v>0</v>
      </c>
    </row>
    <row r="479" spans="1:13" x14ac:dyDescent="0.25">
      <c r="A479" s="32">
        <v>1346</v>
      </c>
      <c r="B479" s="87" t="str">
        <f>VLOOKUP(A479,Documentos!D:F,3,FALSE)</f>
        <v>Oficio_Solicitud</v>
      </c>
      <c r="C479" s="88" t="str">
        <f>VLOOKUP(A479,Documentos!D:H,5,FALSE)</f>
        <v>DV</v>
      </c>
      <c r="D479" s="87">
        <f>VLOOKUP(A479,Documentos!D:I,6,FALSE)</f>
        <v>10199</v>
      </c>
      <c r="E479" s="7" t="s">
        <v>1258</v>
      </c>
      <c r="F479" s="10" t="s">
        <v>26</v>
      </c>
      <c r="G479" s="97" t="s">
        <v>494</v>
      </c>
      <c r="H479" s="33"/>
      <c r="I479" s="33"/>
      <c r="J479" s="33"/>
      <c r="K479" s="33" t="s">
        <v>1236</v>
      </c>
      <c r="L479" s="41">
        <v>1054521</v>
      </c>
      <c r="M479" s="41">
        <v>1054521</v>
      </c>
    </row>
    <row r="480" spans="1:13" x14ac:dyDescent="0.25">
      <c r="A480" s="32">
        <v>1347</v>
      </c>
      <c r="B480" s="87" t="str">
        <f>VLOOKUP(A480,Documentos!D:F,3,FALSE)</f>
        <v>Oficio_Solicitud</v>
      </c>
      <c r="C480" s="88" t="str">
        <f>VLOOKUP(A480,Documentos!D:H,5,FALSE)</f>
        <v>DV_FETCovid19</v>
      </c>
      <c r="D480" s="87">
        <f>VLOOKUP(A480,Documentos!D:I,6,FALSE)</f>
        <v>10199</v>
      </c>
      <c r="E480" s="7" t="s">
        <v>1258</v>
      </c>
      <c r="F480" s="10" t="s">
        <v>538</v>
      </c>
      <c r="G480" s="97" t="s">
        <v>494</v>
      </c>
      <c r="H480" s="33"/>
      <c r="I480" s="33"/>
      <c r="J480" s="33"/>
      <c r="K480" s="33" t="s">
        <v>1236</v>
      </c>
      <c r="L480" s="41">
        <v>298422</v>
      </c>
      <c r="M480" s="41">
        <v>298422</v>
      </c>
    </row>
    <row r="481" spans="1:13" x14ac:dyDescent="0.25">
      <c r="A481" s="32">
        <v>1349</v>
      </c>
      <c r="B481" s="87" t="str">
        <f>VLOOKUP(A481,Documentos!D:F,3,FALSE)</f>
        <v>Oficio_Solicitud</v>
      </c>
      <c r="C481" s="88" t="str">
        <f>VLOOKUP(A481,Documentos!D:H,5,FALSE)</f>
        <v>DV</v>
      </c>
      <c r="D481" s="87">
        <f>VLOOKUP(A481,Documentos!D:I,6,FALSE)</f>
        <v>10383</v>
      </c>
      <c r="E481" s="7" t="s">
        <v>60</v>
      </c>
      <c r="F481" s="10" t="s">
        <v>26</v>
      </c>
      <c r="G481" s="97" t="s">
        <v>494</v>
      </c>
      <c r="H481" s="33"/>
      <c r="I481" s="33"/>
      <c r="J481" s="33"/>
      <c r="K481" s="33" t="s">
        <v>1278</v>
      </c>
      <c r="L481" s="41">
        <v>570</v>
      </c>
      <c r="M481" s="41">
        <v>0</v>
      </c>
    </row>
    <row r="482" spans="1:13" x14ac:dyDescent="0.25">
      <c r="A482" s="32">
        <v>1351</v>
      </c>
      <c r="B482" s="87" t="str">
        <f>VLOOKUP(A482,Documentos!D:F,3,FALSE)</f>
        <v>Oficio_Solicitud</v>
      </c>
      <c r="C482" s="88" t="str">
        <f>VLOOKUP(A482,Documentos!D:H,5,FALSE)</f>
        <v>DV_FETCovid19</v>
      </c>
      <c r="D482" s="87">
        <f>VLOOKUP(A482,Documentos!D:I,6,FALSE)</f>
        <v>11734</v>
      </c>
      <c r="E482" s="7" t="s">
        <v>43</v>
      </c>
      <c r="F482" s="10" t="s">
        <v>538</v>
      </c>
      <c r="G482" s="97" t="s">
        <v>494</v>
      </c>
      <c r="H482" s="33"/>
      <c r="I482" s="33"/>
      <c r="J482" s="33"/>
      <c r="K482" s="33" t="s">
        <v>1282</v>
      </c>
      <c r="L482" s="41">
        <v>568117022</v>
      </c>
      <c r="M482" s="41">
        <v>0</v>
      </c>
    </row>
    <row r="483" spans="1:13" x14ac:dyDescent="0.25">
      <c r="A483" s="32">
        <v>1352</v>
      </c>
      <c r="B483" s="87" t="str">
        <f>VLOOKUP(A483,Documentos!D:F,3,FALSE)</f>
        <v>Proposicion</v>
      </c>
      <c r="C483" s="88" t="str">
        <f>VLOOKUP(A483,Documentos!D:H,5,FALSE)</f>
        <v>DV</v>
      </c>
      <c r="D483" s="87">
        <f>VLOOKUP(A483,Documentos!D:I,6,FALSE)</f>
        <v>865</v>
      </c>
      <c r="E483" s="7" t="s">
        <v>43</v>
      </c>
      <c r="F483" s="10" t="s">
        <v>26</v>
      </c>
      <c r="G483" s="97" t="s">
        <v>494</v>
      </c>
      <c r="H483" s="33"/>
      <c r="I483" s="33"/>
      <c r="J483" s="33"/>
      <c r="K483" s="33" t="s">
        <v>1282</v>
      </c>
      <c r="L483" s="41">
        <v>568117022</v>
      </c>
      <c r="M483" s="41">
        <v>0</v>
      </c>
    </row>
    <row r="484" spans="1:13" x14ac:dyDescent="0.25">
      <c r="A484" s="32">
        <v>1353</v>
      </c>
      <c r="B484" s="87" t="str">
        <f>VLOOKUP(A484,Documentos!D:F,3,FALSE)</f>
        <v>Proposicion</v>
      </c>
      <c r="C484" s="88" t="str">
        <f>VLOOKUP(A484,Documentos!D:H,5,FALSE)</f>
        <v>DV_FETCovid19</v>
      </c>
      <c r="D484" s="87">
        <f>VLOOKUP(A484,Documentos!D:I,6,FALSE)</f>
        <v>865</v>
      </c>
      <c r="E484" s="7" t="s">
        <v>43</v>
      </c>
      <c r="F484" s="10" t="s">
        <v>538</v>
      </c>
      <c r="G484" s="97" t="s">
        <v>494</v>
      </c>
      <c r="H484" s="33"/>
      <c r="I484" s="33"/>
      <c r="J484" s="33"/>
      <c r="K484" s="33" t="s">
        <v>1236</v>
      </c>
      <c r="L484" s="41">
        <v>568117022</v>
      </c>
      <c r="M484" s="41">
        <v>0</v>
      </c>
    </row>
    <row r="485" spans="1:13" x14ac:dyDescent="0.25">
      <c r="A485" s="32">
        <v>1354</v>
      </c>
      <c r="B485" s="87" t="str">
        <f>VLOOKUP(A485,Documentos!D:F,3,FALSE)</f>
        <v>Proposicion</v>
      </c>
      <c r="C485" s="88" t="str">
        <f>VLOOKUP(A485,Documentos!D:H,5,FALSE)</f>
        <v>DV</v>
      </c>
      <c r="D485" s="87">
        <f>VLOOKUP(A485,Documentos!D:I,6,FALSE)</f>
        <v>881</v>
      </c>
      <c r="E485" s="7" t="s">
        <v>43</v>
      </c>
      <c r="F485" s="10" t="s">
        <v>26</v>
      </c>
      <c r="G485" s="97" t="s">
        <v>494</v>
      </c>
      <c r="H485" s="33"/>
      <c r="I485" s="33"/>
      <c r="J485" s="33"/>
      <c r="K485" s="33" t="s">
        <v>1278</v>
      </c>
      <c r="L485" s="41">
        <v>400500</v>
      </c>
      <c r="M485" s="41">
        <v>0</v>
      </c>
    </row>
    <row r="486" spans="1:13" x14ac:dyDescent="0.25">
      <c r="A486" s="32">
        <v>1355</v>
      </c>
      <c r="B486" s="87" t="str">
        <f>VLOOKUP(A486,Documentos!D:F,3,FALSE)</f>
        <v>Proposicion</v>
      </c>
      <c r="C486" s="88" t="str">
        <f>VLOOKUP(A486,Documentos!D:H,5,FALSE)</f>
        <v>DV</v>
      </c>
      <c r="D486" s="87">
        <f>VLOOKUP(A486,Documentos!D:I,6,FALSE)</f>
        <v>866</v>
      </c>
      <c r="E486" s="7" t="s">
        <v>43</v>
      </c>
      <c r="F486" s="10" t="s">
        <v>26</v>
      </c>
      <c r="G486" s="97" t="s">
        <v>494</v>
      </c>
      <c r="H486" s="33"/>
      <c r="I486" s="33"/>
      <c r="J486" s="33"/>
      <c r="K486" s="33" t="s">
        <v>1236</v>
      </c>
      <c r="L486" s="41">
        <v>1088918237</v>
      </c>
      <c r="M486" s="41">
        <v>0</v>
      </c>
    </row>
    <row r="487" spans="1:13" x14ac:dyDescent="0.25">
      <c r="A487" s="32">
        <v>1356</v>
      </c>
      <c r="B487" s="87" t="str">
        <f>VLOOKUP(A487,Documentos!D:F,3,FALSE)</f>
        <v>Proposicion</v>
      </c>
      <c r="C487" s="88" t="str">
        <f>VLOOKUP(A487,Documentos!D:H,5,FALSE)</f>
        <v>DV</v>
      </c>
      <c r="D487" s="87">
        <f>VLOOKUP(A487,Documentos!D:I,6,FALSE)</f>
        <v>872</v>
      </c>
      <c r="E487" s="7" t="s">
        <v>43</v>
      </c>
      <c r="F487" s="10" t="s">
        <v>26</v>
      </c>
      <c r="G487" s="97" t="s">
        <v>494</v>
      </c>
      <c r="H487" s="33"/>
      <c r="I487" s="33"/>
      <c r="J487" s="33"/>
      <c r="K487" s="33" t="s">
        <v>1278</v>
      </c>
      <c r="L487" s="41">
        <v>7073000</v>
      </c>
      <c r="M487" s="41">
        <v>0</v>
      </c>
    </row>
    <row r="488" spans="1:13" x14ac:dyDescent="0.25">
      <c r="A488" s="32">
        <v>1358</v>
      </c>
      <c r="B488" s="87" t="str">
        <f>VLOOKUP(A488,Documentos!D:F,3,FALSE)</f>
        <v>Proposicion</v>
      </c>
      <c r="C488" s="88" t="str">
        <f>VLOOKUP(A488,Documentos!D:H,5,FALSE)</f>
        <v>DA_FETCovid19</v>
      </c>
      <c r="D488" s="87">
        <f>VLOOKUP(A488,Documentos!D:I,6,FALSE)</f>
        <v>727</v>
      </c>
      <c r="E488" s="7" t="s">
        <v>60</v>
      </c>
      <c r="F488" s="10" t="s">
        <v>532</v>
      </c>
      <c r="G488" s="97" t="s">
        <v>494</v>
      </c>
      <c r="H488" s="33"/>
      <c r="I488" s="33"/>
      <c r="J488" s="33"/>
      <c r="K488" s="33" t="s">
        <v>1278</v>
      </c>
      <c r="L488" s="41">
        <v>0</v>
      </c>
      <c r="M488" s="41">
        <v>4752826</v>
      </c>
    </row>
    <row r="489" spans="1:13" x14ac:dyDescent="0.25">
      <c r="A489" s="32">
        <v>1370</v>
      </c>
      <c r="B489" s="87" t="str">
        <f>VLOOKUP(A489,Documentos!D:F,3,FALSE)</f>
        <v>Proposicion</v>
      </c>
      <c r="C489" s="88" t="str">
        <f>VLOOKUP(A489,Documentos!D:H,5,FALSE)</f>
        <v>DV</v>
      </c>
      <c r="D489" s="87">
        <f>VLOOKUP(A489,Documentos!D:I,6,FALSE)</f>
        <v>4200204</v>
      </c>
      <c r="E489" s="7" t="s">
        <v>1258</v>
      </c>
      <c r="F489" s="10" t="s">
        <v>26</v>
      </c>
      <c r="G489" s="97" t="s">
        <v>494</v>
      </c>
      <c r="H489" s="33"/>
      <c r="I489" s="33"/>
      <c r="J489" s="33"/>
      <c r="K489" s="33" t="s">
        <v>1236</v>
      </c>
      <c r="L489" s="41">
        <v>1692187</v>
      </c>
      <c r="M489" s="41">
        <v>1692187</v>
      </c>
    </row>
    <row r="490" spans="1:13" x14ac:dyDescent="0.25">
      <c r="A490" s="32">
        <v>1372</v>
      </c>
      <c r="B490" s="87" t="str">
        <f>VLOOKUP(A490,Documentos!D:F,3,FALSE)</f>
        <v>Proposicion</v>
      </c>
      <c r="C490" s="88" t="str">
        <f>VLOOKUP(A490,Documentos!D:H,5,FALSE)</f>
        <v>DV_FETCovid19</v>
      </c>
      <c r="D490" s="87">
        <f>VLOOKUP(A490,Documentos!D:I,6,FALSE)</f>
        <v>4210254</v>
      </c>
      <c r="E490" s="7" t="s">
        <v>1258</v>
      </c>
      <c r="F490" s="10" t="s">
        <v>538</v>
      </c>
      <c r="G490" s="97" t="s">
        <v>494</v>
      </c>
      <c r="H490" s="33"/>
      <c r="I490" s="33"/>
      <c r="J490" s="33"/>
      <c r="K490" s="33" t="s">
        <v>1236</v>
      </c>
      <c r="L490" s="41">
        <v>36287</v>
      </c>
      <c r="M490" s="41">
        <v>36287</v>
      </c>
    </row>
    <row r="491" spans="1:13" x14ac:dyDescent="0.25">
      <c r="A491" s="32">
        <v>1440</v>
      </c>
      <c r="B491" s="87" t="str">
        <f>VLOOKUP(A491,Documentos!D:F,3,FALSE)</f>
        <v>Oficio_Solicitud</v>
      </c>
      <c r="C491" s="88" t="str">
        <f>VLOOKUP(A491,Documentos!D:H,5,FALSE)</f>
        <v>APR_FETCovid19</v>
      </c>
      <c r="D491" s="87">
        <f>VLOOKUP(A491,Documentos!D:I,6,FALSE)</f>
        <v>1141</v>
      </c>
      <c r="E491" s="7" t="s">
        <v>60</v>
      </c>
      <c r="F491" s="10" t="s">
        <v>559</v>
      </c>
      <c r="G491" s="97" t="s">
        <v>494</v>
      </c>
      <c r="H491" s="33"/>
      <c r="I491" s="33"/>
      <c r="J491" s="33"/>
      <c r="K491" s="33" t="s">
        <v>1278</v>
      </c>
      <c r="L491" s="41">
        <v>20304193</v>
      </c>
      <c r="M491" s="41">
        <v>0</v>
      </c>
    </row>
    <row r="492" spans="1:13" x14ac:dyDescent="0.25">
      <c r="A492" s="32">
        <v>1441</v>
      </c>
      <c r="B492" s="87" t="str">
        <f>VLOOKUP(A492,Documentos!D:F,3,FALSE)</f>
        <v>Oficio_Solicitud</v>
      </c>
      <c r="C492" s="88" t="str">
        <f>VLOOKUP(A492,Documentos!D:H,5,FALSE)</f>
        <v>APR</v>
      </c>
      <c r="D492" s="87">
        <f>VLOOKUP(A492,Documentos!D:I,6,FALSE)</f>
        <v>1141</v>
      </c>
      <c r="E492" s="7" t="s">
        <v>60</v>
      </c>
      <c r="F492" s="10" t="s">
        <v>6</v>
      </c>
      <c r="G492" s="97" t="s">
        <v>494</v>
      </c>
      <c r="H492" s="33"/>
      <c r="I492" s="33"/>
      <c r="J492" s="33"/>
      <c r="K492" s="33" t="s">
        <v>1278</v>
      </c>
      <c r="L492" s="41">
        <v>110</v>
      </c>
      <c r="M492" s="41">
        <v>0</v>
      </c>
    </row>
    <row r="493" spans="1:13" x14ac:dyDescent="0.25">
      <c r="A493" s="32">
        <v>1442</v>
      </c>
      <c r="B493" s="87" t="str">
        <f>VLOOKUP(A493,Documentos!D:F,3,FALSE)</f>
        <v>Oficio_Solicitud</v>
      </c>
      <c r="C493" s="88" t="str">
        <f>VLOOKUP(A493,Documentos!D:H,5,FALSE)</f>
        <v>DV</v>
      </c>
      <c r="D493" s="87">
        <f>VLOOKUP(A493,Documentos!D:I,6,FALSE)</f>
        <v>12535</v>
      </c>
      <c r="E493" s="7" t="s">
        <v>43</v>
      </c>
      <c r="F493" s="10" t="s">
        <v>26</v>
      </c>
      <c r="G493" s="97" t="s">
        <v>494</v>
      </c>
      <c r="H493" s="33"/>
      <c r="I493" s="33"/>
      <c r="J493" s="33"/>
      <c r="K493" s="33" t="s">
        <v>1282</v>
      </c>
      <c r="L493" s="41">
        <v>32708732</v>
      </c>
      <c r="M493" s="41">
        <v>0</v>
      </c>
    </row>
    <row r="494" spans="1:13" x14ac:dyDescent="0.25">
      <c r="A494" s="32">
        <v>1443</v>
      </c>
      <c r="B494" s="87" t="str">
        <f>VLOOKUP(A494,Documentos!D:F,3,FALSE)</f>
        <v>Oficio_Solicitud</v>
      </c>
      <c r="C494" s="88" t="str">
        <f>VLOOKUP(A494,Documentos!D:H,5,FALSE)</f>
        <v>APR</v>
      </c>
      <c r="D494" s="87">
        <f>VLOOKUP(A494,Documentos!D:I,6,FALSE)</f>
        <v>1294</v>
      </c>
      <c r="E494" s="7" t="s">
        <v>60</v>
      </c>
      <c r="F494" s="10" t="s">
        <v>6</v>
      </c>
      <c r="G494" s="97" t="s">
        <v>494</v>
      </c>
      <c r="H494" s="33"/>
      <c r="I494" s="33"/>
      <c r="J494" s="33"/>
      <c r="K494" s="33" t="s">
        <v>1278</v>
      </c>
      <c r="L494" s="41">
        <v>301000</v>
      </c>
      <c r="M494" s="41">
        <v>0</v>
      </c>
    </row>
    <row r="495" spans="1:13" x14ac:dyDescent="0.25">
      <c r="A495" s="32">
        <v>1444</v>
      </c>
      <c r="B495" s="87" t="str">
        <f>VLOOKUP(A495,Documentos!D:F,3,FALSE)</f>
        <v>Oficio_Solicitud</v>
      </c>
      <c r="C495" s="88" t="str">
        <f>VLOOKUP(A495,Documentos!D:H,5,FALSE)</f>
        <v>APR_FETCovid19</v>
      </c>
      <c r="D495" s="87">
        <f>VLOOKUP(A495,Documentos!D:I,6,FALSE)</f>
        <v>1359</v>
      </c>
      <c r="E495" s="7" t="s">
        <v>60</v>
      </c>
      <c r="F495" s="10" t="s">
        <v>559</v>
      </c>
      <c r="G495" s="97" t="s">
        <v>494</v>
      </c>
      <c r="H495" s="33"/>
      <c r="I495" s="33"/>
      <c r="J495" s="33"/>
      <c r="K495" s="33" t="s">
        <v>1278</v>
      </c>
      <c r="L495" s="41">
        <v>1133449</v>
      </c>
      <c r="M495" s="41">
        <v>0</v>
      </c>
    </row>
    <row r="496" spans="1:13" x14ac:dyDescent="0.25">
      <c r="A496" s="32">
        <v>1445</v>
      </c>
      <c r="B496" s="87" t="str">
        <f>VLOOKUP(A496,Documentos!D:F,3,FALSE)</f>
        <v>Oficio_Solicitud</v>
      </c>
      <c r="C496" s="88" t="str">
        <f>VLOOKUP(A496,Documentos!D:H,5,FALSE)</f>
        <v>APR</v>
      </c>
      <c r="D496" s="87">
        <f>VLOOKUP(A496,Documentos!D:I,6,FALSE)</f>
        <v>1359</v>
      </c>
      <c r="E496" s="7" t="s">
        <v>60</v>
      </c>
      <c r="F496" s="10" t="s">
        <v>6</v>
      </c>
      <c r="G496" s="97" t="s">
        <v>494</v>
      </c>
      <c r="H496" s="33"/>
      <c r="I496" s="33"/>
      <c r="J496" s="33"/>
      <c r="K496" s="33" t="s">
        <v>1278</v>
      </c>
      <c r="L496" s="41">
        <v>1133449</v>
      </c>
      <c r="M496" s="41">
        <v>0</v>
      </c>
    </row>
    <row r="497" spans="1:13" x14ac:dyDescent="0.25">
      <c r="A497" s="32">
        <v>1446</v>
      </c>
      <c r="B497" s="87" t="str">
        <f>VLOOKUP(A497,Documentos!D:F,3,FALSE)</f>
        <v>Oficio_Solicitud</v>
      </c>
      <c r="C497" s="88" t="str">
        <f>VLOOKUP(A497,Documentos!D:H,5,FALSE)</f>
        <v>APR</v>
      </c>
      <c r="D497" s="87">
        <f>VLOOKUP(A497,Documentos!D:I,6,FALSE)</f>
        <v>1362</v>
      </c>
      <c r="E497" s="7" t="s">
        <v>60</v>
      </c>
      <c r="F497" s="10" t="s">
        <v>6</v>
      </c>
      <c r="G497" s="97" t="s">
        <v>494</v>
      </c>
      <c r="H497" s="33"/>
      <c r="I497" s="33"/>
      <c r="J497" s="33"/>
      <c r="K497" s="33" t="s">
        <v>1278</v>
      </c>
      <c r="L497" s="41">
        <v>3098207</v>
      </c>
      <c r="M497" s="41">
        <v>2223500</v>
      </c>
    </row>
    <row r="498" spans="1:13" x14ac:dyDescent="0.25">
      <c r="A498" s="32">
        <v>1447</v>
      </c>
      <c r="B498" s="87" t="str">
        <f>VLOOKUP(A498,Documentos!D:F,3,FALSE)</f>
        <v>Oficio_Solicitud</v>
      </c>
      <c r="C498" s="88" t="str">
        <f>VLOOKUP(A498,Documentos!D:H,5,FALSE)</f>
        <v>DOH_FETCovid19</v>
      </c>
      <c r="D498" s="87">
        <f>VLOOKUP(A498,Documentos!D:I,6,FALSE)</f>
        <v>1377</v>
      </c>
      <c r="E498" s="7" t="s">
        <v>60</v>
      </c>
      <c r="F498" s="10" t="s">
        <v>535</v>
      </c>
      <c r="G498" s="97" t="s">
        <v>494</v>
      </c>
      <c r="H498" s="33"/>
      <c r="I498" s="33"/>
      <c r="J498" s="33"/>
      <c r="K498" s="33" t="s">
        <v>1278</v>
      </c>
      <c r="L498" s="41">
        <v>3795307</v>
      </c>
      <c r="M498" s="41">
        <v>8812865</v>
      </c>
    </row>
    <row r="499" spans="1:13" x14ac:dyDescent="0.25">
      <c r="A499" s="32">
        <v>1448</v>
      </c>
      <c r="B499" s="87" t="str">
        <f>VLOOKUP(A499,Documentos!D:F,3,FALSE)</f>
        <v>Oficio_Solicitud</v>
      </c>
      <c r="C499" s="88" t="str">
        <f>VLOOKUP(A499,Documentos!D:H,5,FALSE)</f>
        <v>DAP_FETCovid19</v>
      </c>
      <c r="D499" s="87">
        <f>VLOOKUP(A499,Documentos!D:I,6,FALSE)</f>
        <v>145</v>
      </c>
      <c r="E499" s="7" t="s">
        <v>60</v>
      </c>
      <c r="F499" s="10" t="s">
        <v>544</v>
      </c>
      <c r="G499" s="97" t="s">
        <v>494</v>
      </c>
      <c r="H499" s="33"/>
      <c r="I499" s="33"/>
      <c r="J499" s="33"/>
      <c r="K499" s="33" t="s">
        <v>1278</v>
      </c>
      <c r="L499" s="41">
        <v>201730</v>
      </c>
      <c r="M499" s="41">
        <v>201730</v>
      </c>
    </row>
    <row r="500" spans="1:13" x14ac:dyDescent="0.25">
      <c r="A500" s="32">
        <v>1449</v>
      </c>
      <c r="B500" s="87" t="str">
        <f>VLOOKUP(A500,Documentos!D:F,3,FALSE)</f>
        <v>Proposicion</v>
      </c>
      <c r="C500" s="88" t="str">
        <f>VLOOKUP(A500,Documentos!D:H,5,FALSE)</f>
        <v>DGA</v>
      </c>
      <c r="D500" s="87">
        <f>VLOOKUP(A500,Documentos!D:I,6,FALSE)</f>
        <v>272</v>
      </c>
      <c r="E500" s="7" t="s">
        <v>60</v>
      </c>
      <c r="F500" s="10" t="s">
        <v>14</v>
      </c>
      <c r="G500" s="97" t="s">
        <v>494</v>
      </c>
      <c r="H500" s="33"/>
      <c r="I500" s="33"/>
      <c r="J500" s="33"/>
      <c r="K500" s="33" t="s">
        <v>1278</v>
      </c>
      <c r="L500" s="41">
        <v>303529</v>
      </c>
      <c r="M500" s="41">
        <v>0</v>
      </c>
    </row>
    <row r="501" spans="1:13" x14ac:dyDescent="0.25">
      <c r="A501" s="32">
        <v>1453</v>
      </c>
      <c r="B501" s="87" t="str">
        <f>VLOOKUP(A501,Documentos!D:F,3,FALSE)</f>
        <v>Proposicion</v>
      </c>
      <c r="C501" s="88" t="str">
        <f>VLOOKUP(A501,Documentos!D:H,5,FALSE)</f>
        <v>DOH</v>
      </c>
      <c r="D501" s="87">
        <f>VLOOKUP(A501,Documentos!D:I,6,FALSE)</f>
        <v>460</v>
      </c>
      <c r="E501" s="7" t="s">
        <v>60</v>
      </c>
      <c r="F501" s="10" t="s">
        <v>20</v>
      </c>
      <c r="G501" s="97" t="s">
        <v>494</v>
      </c>
      <c r="H501" s="33"/>
      <c r="I501" s="33"/>
      <c r="J501" s="33"/>
      <c r="K501" s="33" t="s">
        <v>1278</v>
      </c>
      <c r="L501" s="41">
        <v>10817160</v>
      </c>
      <c r="M501" s="41">
        <v>11651605</v>
      </c>
    </row>
    <row r="502" spans="1:13" x14ac:dyDescent="0.25">
      <c r="A502" s="32">
        <v>1457</v>
      </c>
      <c r="B502" s="87" t="str">
        <f>VLOOKUP(A502,Documentos!D:F,3,FALSE)</f>
        <v>Oficio_Solicitud</v>
      </c>
      <c r="C502" s="88" t="str">
        <f>VLOOKUP(A502,Documentos!D:H,5,FALSE)</f>
        <v>DAP</v>
      </c>
      <c r="D502" s="87">
        <f>VLOOKUP(A502,Documentos!D:I,6,FALSE)</f>
        <v>166</v>
      </c>
      <c r="E502" s="7" t="s">
        <v>60</v>
      </c>
      <c r="F502" s="10" t="s">
        <v>10</v>
      </c>
      <c r="G502" s="97" t="s">
        <v>494</v>
      </c>
      <c r="H502" s="33"/>
      <c r="I502" s="33"/>
      <c r="J502" s="33"/>
      <c r="K502" s="33" t="s">
        <v>1278</v>
      </c>
      <c r="L502" s="41">
        <v>4698360</v>
      </c>
      <c r="M502" s="41">
        <v>4698360</v>
      </c>
    </row>
    <row r="503" spans="1:13" x14ac:dyDescent="0.25">
      <c r="A503" s="32">
        <v>1459</v>
      </c>
      <c r="B503" s="87" t="str">
        <f>VLOOKUP(A503,Documentos!D:F,3,FALSE)</f>
        <v>Oficio_Solicitud</v>
      </c>
      <c r="C503" s="88" t="str">
        <f>VLOOKUP(A503,Documentos!D:H,5,FALSE)</f>
        <v>DV</v>
      </c>
      <c r="D503" s="87">
        <f>VLOOKUP(A503,Documentos!D:I,6,FALSE)</f>
        <v>1673</v>
      </c>
      <c r="E503" s="7" t="s">
        <v>60</v>
      </c>
      <c r="F503" s="10" t="s">
        <v>26</v>
      </c>
      <c r="G503" s="97" t="s">
        <v>494</v>
      </c>
      <c r="H503" s="33"/>
      <c r="I503" s="33"/>
      <c r="J503" s="33"/>
      <c r="K503" s="33" t="s">
        <v>1278</v>
      </c>
      <c r="L503" s="41">
        <v>20000</v>
      </c>
      <c r="M503" s="41">
        <v>0</v>
      </c>
    </row>
    <row r="504" spans="1:13" x14ac:dyDescent="0.25">
      <c r="A504" s="32">
        <v>1480</v>
      </c>
      <c r="B504" s="87" t="str">
        <f>VLOOKUP(A504,Documentos!D:F,3,FALSE)</f>
        <v>Oficio_Solicitud</v>
      </c>
      <c r="C504" s="88" t="str">
        <f>VLOOKUP(A504,Documentos!D:H,5,FALSE)</f>
        <v>DV</v>
      </c>
      <c r="D504" s="87">
        <f>VLOOKUP(A504,Documentos!D:I,6,FALSE)</f>
        <v>1876</v>
      </c>
      <c r="E504" s="7" t="s">
        <v>60</v>
      </c>
      <c r="F504" s="10" t="s">
        <v>26</v>
      </c>
      <c r="G504" s="97" t="s">
        <v>494</v>
      </c>
      <c r="H504" s="33"/>
      <c r="I504" s="33"/>
      <c r="J504" s="33"/>
      <c r="K504" s="33" t="s">
        <v>1278</v>
      </c>
      <c r="L504" s="41">
        <v>5796067</v>
      </c>
      <c r="M504" s="41">
        <v>0</v>
      </c>
    </row>
    <row r="505" spans="1:13" x14ac:dyDescent="0.25">
      <c r="A505" s="32">
        <v>1481</v>
      </c>
      <c r="B505" s="87" t="str">
        <f>VLOOKUP(A505,Documentos!D:F,3,FALSE)</f>
        <v>Oficio_Solicitud</v>
      </c>
      <c r="C505" s="88" t="str">
        <f>VLOOKUP(A505,Documentos!D:H,5,FALSE)</f>
        <v>DV_FETCovid19</v>
      </c>
      <c r="D505" s="87">
        <f>VLOOKUP(A505,Documentos!D:I,6,FALSE)</f>
        <v>1876</v>
      </c>
      <c r="E505" s="7" t="s">
        <v>60</v>
      </c>
      <c r="F505" s="10" t="s">
        <v>538</v>
      </c>
      <c r="G505" s="97" t="s">
        <v>494</v>
      </c>
      <c r="H505" s="33"/>
      <c r="I505" s="33"/>
      <c r="J505" s="33"/>
      <c r="K505" s="33" t="s">
        <v>1278</v>
      </c>
      <c r="L505" s="41">
        <v>1500000</v>
      </c>
      <c r="M505" s="41">
        <v>1500000</v>
      </c>
    </row>
    <row r="506" spans="1:13" x14ac:dyDescent="0.25">
      <c r="A506" s="32">
        <v>1482</v>
      </c>
      <c r="B506" s="87" t="str">
        <f>VLOOKUP(A506,Documentos!D:F,3,FALSE)</f>
        <v>Oficio_Solicitud</v>
      </c>
      <c r="C506" s="88" t="str">
        <f>VLOOKUP(A506,Documentos!D:H,5,FALSE)</f>
        <v>DGC</v>
      </c>
      <c r="D506" s="87">
        <f>VLOOKUP(A506,Documentos!D:I,6,FALSE)</f>
        <v>189</v>
      </c>
      <c r="E506" s="7" t="s">
        <v>60</v>
      </c>
      <c r="F506" s="10" t="s">
        <v>16</v>
      </c>
      <c r="G506" s="97" t="s">
        <v>494</v>
      </c>
      <c r="H506" s="33"/>
      <c r="I506" s="33"/>
      <c r="J506" s="33"/>
      <c r="K506" s="33" t="s">
        <v>1278</v>
      </c>
      <c r="L506" s="41">
        <v>27385</v>
      </c>
      <c r="M506" s="41">
        <v>61576</v>
      </c>
    </row>
    <row r="507" spans="1:13" x14ac:dyDescent="0.25">
      <c r="A507" s="32">
        <v>1489</v>
      </c>
      <c r="B507" s="87" t="str">
        <f>VLOOKUP(A507,Documentos!D:F,3,FALSE)</f>
        <v>Oficio_Solicitud</v>
      </c>
      <c r="C507" s="88" t="str">
        <f>VLOOKUP(A507,Documentos!D:H,5,FALSE)</f>
        <v>APR</v>
      </c>
      <c r="D507" s="87">
        <f>VLOOKUP(A507,Documentos!D:I,6,FALSE)</f>
        <v>257</v>
      </c>
      <c r="E507" s="7" t="s">
        <v>60</v>
      </c>
      <c r="F507" s="10" t="s">
        <v>6</v>
      </c>
      <c r="G507" s="97" t="s">
        <v>494</v>
      </c>
      <c r="H507" s="33"/>
      <c r="I507" s="33"/>
      <c r="J507" s="33"/>
      <c r="K507" s="33" t="s">
        <v>1278</v>
      </c>
      <c r="L507" s="41">
        <v>11361926</v>
      </c>
      <c r="M507" s="41">
        <v>0</v>
      </c>
    </row>
    <row r="508" spans="1:13" x14ac:dyDescent="0.25">
      <c r="A508" s="32">
        <v>1490</v>
      </c>
      <c r="B508" s="87" t="str">
        <f>VLOOKUP(A508,Documentos!D:F,3,FALSE)</f>
        <v>Oficio_Solicitud</v>
      </c>
      <c r="C508" s="88" t="str">
        <f>VLOOKUP(A508,Documentos!D:H,5,FALSE)</f>
        <v>APR</v>
      </c>
      <c r="D508" s="87">
        <f>VLOOKUP(A508,Documentos!D:I,6,FALSE)</f>
        <v>258</v>
      </c>
      <c r="E508" s="7" t="s">
        <v>60</v>
      </c>
      <c r="F508" s="10" t="s">
        <v>6</v>
      </c>
      <c r="G508" s="97" t="s">
        <v>494</v>
      </c>
      <c r="H508" s="33"/>
      <c r="I508" s="33"/>
      <c r="J508" s="33"/>
      <c r="K508" s="33" t="s">
        <v>1278</v>
      </c>
      <c r="L508" s="41">
        <v>15752216</v>
      </c>
      <c r="M508" s="41">
        <v>0</v>
      </c>
    </row>
    <row r="509" spans="1:13" x14ac:dyDescent="0.25">
      <c r="A509" s="32">
        <v>1491</v>
      </c>
      <c r="B509" s="87" t="str">
        <f>VLOOKUP(A509,Documentos!D:F,3,FALSE)</f>
        <v>Oficio_Solicitud</v>
      </c>
      <c r="C509" s="88" t="str">
        <f>VLOOKUP(A509,Documentos!D:H,5,FALSE)</f>
        <v>APR</v>
      </c>
      <c r="D509" s="87">
        <f>VLOOKUP(A509,Documentos!D:I,6,FALSE)</f>
        <v>259</v>
      </c>
      <c r="E509" s="7" t="s">
        <v>60</v>
      </c>
      <c r="F509" s="10" t="s">
        <v>6</v>
      </c>
      <c r="G509" s="97" t="s">
        <v>494</v>
      </c>
      <c r="H509" s="33"/>
      <c r="I509" s="33"/>
      <c r="J509" s="33"/>
      <c r="K509" s="33" t="s">
        <v>1278</v>
      </c>
      <c r="L509" s="41">
        <v>9463690</v>
      </c>
      <c r="M509" s="41">
        <v>0</v>
      </c>
    </row>
    <row r="510" spans="1:13" x14ac:dyDescent="0.25">
      <c r="A510" s="32">
        <v>1495</v>
      </c>
      <c r="B510" s="87" t="str">
        <f>VLOOKUP(A510,Documentos!D:F,3,FALSE)</f>
        <v>Oficio_Solicitud</v>
      </c>
      <c r="C510" s="88" t="str">
        <f>VLOOKUP(A510,Documentos!D:H,5,FALSE)</f>
        <v>DV</v>
      </c>
      <c r="D510" s="87">
        <f>VLOOKUP(A510,Documentos!D:I,6,FALSE)</f>
        <v>2858</v>
      </c>
      <c r="E510" s="7" t="s">
        <v>60</v>
      </c>
      <c r="F510" s="10" t="s">
        <v>26</v>
      </c>
      <c r="G510" s="97" t="s">
        <v>494</v>
      </c>
      <c r="H510" s="33"/>
      <c r="I510" s="33"/>
      <c r="J510" s="33"/>
      <c r="K510" s="33" t="s">
        <v>1278</v>
      </c>
      <c r="L510" s="41">
        <v>1391000</v>
      </c>
      <c r="M510" s="41"/>
    </row>
    <row r="511" spans="1:13" x14ac:dyDescent="0.25">
      <c r="A511" s="32">
        <v>1496</v>
      </c>
      <c r="B511" s="87" t="str">
        <f>VLOOKUP(A511,Documentos!D:F,3,FALSE)</f>
        <v>Oficio_Solicitud</v>
      </c>
      <c r="C511" s="88" t="str">
        <f>VLOOKUP(A511,Documentos!D:H,5,FALSE)</f>
        <v>DV</v>
      </c>
      <c r="D511" s="87">
        <f>VLOOKUP(A511,Documentos!D:I,6,FALSE)</f>
        <v>3096</v>
      </c>
      <c r="E511" s="7" t="s">
        <v>60</v>
      </c>
      <c r="F511" s="10" t="s">
        <v>26</v>
      </c>
      <c r="G511" s="97" t="s">
        <v>494</v>
      </c>
      <c r="H511" s="33"/>
      <c r="I511" s="33"/>
      <c r="J511" s="33"/>
      <c r="K511" s="33" t="s">
        <v>1278</v>
      </c>
      <c r="L511" s="41">
        <v>10318660</v>
      </c>
      <c r="M511" s="41"/>
    </row>
    <row r="512" spans="1:13" x14ac:dyDescent="0.25">
      <c r="A512" s="32">
        <v>1497</v>
      </c>
      <c r="B512" s="87" t="str">
        <f>VLOOKUP(A512,Documentos!D:F,3,FALSE)</f>
        <v>Oficio_Solicitud</v>
      </c>
      <c r="C512" s="88" t="str">
        <f>VLOOKUP(A512,Documentos!D:H,5,FALSE)</f>
        <v>DOH</v>
      </c>
      <c r="D512" s="87">
        <f>VLOOKUP(A512,Documentos!D:I,6,FALSE)</f>
        <v>333</v>
      </c>
      <c r="E512" s="7" t="s">
        <v>60</v>
      </c>
      <c r="F512" s="10" t="s">
        <v>20</v>
      </c>
      <c r="G512" s="97" t="s">
        <v>494</v>
      </c>
      <c r="H512" s="33"/>
      <c r="I512" s="33"/>
      <c r="J512" s="33"/>
      <c r="K512" s="33" t="s">
        <v>1278</v>
      </c>
      <c r="L512" s="41">
        <v>2483960</v>
      </c>
      <c r="M512" s="41">
        <v>0</v>
      </c>
    </row>
    <row r="513" spans="1:13" x14ac:dyDescent="0.25">
      <c r="A513" s="32">
        <v>1499</v>
      </c>
      <c r="B513" s="87" t="str">
        <f>VLOOKUP(A513,Documentos!D:F,3,FALSE)</f>
        <v>Oficio_Solicitud</v>
      </c>
      <c r="C513" s="88" t="str">
        <f>VLOOKUP(A513,Documentos!D:H,5,FALSE)</f>
        <v>APR_FETCovid19</v>
      </c>
      <c r="D513" s="87">
        <f>VLOOKUP(A513,Documentos!D:I,6,FALSE)</f>
        <v>344</v>
      </c>
      <c r="E513" s="7" t="s">
        <v>60</v>
      </c>
      <c r="F513" s="10" t="s">
        <v>559</v>
      </c>
      <c r="G513" s="97" t="s">
        <v>494</v>
      </c>
      <c r="H513" s="33"/>
      <c r="I513" s="33"/>
      <c r="J513" s="33"/>
      <c r="K513" s="33" t="s">
        <v>1278</v>
      </c>
      <c r="L513" s="41">
        <v>12333508</v>
      </c>
      <c r="M513" s="41">
        <v>0</v>
      </c>
    </row>
    <row r="514" spans="1:13" x14ac:dyDescent="0.25">
      <c r="A514" s="32">
        <v>1504</v>
      </c>
      <c r="B514" s="87" t="str">
        <f>VLOOKUP(A514,Documentos!D:F,3,FALSE)</f>
        <v>Oficio_Solicitud</v>
      </c>
      <c r="C514" s="88" t="str">
        <f>VLOOKUP(A514,Documentos!D:H,5,FALSE)</f>
        <v>APR</v>
      </c>
      <c r="D514" s="87">
        <f>VLOOKUP(A514,Documentos!D:I,6,FALSE)</f>
        <v>3816</v>
      </c>
      <c r="E514" s="7" t="s">
        <v>43</v>
      </c>
      <c r="F514" s="10" t="s">
        <v>6</v>
      </c>
      <c r="G514" s="97" t="s">
        <v>494</v>
      </c>
      <c r="H514" s="33"/>
      <c r="I514" s="33"/>
      <c r="J514" s="33"/>
      <c r="K514" s="33" t="s">
        <v>1236</v>
      </c>
      <c r="L514" s="41">
        <v>95339530</v>
      </c>
      <c r="M514" s="41">
        <v>0</v>
      </c>
    </row>
    <row r="515" spans="1:13" x14ac:dyDescent="0.25">
      <c r="A515" s="32">
        <v>1507</v>
      </c>
      <c r="B515" s="87" t="str">
        <f>VLOOKUP(A515,Documentos!D:F,3,FALSE)</f>
        <v>Oficio_Solicitud</v>
      </c>
      <c r="C515" s="88" t="str">
        <f>VLOOKUP(A515,Documentos!D:H,5,FALSE)</f>
        <v>DV</v>
      </c>
      <c r="D515" s="87">
        <f>VLOOKUP(A515,Documentos!D:I,6,FALSE)</f>
        <v>426</v>
      </c>
      <c r="E515" s="7" t="s">
        <v>43</v>
      </c>
      <c r="F515" s="10" t="s">
        <v>26</v>
      </c>
      <c r="G515" s="97" t="s">
        <v>494</v>
      </c>
      <c r="H515" s="33"/>
      <c r="I515" s="33"/>
      <c r="J515" s="33"/>
      <c r="K515" s="33" t="s">
        <v>1278</v>
      </c>
      <c r="L515" s="41">
        <v>38315614</v>
      </c>
      <c r="M515" s="41">
        <v>0</v>
      </c>
    </row>
    <row r="516" spans="1:13" x14ac:dyDescent="0.25">
      <c r="A516" s="32">
        <v>1508</v>
      </c>
      <c r="B516" s="87" t="str">
        <f>VLOOKUP(A516,Documentos!D:F,3,FALSE)</f>
        <v>Oficio_Solicitud</v>
      </c>
      <c r="C516" s="88" t="str">
        <f>VLOOKUP(A516,Documentos!D:H,5,FALSE)</f>
        <v>DV_FETCovid19</v>
      </c>
      <c r="D516" s="87">
        <f>VLOOKUP(A516,Documentos!D:I,6,FALSE)</f>
        <v>426</v>
      </c>
      <c r="E516" s="7" t="s">
        <v>43</v>
      </c>
      <c r="F516" s="10" t="s">
        <v>538</v>
      </c>
      <c r="G516" s="97" t="s">
        <v>494</v>
      </c>
      <c r="H516" s="33"/>
      <c r="I516" s="33"/>
      <c r="J516" s="33"/>
      <c r="K516" s="33" t="s">
        <v>1236</v>
      </c>
      <c r="L516" s="41">
        <v>410000</v>
      </c>
      <c r="M516" s="41">
        <v>0</v>
      </c>
    </row>
    <row r="517" spans="1:13" x14ac:dyDescent="0.25">
      <c r="A517" s="32">
        <v>1509</v>
      </c>
      <c r="B517" s="87" t="str">
        <f>VLOOKUP(A517,Documentos!D:F,3,FALSE)</f>
        <v>Proposicion</v>
      </c>
      <c r="C517" s="88" t="str">
        <f>VLOOKUP(A517,Documentos!D:H,5,FALSE)</f>
        <v>DV</v>
      </c>
      <c r="D517" s="89">
        <f>VLOOKUP(A517,Documentos!D:I,6,FALSE)</f>
        <v>78</v>
      </c>
      <c r="E517" s="7" t="s">
        <v>43</v>
      </c>
      <c r="F517" s="10" t="s">
        <v>26</v>
      </c>
      <c r="G517" s="97" t="s">
        <v>498</v>
      </c>
      <c r="H517" s="33"/>
      <c r="I517" s="33"/>
      <c r="J517" s="33"/>
      <c r="K517" s="33" t="s">
        <v>1236</v>
      </c>
      <c r="L517" s="41">
        <v>0</v>
      </c>
      <c r="M517" s="41">
        <v>0</v>
      </c>
    </row>
    <row r="518" spans="1:13" x14ac:dyDescent="0.25">
      <c r="A518" s="32">
        <v>1512</v>
      </c>
      <c r="B518" s="87" t="str">
        <f>VLOOKUP(A518,Documentos!D:F,3,FALSE)</f>
        <v>Oficio_Solicitud</v>
      </c>
      <c r="C518" s="88" t="str">
        <f>VLOOKUP(A518,Documentos!D:H,5,FALSE)</f>
        <v>DGC_FETCovid19</v>
      </c>
      <c r="D518" s="87">
        <f>VLOOKUP(A518,Documentos!D:I,6,FALSE)</f>
        <v>4480</v>
      </c>
      <c r="E518" s="7" t="s">
        <v>57</v>
      </c>
      <c r="F518" s="10" t="s">
        <v>562</v>
      </c>
      <c r="G518" s="97" t="s">
        <v>494</v>
      </c>
      <c r="H518" s="33"/>
      <c r="I518" s="33"/>
      <c r="J518" s="33"/>
      <c r="K518" s="33" t="s">
        <v>1278</v>
      </c>
      <c r="L518" s="41">
        <v>170570009</v>
      </c>
      <c r="M518" s="41">
        <v>0</v>
      </c>
    </row>
    <row r="519" spans="1:13" x14ac:dyDescent="0.25">
      <c r="A519" s="32">
        <v>1517</v>
      </c>
      <c r="B519" s="87" t="str">
        <f>VLOOKUP(A519,Documentos!D:F,3,FALSE)</f>
        <v>Oficio_Solicitud</v>
      </c>
      <c r="C519" s="88" t="str">
        <f>VLOOKUP(A519,Documentos!D:H,5,FALSE)</f>
        <v>APR_FETCovid19</v>
      </c>
      <c r="D519" s="87">
        <f>VLOOKUP(A519,Documentos!D:I,6,FALSE)</f>
        <v>47</v>
      </c>
      <c r="E519" s="7" t="s">
        <v>43</v>
      </c>
      <c r="F519" s="10" t="s">
        <v>559</v>
      </c>
      <c r="G519" s="97" t="s">
        <v>494</v>
      </c>
      <c r="H519" s="33"/>
      <c r="I519" s="33"/>
      <c r="J519" s="33"/>
      <c r="K519" s="33" t="s">
        <v>1282</v>
      </c>
      <c r="L519" s="41">
        <v>5217767</v>
      </c>
      <c r="M519" s="41">
        <v>0</v>
      </c>
    </row>
    <row r="520" spans="1:13" x14ac:dyDescent="0.25">
      <c r="A520" s="32">
        <v>1521</v>
      </c>
      <c r="B520" s="87" t="str">
        <f>VLOOKUP(A520,Documentos!D:F,3,FALSE)</f>
        <v>Oficio_Solicitud</v>
      </c>
      <c r="C520" s="88" t="str">
        <f>VLOOKUP(A520,Documentos!D:H,5,FALSE)</f>
        <v>APR</v>
      </c>
      <c r="D520" s="87">
        <f>VLOOKUP(A520,Documentos!D:I,6,FALSE)</f>
        <v>48</v>
      </c>
      <c r="E520" s="7" t="s">
        <v>43</v>
      </c>
      <c r="F520" s="10" t="s">
        <v>6</v>
      </c>
      <c r="G520" s="97" t="s">
        <v>494</v>
      </c>
      <c r="H520" s="33"/>
      <c r="I520" s="33"/>
      <c r="J520" s="33"/>
      <c r="K520" s="33" t="s">
        <v>1282</v>
      </c>
      <c r="L520" s="41">
        <v>24198473</v>
      </c>
      <c r="M520" s="41">
        <v>0</v>
      </c>
    </row>
    <row r="521" spans="1:13" x14ac:dyDescent="0.25">
      <c r="A521" s="32">
        <v>1522</v>
      </c>
      <c r="B521" s="87" t="str">
        <f>VLOOKUP(A521,Documentos!D:F,3,FALSE)</f>
        <v>Oficio_Solicitud</v>
      </c>
      <c r="C521" s="88" t="str">
        <f>VLOOKUP(A521,Documentos!D:H,5,FALSE)</f>
        <v>DGC</v>
      </c>
      <c r="D521" s="87">
        <f>VLOOKUP(A521,Documentos!D:I,6,FALSE)</f>
        <v>525</v>
      </c>
      <c r="E521" s="7" t="s">
        <v>60</v>
      </c>
      <c r="F521" s="10" t="s">
        <v>16</v>
      </c>
      <c r="G521" s="97" t="s">
        <v>494</v>
      </c>
      <c r="H521" s="33"/>
      <c r="I521" s="33"/>
      <c r="J521" s="33"/>
      <c r="K521" s="33" t="s">
        <v>1278</v>
      </c>
      <c r="L521" s="41">
        <v>2642515</v>
      </c>
      <c r="M521" s="41">
        <v>2652469</v>
      </c>
    </row>
    <row r="522" spans="1:13" x14ac:dyDescent="0.25">
      <c r="A522" s="32">
        <v>1527</v>
      </c>
      <c r="B522" s="87" t="str">
        <f>VLOOKUP(A522,Documentos!D:F,3,FALSE)</f>
        <v>Oficio_Solicitud</v>
      </c>
      <c r="C522" s="88" t="str">
        <f>VLOOKUP(A522,Documentos!D:H,5,FALSE)</f>
        <v>DOH</v>
      </c>
      <c r="D522" s="87">
        <f>VLOOKUP(A522,Documentos!D:I,6,FALSE)</f>
        <v>575</v>
      </c>
      <c r="E522" s="7" t="s">
        <v>60</v>
      </c>
      <c r="F522" s="10" t="s">
        <v>20</v>
      </c>
      <c r="G522" s="97" t="s">
        <v>494</v>
      </c>
      <c r="H522" s="33"/>
      <c r="I522" s="33"/>
      <c r="J522" s="33"/>
      <c r="K522" s="33" t="s">
        <v>1278</v>
      </c>
      <c r="L522" s="41">
        <v>1086193</v>
      </c>
      <c r="M522" s="41"/>
    </row>
    <row r="523" spans="1:13" x14ac:dyDescent="0.25">
      <c r="A523" s="32">
        <v>1530</v>
      </c>
      <c r="B523" s="87" t="str">
        <f>VLOOKUP(A523,Documentos!D:F,3,FALSE)</f>
        <v>Oficio_Solicitud</v>
      </c>
      <c r="C523" s="88" t="str">
        <f>VLOOKUP(A523,Documentos!D:H,5,FALSE)</f>
        <v>DV</v>
      </c>
      <c r="D523" s="87">
        <f>VLOOKUP(A523,Documentos!D:I,6,FALSE)</f>
        <v>579</v>
      </c>
      <c r="E523" s="7" t="s">
        <v>59</v>
      </c>
      <c r="F523" s="10" t="s">
        <v>26</v>
      </c>
      <c r="G523" s="97" t="s">
        <v>494</v>
      </c>
      <c r="H523" s="33"/>
      <c r="I523" s="33"/>
      <c r="J523" s="33"/>
      <c r="K523" s="33" t="s">
        <v>1236</v>
      </c>
      <c r="L523" s="41">
        <v>449427</v>
      </c>
      <c r="M523" s="41"/>
    </row>
    <row r="524" spans="1:13" x14ac:dyDescent="0.25">
      <c r="A524" s="32">
        <v>1531</v>
      </c>
      <c r="B524" s="87" t="str">
        <f>VLOOKUP(A524,Documentos!D:F,3,FALSE)</f>
        <v>Oficio_Solicitud</v>
      </c>
      <c r="C524" s="88" t="str">
        <f>VLOOKUP(A524,Documentos!D:H,5,FALSE)</f>
        <v>SISS</v>
      </c>
      <c r="D524" s="87">
        <f>VLOOKUP(A524,Documentos!D:I,6,FALSE)</f>
        <v>271</v>
      </c>
      <c r="E524" s="7" t="s">
        <v>59</v>
      </c>
      <c r="F524" s="10" t="s">
        <v>33</v>
      </c>
      <c r="G524" s="97" t="s">
        <v>494</v>
      </c>
      <c r="H524" s="33"/>
      <c r="I524" s="33"/>
      <c r="J524" s="33"/>
      <c r="K524" s="33" t="s">
        <v>1236</v>
      </c>
      <c r="L524" s="41">
        <v>449427</v>
      </c>
      <c r="M524" s="41"/>
    </row>
    <row r="525" spans="1:13" x14ac:dyDescent="0.25">
      <c r="A525" s="32">
        <v>1532</v>
      </c>
      <c r="B525" s="87" t="str">
        <f>VLOOKUP(A525,Documentos!D:F,3,FALSE)</f>
        <v>Oficio_Solicitud</v>
      </c>
      <c r="C525" s="88" t="str">
        <f>VLOOKUP(A525,Documentos!D:H,5,FALSE)</f>
        <v>DA</v>
      </c>
      <c r="D525" s="87">
        <f>VLOOKUP(A525,Documentos!D:I,6,FALSE)</f>
        <v>583</v>
      </c>
      <c r="E525" s="7" t="s">
        <v>60</v>
      </c>
      <c r="F525" s="10" t="s">
        <v>8</v>
      </c>
      <c r="G525" s="97" t="s">
        <v>494</v>
      </c>
      <c r="H525" s="33"/>
      <c r="I525" s="33"/>
      <c r="J525" s="33"/>
      <c r="K525" s="33" t="s">
        <v>1278</v>
      </c>
      <c r="L525" s="41">
        <v>1000</v>
      </c>
      <c r="M525" s="41">
        <v>0</v>
      </c>
    </row>
    <row r="526" spans="1:13" x14ac:dyDescent="0.25">
      <c r="A526" s="32">
        <v>1534</v>
      </c>
      <c r="B526" s="87" t="str">
        <f>VLOOKUP(A526,Documentos!D:F,3,FALSE)</f>
        <v>Oficio_Solicitud</v>
      </c>
      <c r="C526" s="88" t="str">
        <f>VLOOKUP(A526,Documentos!D:H,5,FALSE)</f>
        <v>DA</v>
      </c>
      <c r="D526" s="87">
        <f>VLOOKUP(A526,Documentos!D:I,6,FALSE)</f>
        <v>583</v>
      </c>
      <c r="E526" s="7" t="s">
        <v>60</v>
      </c>
      <c r="F526" s="10" t="s">
        <v>8</v>
      </c>
      <c r="G526" s="97" t="s">
        <v>494</v>
      </c>
      <c r="H526" s="33"/>
      <c r="I526" s="33"/>
      <c r="J526" s="33"/>
      <c r="K526" s="33" t="s">
        <v>1278</v>
      </c>
      <c r="L526" s="41">
        <v>1042803</v>
      </c>
      <c r="M526" s="41">
        <v>0</v>
      </c>
    </row>
    <row r="527" spans="1:13" x14ac:dyDescent="0.25">
      <c r="A527" s="32">
        <v>1535</v>
      </c>
      <c r="B527" s="87" t="str">
        <f>VLOOKUP(A527,Documentos!D:F,3,FALSE)</f>
        <v>Oficio_Solicitud</v>
      </c>
      <c r="C527" s="88" t="str">
        <f>VLOOKUP(A527,Documentos!D:H,5,FALSE)</f>
        <v>DGA</v>
      </c>
      <c r="D527" s="87">
        <f>VLOOKUP(A527,Documentos!D:I,6,FALSE)</f>
        <v>588</v>
      </c>
      <c r="E527" s="7" t="s">
        <v>43</v>
      </c>
      <c r="F527" s="10" t="s">
        <v>14</v>
      </c>
      <c r="G527" s="97" t="s">
        <v>494</v>
      </c>
      <c r="H527" s="33"/>
      <c r="I527" s="33"/>
      <c r="J527" s="33"/>
      <c r="K527" s="33" t="s">
        <v>1236</v>
      </c>
      <c r="L527" s="41">
        <v>458911</v>
      </c>
      <c r="M527" s="41">
        <v>0</v>
      </c>
    </row>
    <row r="528" spans="1:13" x14ac:dyDescent="0.25">
      <c r="A528" s="32">
        <v>1536</v>
      </c>
      <c r="B528" s="87" t="str">
        <f>VLOOKUP(A528,Documentos!D:F,3,FALSE)</f>
        <v>Oficio_Solicitud</v>
      </c>
      <c r="C528" s="88" t="str">
        <f>VLOOKUP(A528,Documentos!D:H,5,FALSE)</f>
        <v>DGA_FETCovid19</v>
      </c>
      <c r="D528" s="87">
        <f>VLOOKUP(A528,Documentos!D:I,6,FALSE)</f>
        <v>589</v>
      </c>
      <c r="E528" s="7" t="s">
        <v>43</v>
      </c>
      <c r="F528" s="10" t="s">
        <v>565</v>
      </c>
      <c r="G528" s="97" t="s">
        <v>494</v>
      </c>
      <c r="H528" s="33"/>
      <c r="I528" s="33"/>
      <c r="J528" s="33"/>
      <c r="K528" s="33" t="s">
        <v>1278</v>
      </c>
      <c r="L528" s="41">
        <v>1675955</v>
      </c>
      <c r="M528" s="41">
        <v>0</v>
      </c>
    </row>
    <row r="529" spans="1:13" x14ac:dyDescent="0.25">
      <c r="A529" s="32">
        <v>1539</v>
      </c>
      <c r="B529" s="87" t="str">
        <f>VLOOKUP(A529,Documentos!D:F,3,FALSE)</f>
        <v>Oficio_Solicitud</v>
      </c>
      <c r="C529" s="88" t="str">
        <f>VLOOKUP(A529,Documentos!D:H,5,FALSE)</f>
        <v>DGA</v>
      </c>
      <c r="D529" s="87">
        <f>VLOOKUP(A529,Documentos!D:I,6,FALSE)</f>
        <v>605</v>
      </c>
      <c r="E529" s="7" t="s">
        <v>43</v>
      </c>
      <c r="F529" s="10" t="s">
        <v>14</v>
      </c>
      <c r="G529" s="97" t="s">
        <v>494</v>
      </c>
      <c r="H529" s="33"/>
      <c r="I529" s="33"/>
      <c r="J529" s="33"/>
      <c r="K529" s="33" t="s">
        <v>1236</v>
      </c>
      <c r="L529" s="41">
        <v>6014780</v>
      </c>
      <c r="M529" s="41">
        <v>0</v>
      </c>
    </row>
    <row r="530" spans="1:13" x14ac:dyDescent="0.25">
      <c r="A530" s="32">
        <v>1540</v>
      </c>
      <c r="B530" s="87" t="str">
        <f>VLOOKUP(A530,Documentos!D:F,3,FALSE)</f>
        <v>Oficio_Solicitud</v>
      </c>
      <c r="C530" s="88" t="str">
        <f>VLOOKUP(A530,Documentos!D:H,5,FALSE)</f>
        <v>DGA_FETCovid19</v>
      </c>
      <c r="D530" s="87">
        <f>VLOOKUP(A530,Documentos!D:I,6,FALSE)</f>
        <v>606</v>
      </c>
      <c r="E530" s="7" t="s">
        <v>43</v>
      </c>
      <c r="F530" s="10" t="s">
        <v>565</v>
      </c>
      <c r="G530" s="97" t="s">
        <v>494</v>
      </c>
      <c r="H530" s="33"/>
      <c r="I530" s="33"/>
      <c r="J530" s="33"/>
      <c r="K530" s="33" t="s">
        <v>1278</v>
      </c>
      <c r="L530" s="41">
        <v>6099332</v>
      </c>
      <c r="M530" s="41">
        <v>0</v>
      </c>
    </row>
    <row r="531" spans="1:13" x14ac:dyDescent="0.25">
      <c r="A531" s="32">
        <v>1544</v>
      </c>
      <c r="B531" s="87" t="str">
        <f>VLOOKUP(A531,Documentos!D:F,3,FALSE)</f>
        <v>Oficio_Solicitud</v>
      </c>
      <c r="C531" s="88" t="str">
        <f>VLOOKUP(A531,Documentos!D:H,5,FALSE)</f>
        <v>DV</v>
      </c>
      <c r="D531" s="87">
        <f>VLOOKUP(A531,Documentos!D:I,6,FALSE)</f>
        <v>7868</v>
      </c>
      <c r="E531" s="7" t="s">
        <v>60</v>
      </c>
      <c r="F531" s="10" t="s">
        <v>26</v>
      </c>
      <c r="G531" s="97" t="s">
        <v>494</v>
      </c>
      <c r="H531" s="33"/>
      <c r="I531" s="33"/>
      <c r="J531" s="33"/>
      <c r="K531" s="33" t="s">
        <v>1278</v>
      </c>
      <c r="L531" s="41">
        <v>0</v>
      </c>
      <c r="M531" s="41">
        <v>0</v>
      </c>
    </row>
    <row r="532" spans="1:13" x14ac:dyDescent="0.25">
      <c r="A532" s="32">
        <v>1545</v>
      </c>
      <c r="B532" s="87" t="str">
        <f>VLOOKUP(A532,Documentos!D:F,3,FALSE)</f>
        <v>Oficio_Solicitud</v>
      </c>
      <c r="C532" s="88" t="str">
        <f>VLOOKUP(A532,Documentos!D:H,5,FALSE)</f>
        <v>APR</v>
      </c>
      <c r="D532" s="87">
        <f>VLOOKUP(A532,Documentos!D:I,6,FALSE)</f>
        <v>777</v>
      </c>
      <c r="E532" s="7" t="s">
        <v>60</v>
      </c>
      <c r="F532" s="10" t="s">
        <v>6</v>
      </c>
      <c r="G532" s="97" t="s">
        <v>494</v>
      </c>
      <c r="H532" s="33"/>
      <c r="I532" s="33"/>
      <c r="J532" s="33"/>
      <c r="K532" s="33" t="s">
        <v>1278</v>
      </c>
      <c r="L532" s="41">
        <v>2736385</v>
      </c>
      <c r="M532" s="41">
        <v>0</v>
      </c>
    </row>
    <row r="533" spans="1:13" x14ac:dyDescent="0.25">
      <c r="A533" s="32">
        <v>1546</v>
      </c>
      <c r="B533" s="87" t="str">
        <f>VLOOKUP(A533,Documentos!D:F,3,FALSE)</f>
        <v>Oficio_Solicitud</v>
      </c>
      <c r="C533" s="88" t="str">
        <f>VLOOKUP(A533,Documentos!D:H,5,FALSE)</f>
        <v>DGC_FETCovid19</v>
      </c>
      <c r="D533" s="87">
        <f>VLOOKUP(A533,Documentos!D:I,6,FALSE)</f>
        <v>792</v>
      </c>
      <c r="E533" s="7" t="s">
        <v>60</v>
      </c>
      <c r="F533" s="10" t="s">
        <v>562</v>
      </c>
      <c r="G533" s="97" t="s">
        <v>494</v>
      </c>
      <c r="H533" s="33"/>
      <c r="I533" s="33"/>
      <c r="J533" s="33"/>
      <c r="K533" s="33" t="s">
        <v>1278</v>
      </c>
      <c r="L533" s="41">
        <v>0</v>
      </c>
      <c r="M533" s="41">
        <v>11550235</v>
      </c>
    </row>
    <row r="534" spans="1:13" x14ac:dyDescent="0.25">
      <c r="A534" s="32">
        <v>1551</v>
      </c>
      <c r="B534" s="87" t="str">
        <f>VLOOKUP(A534,Documentos!D:F,3,FALSE)</f>
        <v>Proposicion</v>
      </c>
      <c r="C534" s="88" t="str">
        <f>VLOOKUP(A534,Documentos!D:H,5,FALSE)</f>
        <v>DAP_FETCovid19</v>
      </c>
      <c r="D534" s="87">
        <f>VLOOKUP(A534,Documentos!D:I,6,FALSE)</f>
        <v>807</v>
      </c>
      <c r="E534" s="7" t="s">
        <v>43</v>
      </c>
      <c r="F534" s="10" t="s">
        <v>544</v>
      </c>
      <c r="G534" s="97" t="s">
        <v>494</v>
      </c>
      <c r="H534" s="33"/>
      <c r="I534" s="33"/>
      <c r="J534" s="33"/>
      <c r="K534" s="33" t="s">
        <v>1236</v>
      </c>
      <c r="L534" s="41">
        <v>3013891</v>
      </c>
      <c r="M534" s="41"/>
    </row>
    <row r="535" spans="1:13" x14ac:dyDescent="0.25">
      <c r="A535" s="32">
        <v>1554</v>
      </c>
      <c r="B535" s="87" t="str">
        <f>VLOOKUP(A535,Documentos!D:F,3,FALSE)</f>
        <v>Oficio_Solicitud</v>
      </c>
      <c r="C535" s="88" t="str">
        <f>VLOOKUP(A535,Documentos!D:H,5,FALSE)</f>
        <v>APR_FETCovid19</v>
      </c>
      <c r="D535" s="87">
        <f>VLOOKUP(A535,Documentos!D:I,6,FALSE)</f>
        <v>937</v>
      </c>
      <c r="E535" s="7" t="s">
        <v>60</v>
      </c>
      <c r="F535" s="10" t="s">
        <v>559</v>
      </c>
      <c r="G535" s="97" t="s">
        <v>494</v>
      </c>
      <c r="H535" s="33"/>
      <c r="I535" s="33"/>
      <c r="J535" s="33"/>
      <c r="K535" s="33" t="s">
        <v>1278</v>
      </c>
      <c r="L535" s="41">
        <v>3343275</v>
      </c>
      <c r="M535" s="41">
        <v>0</v>
      </c>
    </row>
    <row r="536" spans="1:13" x14ac:dyDescent="0.25">
      <c r="A536" s="32">
        <v>1555</v>
      </c>
      <c r="B536" s="87" t="str">
        <f>VLOOKUP(A536,Documentos!D:F,3,FALSE)</f>
        <v>Oficio_Solicitud</v>
      </c>
      <c r="C536" s="88" t="str">
        <f>VLOOKUP(A536,Documentos!D:H,5,FALSE)</f>
        <v>DOH_FETCovid19</v>
      </c>
      <c r="D536" s="87">
        <f>VLOOKUP(A536,Documentos!D:I,6,FALSE)</f>
        <v>946</v>
      </c>
      <c r="E536" s="7" t="s">
        <v>60</v>
      </c>
      <c r="F536" s="10" t="s">
        <v>535</v>
      </c>
      <c r="G536" s="97" t="s">
        <v>494</v>
      </c>
      <c r="H536" s="33"/>
      <c r="I536" s="33"/>
      <c r="J536" s="33"/>
      <c r="K536" s="33" t="s">
        <v>1278</v>
      </c>
      <c r="L536" s="41">
        <v>15349470</v>
      </c>
      <c r="M536" s="41">
        <v>6853780</v>
      </c>
    </row>
    <row r="537" spans="1:13" x14ac:dyDescent="0.25">
      <c r="A537" s="32">
        <v>1557</v>
      </c>
      <c r="B537" s="87" t="str">
        <f>VLOOKUP(A537,Documentos!D:F,3,FALSE)</f>
        <v>Oficio_Solicitud</v>
      </c>
      <c r="C537" s="88" t="str">
        <f>VLOOKUP(A537,Documentos!D:H,5,FALSE)</f>
        <v>APR</v>
      </c>
      <c r="D537" s="87">
        <f>VLOOKUP(A537,Documentos!D:I,6,FALSE)</f>
        <v>990</v>
      </c>
      <c r="E537" s="7" t="s">
        <v>60</v>
      </c>
      <c r="F537" s="10" t="s">
        <v>6</v>
      </c>
      <c r="G537" s="97" t="s">
        <v>494</v>
      </c>
      <c r="H537" s="33"/>
      <c r="I537" s="33"/>
      <c r="J537" s="33"/>
      <c r="K537" s="33" t="s">
        <v>1278</v>
      </c>
      <c r="L537" s="41">
        <v>4073956</v>
      </c>
      <c r="M537" s="41">
        <v>0</v>
      </c>
    </row>
    <row r="538" spans="1:13" x14ac:dyDescent="0.25">
      <c r="A538" s="32">
        <v>1679</v>
      </c>
      <c r="B538" s="87" t="str">
        <f>VLOOKUP(A538,Documentos!D:F,3,FALSE)</f>
        <v>Oficio_Solicitud</v>
      </c>
      <c r="C538" s="88" t="str">
        <f>VLOOKUP(A538,Documentos!D:H,5,FALSE)</f>
        <v>DGC_FETCovid19</v>
      </c>
      <c r="D538" s="87">
        <f>VLOOKUP(A538,Documentos!D:I,6,FALSE)</f>
        <v>1353</v>
      </c>
      <c r="E538" s="7" t="s">
        <v>57</v>
      </c>
      <c r="F538" s="10" t="s">
        <v>562</v>
      </c>
      <c r="G538" s="97" t="s">
        <v>494</v>
      </c>
      <c r="H538" s="33"/>
      <c r="I538" s="33"/>
      <c r="J538" s="33"/>
      <c r="K538" s="33" t="s">
        <v>1282</v>
      </c>
      <c r="L538" s="41">
        <v>0</v>
      </c>
      <c r="M538" s="41">
        <v>0</v>
      </c>
    </row>
    <row r="539" spans="1:13" x14ac:dyDescent="0.25">
      <c r="A539" s="43">
        <v>1680</v>
      </c>
      <c r="B539" s="93" t="str">
        <f>VLOOKUP(A539,Documentos!D:F,3,FALSE)</f>
        <v>Oficio_Solicitud</v>
      </c>
      <c r="C539" s="88" t="str">
        <f>VLOOKUP(A539,Documentos!D:H,5,FALSE)</f>
        <v>DA_FETCovid19</v>
      </c>
      <c r="D539" s="93">
        <f>VLOOKUP(A539,Documentos!D:I,6,FALSE)</f>
        <v>1082</v>
      </c>
      <c r="E539" s="7" t="s">
        <v>60</v>
      </c>
      <c r="F539" s="10" t="s">
        <v>532</v>
      </c>
      <c r="G539" s="97" t="s">
        <v>494</v>
      </c>
      <c r="H539" s="33"/>
      <c r="I539" s="33"/>
      <c r="J539" s="33"/>
      <c r="K539" s="33" t="s">
        <v>1278</v>
      </c>
      <c r="L539" s="41">
        <v>0</v>
      </c>
      <c r="M539" s="41">
        <v>4752826</v>
      </c>
    </row>
    <row r="540" spans="1:13" x14ac:dyDescent="0.25">
      <c r="A540" s="43">
        <v>1682</v>
      </c>
      <c r="B540" s="93" t="str">
        <f>VLOOKUP(A540,Documentos!D:F,3,FALSE)</f>
        <v>Oficio_Solicitud</v>
      </c>
      <c r="C540" s="88" t="str">
        <f>VLOOKUP(A540,Documentos!D:H,5,FALSE)</f>
        <v>APR</v>
      </c>
      <c r="D540" s="93">
        <f>VLOOKUP(A540,Documentos!D:I,6,FALSE)</f>
        <v>1472</v>
      </c>
      <c r="E540" s="7" t="s">
        <v>1258</v>
      </c>
      <c r="F540" s="10" t="s">
        <v>6</v>
      </c>
      <c r="G540" s="97" t="s">
        <v>494</v>
      </c>
      <c r="H540" s="33"/>
      <c r="I540" s="33"/>
      <c r="J540" s="33"/>
      <c r="K540" s="33" t="s">
        <v>1236</v>
      </c>
      <c r="L540" s="41">
        <v>49610</v>
      </c>
      <c r="M540" s="41">
        <v>49610</v>
      </c>
    </row>
    <row r="541" spans="1:13" x14ac:dyDescent="0.25">
      <c r="A541" s="43">
        <v>1684</v>
      </c>
      <c r="B541" s="93" t="str">
        <f>VLOOKUP(A541,Documentos!D:F,3,FALSE)</f>
        <v>Proposicion</v>
      </c>
      <c r="C541" s="88" t="str">
        <f>VLOOKUP(A541,Documentos!D:H,5,FALSE)</f>
        <v>DV</v>
      </c>
      <c r="D541" s="93">
        <f>VLOOKUP(A541,Documentos!D:I,6,FALSE)</f>
        <v>582</v>
      </c>
      <c r="E541" s="7" t="s">
        <v>60</v>
      </c>
      <c r="F541" s="10" t="s">
        <v>26</v>
      </c>
      <c r="G541" s="97" t="s">
        <v>494</v>
      </c>
      <c r="H541" s="33"/>
      <c r="I541" s="33"/>
      <c r="J541" s="33"/>
      <c r="K541" s="33" t="s">
        <v>1278</v>
      </c>
      <c r="L541" s="41">
        <v>476010</v>
      </c>
      <c r="M541" s="41">
        <v>0</v>
      </c>
    </row>
    <row r="542" spans="1:13" x14ac:dyDescent="0.25">
      <c r="A542" s="43">
        <v>1688</v>
      </c>
      <c r="B542" s="93" t="str">
        <f>VLOOKUP(A542,Documentos!D:F,3,FALSE)</f>
        <v>Oficio_Solicitud</v>
      </c>
      <c r="C542" s="88" t="str">
        <f>VLOOKUP(A542,Documentos!D:H,5,FALSE)</f>
        <v>DV</v>
      </c>
      <c r="D542" s="93">
        <f>VLOOKUP(A542,Documentos!D:I,6,FALSE)</f>
        <v>7638</v>
      </c>
      <c r="E542" s="7" t="s">
        <v>60</v>
      </c>
      <c r="F542" s="10" t="s">
        <v>26</v>
      </c>
      <c r="G542" s="97" t="s">
        <v>494</v>
      </c>
      <c r="H542" s="33"/>
      <c r="I542" s="33"/>
      <c r="J542" s="33"/>
      <c r="K542" s="33" t="s">
        <v>1278</v>
      </c>
      <c r="L542" s="41">
        <v>476010</v>
      </c>
      <c r="M542" s="41">
        <v>0</v>
      </c>
    </row>
    <row r="543" spans="1:13" x14ac:dyDescent="0.25">
      <c r="A543" s="43">
        <v>1691</v>
      </c>
      <c r="B543" s="93" t="str">
        <f>VLOOKUP(A543,Documentos!D:F,3,FALSE)</f>
        <v>Oficio_Solicitud</v>
      </c>
      <c r="C543" s="88" t="str">
        <f>VLOOKUP(A543,Documentos!D:H,5,FALSE)</f>
        <v>DAP_FETCovid19</v>
      </c>
      <c r="D543" s="93">
        <f>VLOOKUP(A543,Documentos!D:I,6,FALSE)</f>
        <v>591</v>
      </c>
      <c r="E543" s="7" t="s">
        <v>43</v>
      </c>
      <c r="F543" s="10" t="s">
        <v>544</v>
      </c>
      <c r="G543" s="97" t="s">
        <v>494</v>
      </c>
      <c r="H543" s="33"/>
      <c r="I543" s="33"/>
      <c r="J543" s="33"/>
      <c r="K543" s="33" t="s">
        <v>1278</v>
      </c>
      <c r="L543" s="41">
        <v>3013891</v>
      </c>
      <c r="M543" s="41"/>
    </row>
    <row r="544" spans="1:13" x14ac:dyDescent="0.25">
      <c r="A544" s="45">
        <v>1679</v>
      </c>
      <c r="B544" s="125" t="str">
        <f>VLOOKUP(A544,Documentos!D:F,3,FALSE)</f>
        <v>Oficio_Solicitud</v>
      </c>
      <c r="C544" s="125" t="str">
        <f>VLOOKUP(A544,Documentos!D:H,5,FALSE)</f>
        <v>DGC_FETCovid19</v>
      </c>
      <c r="D544" s="125">
        <f>VLOOKUP(A544,Documentos!D:I,6,FALSE)</f>
        <v>1353</v>
      </c>
      <c r="E544" s="35" t="s">
        <v>1268</v>
      </c>
      <c r="F544" s="10" t="s">
        <v>562</v>
      </c>
      <c r="G544" s="126" t="s">
        <v>494</v>
      </c>
      <c r="H544" s="127"/>
      <c r="I544" s="128"/>
      <c r="J544" s="128"/>
      <c r="K544" s="35" t="s">
        <v>1236</v>
      </c>
      <c r="L544" s="35">
        <v>5555555</v>
      </c>
      <c r="M544" s="35"/>
    </row>
    <row r="545" spans="1:13" x14ac:dyDescent="0.25">
      <c r="A545" s="45">
        <v>1512</v>
      </c>
      <c r="B545" s="125" t="str">
        <f>VLOOKUP(A545,Documentos!D:F,3,FALSE)</f>
        <v>Oficio_Solicitud</v>
      </c>
      <c r="C545" s="125" t="str">
        <f>VLOOKUP(A545,Documentos!D:H,5,FALSE)</f>
        <v>DGC_FETCovid19</v>
      </c>
      <c r="D545" s="125">
        <f>VLOOKUP(A545,Documentos!D:I,6,FALSE)</f>
        <v>4480</v>
      </c>
      <c r="E545" s="35" t="s">
        <v>1269</v>
      </c>
      <c r="F545" s="10" t="s">
        <v>8</v>
      </c>
      <c r="G545" s="126" t="s">
        <v>494</v>
      </c>
      <c r="H545" s="127"/>
      <c r="I545" s="128"/>
      <c r="J545" s="128"/>
      <c r="K545" s="35" t="s">
        <v>1236</v>
      </c>
      <c r="L545" s="35">
        <v>4444444</v>
      </c>
      <c r="M545" s="35"/>
    </row>
  </sheetData>
  <conditionalFormatting sqref="M12 L543:M543 L14:M16 L204:M205 L173:M188 L164:M165 L50:M53 L147:M148 L130:M133 L77:M90 L57:M69 L39:M42 L32:M37 L22:M22 L3:M9 L498:M502">
    <cfRule type="expression" dxfId="592" priority="707">
      <formula>L3&lt;&gt;""</formula>
    </cfRule>
    <cfRule type="expression" dxfId="591" priority="708">
      <formula>#REF!&lt;&gt;""</formula>
    </cfRule>
  </conditionalFormatting>
  <conditionalFormatting sqref="L12 L44:M47">
    <cfRule type="expression" dxfId="590" priority="709">
      <formula>L12&lt;&gt;""</formula>
    </cfRule>
    <cfRule type="expression" dxfId="589" priority="710">
      <formula>#REF!&lt;&gt;""</formula>
    </cfRule>
  </conditionalFormatting>
  <conditionalFormatting sqref="M10">
    <cfRule type="expression" dxfId="588" priority="661">
      <formula>M10&lt;&gt;""</formula>
    </cfRule>
    <cfRule type="expression" dxfId="587" priority="662">
      <formula>#REF!&lt;&gt;""</formula>
    </cfRule>
  </conditionalFormatting>
  <conditionalFormatting sqref="L10">
    <cfRule type="expression" dxfId="586" priority="671">
      <formula>L10&lt;&gt;""</formula>
    </cfRule>
    <cfRule type="expression" dxfId="585" priority="672">
      <formula>#REF!&lt;&gt;""</formula>
    </cfRule>
  </conditionalFormatting>
  <conditionalFormatting sqref="M13">
    <cfRule type="expression" dxfId="584" priority="637">
      <formula>M13&lt;&gt;""</formula>
    </cfRule>
    <cfRule type="expression" dxfId="583" priority="638">
      <formula>#REF!&lt;&gt;""</formula>
    </cfRule>
  </conditionalFormatting>
  <conditionalFormatting sqref="L13">
    <cfRule type="expression" dxfId="582" priority="649">
      <formula>L13&lt;&gt;""</formula>
    </cfRule>
    <cfRule type="expression" dxfId="581" priority="650">
      <formula>#REF!&lt;&gt;""</formula>
    </cfRule>
  </conditionalFormatting>
  <conditionalFormatting sqref="L11">
    <cfRule type="expression" dxfId="580" priority="647">
      <formula>L11&lt;&gt;""</formula>
    </cfRule>
    <cfRule type="expression" dxfId="579" priority="648">
      <formula>#REF!&lt;&gt;""</formula>
    </cfRule>
  </conditionalFormatting>
  <conditionalFormatting sqref="M11">
    <cfRule type="expression" dxfId="578" priority="635">
      <formula>M11&lt;&gt;""</formula>
    </cfRule>
    <cfRule type="expression" dxfId="577" priority="636">
      <formula>#REF!&lt;&gt;""</formula>
    </cfRule>
  </conditionalFormatting>
  <conditionalFormatting sqref="M17:M18">
    <cfRule type="expression" dxfId="576" priority="629">
      <formula>M17&lt;&gt;""</formula>
    </cfRule>
    <cfRule type="expression" dxfId="575" priority="630">
      <formula>#REF!&lt;&gt;""</formula>
    </cfRule>
  </conditionalFormatting>
  <conditionalFormatting sqref="M19">
    <cfRule type="expression" dxfId="574" priority="627">
      <formula>M19&lt;&gt;""</formula>
    </cfRule>
    <cfRule type="expression" dxfId="573" priority="628">
      <formula>#REF!&lt;&gt;""</formula>
    </cfRule>
  </conditionalFormatting>
  <conditionalFormatting sqref="L17:L18">
    <cfRule type="expression" dxfId="572" priority="633">
      <formula>L17&lt;&gt;""</formula>
    </cfRule>
    <cfRule type="expression" dxfId="571" priority="634">
      <formula>#REF!&lt;&gt;""</formula>
    </cfRule>
  </conditionalFormatting>
  <conditionalFormatting sqref="L19">
    <cfRule type="expression" dxfId="570" priority="631">
      <formula>L19&lt;&gt;""</formula>
    </cfRule>
    <cfRule type="expression" dxfId="569" priority="632">
      <formula>#REF!&lt;&gt;""</formula>
    </cfRule>
  </conditionalFormatting>
  <conditionalFormatting sqref="L20">
    <cfRule type="expression" dxfId="568" priority="625">
      <formula>L20&lt;&gt;""</formula>
    </cfRule>
    <cfRule type="expression" dxfId="567" priority="626">
      <formula>#REF!&lt;&gt;""</formula>
    </cfRule>
  </conditionalFormatting>
  <conditionalFormatting sqref="M20">
    <cfRule type="expression" dxfId="566" priority="623">
      <formula>M20&lt;&gt;""</formula>
    </cfRule>
    <cfRule type="expression" dxfId="565" priority="624">
      <formula>#REF!&lt;&gt;""</formula>
    </cfRule>
  </conditionalFormatting>
  <conditionalFormatting sqref="L21">
    <cfRule type="expression" dxfId="564" priority="621">
      <formula>L21&lt;&gt;""</formula>
    </cfRule>
    <cfRule type="expression" dxfId="563" priority="622">
      <formula>#REF!&lt;&gt;""</formula>
    </cfRule>
  </conditionalFormatting>
  <conditionalFormatting sqref="M21">
    <cfRule type="expression" dxfId="562" priority="617">
      <formula>M21&lt;&gt;""</formula>
    </cfRule>
    <cfRule type="expression" dxfId="561" priority="618">
      <formula>#REF!&lt;&gt;""</formula>
    </cfRule>
  </conditionalFormatting>
  <conditionalFormatting sqref="L461:M463 L454:M458 L448 L402:M412 L389:M389 L363:M365 L264:M270 L237:M246 L226:M226 L126:M129 L117:M121 L92:M96 L54:M56">
    <cfRule type="expression" dxfId="560" priority="613">
      <formula>L54&lt;&gt;""</formula>
    </cfRule>
    <cfRule type="expression" dxfId="559" priority="614">
      <formula>#REF!&lt;&gt;""</formula>
    </cfRule>
  </conditionalFormatting>
  <conditionalFormatting sqref="M190:M203 M169:M171 M156:M161 M150:M154 M122:M123 M136:M138 M141 M143:M145 M112:M114 M107:M109 M100:M105 M73 M71 M31 M24:M28">
    <cfRule type="expression" dxfId="558" priority="607">
      <formula>M24&lt;&gt;""</formula>
    </cfRule>
    <cfRule type="expression" dxfId="557" priority="608">
      <formula>#REF!&lt;&gt;""</formula>
    </cfRule>
  </conditionalFormatting>
  <conditionalFormatting sqref="L190:L203 L169:L171 L156:L161 L150:L154 L122:L123 L136:L138 L141 L143:L145 L112:L114 L107:L109 L100:L105 L73 L71 L31 L24:L28">
    <cfRule type="expression" dxfId="556" priority="611">
      <formula>L24&lt;&gt;""</formula>
    </cfRule>
    <cfRule type="expression" dxfId="555" priority="612">
      <formula>#REF!&lt;&gt;""</formula>
    </cfRule>
  </conditionalFormatting>
  <conditionalFormatting sqref="L23">
    <cfRule type="expression" dxfId="554" priority="609">
      <formula>L23&lt;&gt;""</formula>
    </cfRule>
    <cfRule type="expression" dxfId="553" priority="610">
      <formula>#REF!&lt;&gt;""</formula>
    </cfRule>
  </conditionalFormatting>
  <conditionalFormatting sqref="M23">
    <cfRule type="expression" dxfId="552" priority="605">
      <formula>M23&lt;&gt;""</formula>
    </cfRule>
    <cfRule type="expression" dxfId="551" priority="606">
      <formula>#REF!&lt;&gt;""</formula>
    </cfRule>
  </conditionalFormatting>
  <conditionalFormatting sqref="L29">
    <cfRule type="expression" dxfId="550" priority="603">
      <formula>L29&lt;&gt;""</formula>
    </cfRule>
    <cfRule type="expression" dxfId="549" priority="604">
      <formula>#REF!&lt;&gt;""</formula>
    </cfRule>
  </conditionalFormatting>
  <conditionalFormatting sqref="M29">
    <cfRule type="expression" dxfId="548" priority="601">
      <formula>M29&lt;&gt;""</formula>
    </cfRule>
    <cfRule type="expression" dxfId="547" priority="602">
      <formula>#REF!&lt;&gt;""</formula>
    </cfRule>
  </conditionalFormatting>
  <conditionalFormatting sqref="L30">
    <cfRule type="expression" dxfId="546" priority="595">
      <formula>L30&lt;&gt;""</formula>
    </cfRule>
    <cfRule type="expression" dxfId="545" priority="596">
      <formula>#REF!&lt;&gt;""</formula>
    </cfRule>
  </conditionalFormatting>
  <conditionalFormatting sqref="M30">
    <cfRule type="expression" dxfId="544" priority="593">
      <formula>M30&lt;&gt;""</formula>
    </cfRule>
    <cfRule type="expression" dxfId="543" priority="594">
      <formula>#REF!&lt;&gt;""</formula>
    </cfRule>
  </conditionalFormatting>
  <conditionalFormatting sqref="M38">
    <cfRule type="expression" dxfId="542" priority="585">
      <formula>M38&lt;&gt;""</formula>
    </cfRule>
    <cfRule type="expression" dxfId="541" priority="586">
      <formula>#REF!&lt;&gt;""</formula>
    </cfRule>
  </conditionalFormatting>
  <conditionalFormatting sqref="L38">
    <cfRule type="expression" dxfId="540" priority="587">
      <formula>L38&lt;&gt;""</formula>
    </cfRule>
    <cfRule type="expression" dxfId="539" priority="588">
      <formula>#REF!&lt;&gt;""</formula>
    </cfRule>
  </conditionalFormatting>
  <conditionalFormatting sqref="M43">
    <cfRule type="expression" dxfId="538" priority="581">
      <formula>M43&lt;&gt;""</formula>
    </cfRule>
    <cfRule type="expression" dxfId="537" priority="582">
      <formula>#REF!&lt;&gt;""</formula>
    </cfRule>
  </conditionalFormatting>
  <conditionalFormatting sqref="L43">
    <cfRule type="expression" dxfId="536" priority="583">
      <formula>L43&lt;&gt;""</formula>
    </cfRule>
    <cfRule type="expression" dxfId="535" priority="584">
      <formula>#REF!&lt;&gt;""</formula>
    </cfRule>
  </conditionalFormatting>
  <conditionalFormatting sqref="M48">
    <cfRule type="expression" dxfId="534" priority="575">
      <formula>M48&lt;&gt;""</formula>
    </cfRule>
    <cfRule type="expression" dxfId="533" priority="576">
      <formula>#REF!&lt;&gt;""</formula>
    </cfRule>
  </conditionalFormatting>
  <conditionalFormatting sqref="M49">
    <cfRule type="expression" dxfId="532" priority="573">
      <formula>M49&lt;&gt;""</formula>
    </cfRule>
    <cfRule type="expression" dxfId="531" priority="574">
      <formula>#REF!&lt;&gt;""</formula>
    </cfRule>
  </conditionalFormatting>
  <conditionalFormatting sqref="L48">
    <cfRule type="expression" dxfId="530" priority="579">
      <formula>L48&lt;&gt;""</formula>
    </cfRule>
    <cfRule type="expression" dxfId="529" priority="580">
      <formula>#REF!&lt;&gt;""</formula>
    </cfRule>
  </conditionalFormatting>
  <conditionalFormatting sqref="L49">
    <cfRule type="expression" dxfId="528" priority="577">
      <formula>L49&lt;&gt;""</formula>
    </cfRule>
    <cfRule type="expression" dxfId="527" priority="578">
      <formula>#REF!&lt;&gt;""</formula>
    </cfRule>
  </conditionalFormatting>
  <conditionalFormatting sqref="M70">
    <cfRule type="expression" dxfId="526" priority="565">
      <formula>M70&lt;&gt;""</formula>
    </cfRule>
    <cfRule type="expression" dxfId="525" priority="566">
      <formula>#REF!&lt;&gt;""</formula>
    </cfRule>
  </conditionalFormatting>
  <conditionalFormatting sqref="L70">
    <cfRule type="expression" dxfId="524" priority="567">
      <formula>L70&lt;&gt;""</formula>
    </cfRule>
    <cfRule type="expression" dxfId="523" priority="568">
      <formula>#REF!&lt;&gt;""</formula>
    </cfRule>
  </conditionalFormatting>
  <conditionalFormatting sqref="M72">
    <cfRule type="expression" dxfId="522" priority="561">
      <formula>M72&lt;&gt;""</formula>
    </cfRule>
    <cfRule type="expression" dxfId="521" priority="562">
      <formula>#REF!&lt;&gt;""</formula>
    </cfRule>
  </conditionalFormatting>
  <conditionalFormatting sqref="L72">
    <cfRule type="expression" dxfId="520" priority="563">
      <formula>L72&lt;&gt;""</formula>
    </cfRule>
    <cfRule type="expression" dxfId="519" priority="564">
      <formula>#REF!&lt;&gt;""</formula>
    </cfRule>
  </conditionalFormatting>
  <conditionalFormatting sqref="M74">
    <cfRule type="expression" dxfId="518" priority="553">
      <formula>M74&lt;&gt;""</formula>
    </cfRule>
    <cfRule type="expression" dxfId="517" priority="554">
      <formula>#REF!&lt;&gt;""</formula>
    </cfRule>
  </conditionalFormatting>
  <conditionalFormatting sqref="M75">
    <cfRule type="expression" dxfId="516" priority="551">
      <formula>M75&lt;&gt;""</formula>
    </cfRule>
    <cfRule type="expression" dxfId="515" priority="552">
      <formula>#REF!&lt;&gt;""</formula>
    </cfRule>
  </conditionalFormatting>
  <conditionalFormatting sqref="L74">
    <cfRule type="expression" dxfId="514" priority="559">
      <formula>L74&lt;&gt;""</formula>
    </cfRule>
    <cfRule type="expression" dxfId="513" priority="560">
      <formula>#REF!&lt;&gt;""</formula>
    </cfRule>
  </conditionalFormatting>
  <conditionalFormatting sqref="L75">
    <cfRule type="expression" dxfId="512" priority="557">
      <formula>L75&lt;&gt;""</formula>
    </cfRule>
    <cfRule type="expression" dxfId="511" priority="558">
      <formula>#REF!&lt;&gt;""</formula>
    </cfRule>
  </conditionalFormatting>
  <conditionalFormatting sqref="L76">
    <cfRule type="expression" dxfId="510" priority="555">
      <formula>L76&lt;&gt;""</formula>
    </cfRule>
    <cfRule type="expression" dxfId="509" priority="556">
      <formula>#REF!&lt;&gt;""</formula>
    </cfRule>
  </conditionalFormatting>
  <conditionalFormatting sqref="M76">
    <cfRule type="expression" dxfId="508" priority="549">
      <formula>M76&lt;&gt;""</formula>
    </cfRule>
    <cfRule type="expression" dxfId="507" priority="550">
      <formula>#REF!&lt;&gt;""</formula>
    </cfRule>
  </conditionalFormatting>
  <conditionalFormatting sqref="L91">
    <cfRule type="expression" dxfId="506" priority="547">
      <formula>L91&lt;&gt;""</formula>
    </cfRule>
    <cfRule type="expression" dxfId="505" priority="548">
      <formula>#REF!&lt;&gt;""</formula>
    </cfRule>
  </conditionalFormatting>
  <conditionalFormatting sqref="M91">
    <cfRule type="expression" dxfId="504" priority="545">
      <formula>M91&lt;&gt;""</formula>
    </cfRule>
    <cfRule type="expression" dxfId="503" priority="546">
      <formula>#REF!&lt;&gt;""</formula>
    </cfRule>
  </conditionalFormatting>
  <conditionalFormatting sqref="M99">
    <cfRule type="expression" dxfId="502" priority="533">
      <formula>M99&lt;&gt;""</formula>
    </cfRule>
    <cfRule type="expression" dxfId="501" priority="534">
      <formula>#REF!&lt;&gt;""</formula>
    </cfRule>
  </conditionalFormatting>
  <conditionalFormatting sqref="L97">
    <cfRule type="expression" dxfId="500" priority="543">
      <formula>L97&lt;&gt;""</formula>
    </cfRule>
    <cfRule type="expression" dxfId="499" priority="544">
      <formula>#REF!&lt;&gt;""</formula>
    </cfRule>
  </conditionalFormatting>
  <conditionalFormatting sqref="L98">
    <cfRule type="expression" dxfId="498" priority="541">
      <formula>L98&lt;&gt;""</formula>
    </cfRule>
    <cfRule type="expression" dxfId="497" priority="542">
      <formula>#REF!&lt;&gt;""</formula>
    </cfRule>
  </conditionalFormatting>
  <conditionalFormatting sqref="L99">
    <cfRule type="expression" dxfId="496" priority="539">
      <formula>L99&lt;&gt;""</formula>
    </cfRule>
    <cfRule type="expression" dxfId="495" priority="540">
      <formula>#REF!&lt;&gt;""</formula>
    </cfRule>
  </conditionalFormatting>
  <conditionalFormatting sqref="M97">
    <cfRule type="expression" dxfId="494" priority="537">
      <formula>M97&lt;&gt;""</formula>
    </cfRule>
    <cfRule type="expression" dxfId="493" priority="538">
      <formula>#REF!&lt;&gt;""</formula>
    </cfRule>
  </conditionalFormatting>
  <conditionalFormatting sqref="M98">
    <cfRule type="expression" dxfId="492" priority="535">
      <formula>M98&lt;&gt;""</formula>
    </cfRule>
    <cfRule type="expression" dxfId="491" priority="536">
      <formula>#REF!&lt;&gt;""</formula>
    </cfRule>
  </conditionalFormatting>
  <conditionalFormatting sqref="M106">
    <cfRule type="expression" dxfId="490" priority="529">
      <formula>M106&lt;&gt;""</formula>
    </cfRule>
    <cfRule type="expression" dxfId="489" priority="530">
      <formula>#REF!&lt;&gt;""</formula>
    </cfRule>
  </conditionalFormatting>
  <conditionalFormatting sqref="L106">
    <cfRule type="expression" dxfId="488" priority="531">
      <formula>L106&lt;&gt;""</formula>
    </cfRule>
    <cfRule type="expression" dxfId="487" priority="532">
      <formula>#REF!&lt;&gt;""</formula>
    </cfRule>
  </conditionalFormatting>
  <conditionalFormatting sqref="L110">
    <cfRule type="expression" dxfId="486" priority="519">
      <formula>L110&lt;&gt;""</formula>
    </cfRule>
    <cfRule type="expression" dxfId="485" priority="520">
      <formula>#REF!&lt;&gt;""</formula>
    </cfRule>
  </conditionalFormatting>
  <conditionalFormatting sqref="M110">
    <cfRule type="expression" dxfId="484" priority="517">
      <formula>M110&lt;&gt;""</formula>
    </cfRule>
    <cfRule type="expression" dxfId="483" priority="518">
      <formula>#REF!&lt;&gt;""</formula>
    </cfRule>
  </conditionalFormatting>
  <conditionalFormatting sqref="L111">
    <cfRule type="expression" dxfId="482" priority="515">
      <formula>L111&lt;&gt;""</formula>
    </cfRule>
    <cfRule type="expression" dxfId="481" priority="516">
      <formula>#REF!&lt;&gt;""</formula>
    </cfRule>
  </conditionalFormatting>
  <conditionalFormatting sqref="M111">
    <cfRule type="expression" dxfId="480" priority="513">
      <formula>M111&lt;&gt;""</formula>
    </cfRule>
    <cfRule type="expression" dxfId="479" priority="514">
      <formula>#REF!&lt;&gt;""</formula>
    </cfRule>
  </conditionalFormatting>
  <conditionalFormatting sqref="L115">
    <cfRule type="expression" dxfId="478" priority="511">
      <formula>L115&lt;&gt;""</formula>
    </cfRule>
    <cfRule type="expression" dxfId="477" priority="512">
      <formula>#REF!&lt;&gt;""</formula>
    </cfRule>
  </conditionalFormatting>
  <conditionalFormatting sqref="L116">
    <cfRule type="expression" dxfId="476" priority="509">
      <formula>L116&lt;&gt;""</formula>
    </cfRule>
    <cfRule type="expression" dxfId="475" priority="510">
      <formula>#REF!&lt;&gt;""</formula>
    </cfRule>
  </conditionalFormatting>
  <conditionalFormatting sqref="M115">
    <cfRule type="expression" dxfId="474" priority="507">
      <formula>M115&lt;&gt;""</formula>
    </cfRule>
    <cfRule type="expression" dxfId="473" priority="508">
      <formula>#REF!&lt;&gt;""</formula>
    </cfRule>
  </conditionalFormatting>
  <conditionalFormatting sqref="M116">
    <cfRule type="expression" dxfId="472" priority="505">
      <formula>M116&lt;&gt;""</formula>
    </cfRule>
    <cfRule type="expression" dxfId="471" priority="506">
      <formula>#REF!&lt;&gt;""</formula>
    </cfRule>
  </conditionalFormatting>
  <conditionalFormatting sqref="M124">
    <cfRule type="expression" dxfId="470" priority="487">
      <formula>M124&lt;&gt;""</formula>
    </cfRule>
    <cfRule type="expression" dxfId="469" priority="488">
      <formula>#REF!&lt;&gt;""</formula>
    </cfRule>
  </conditionalFormatting>
  <conditionalFormatting sqref="M125">
    <cfRule type="expression" dxfId="468" priority="485">
      <formula>M125&lt;&gt;""</formula>
    </cfRule>
    <cfRule type="expression" dxfId="467" priority="486">
      <formula>#REF!&lt;&gt;""</formula>
    </cfRule>
  </conditionalFormatting>
  <conditionalFormatting sqref="M134">
    <cfRule type="expression" dxfId="466" priority="481">
      <formula>M134&lt;&gt;""</formula>
    </cfRule>
    <cfRule type="expression" dxfId="465" priority="482">
      <formula>#REF!&lt;&gt;""</formula>
    </cfRule>
  </conditionalFormatting>
  <conditionalFormatting sqref="M135">
    <cfRule type="expression" dxfId="464" priority="479">
      <formula>M135&lt;&gt;""</formula>
    </cfRule>
    <cfRule type="expression" dxfId="463" priority="480">
      <formula>#REF!&lt;&gt;""</formula>
    </cfRule>
  </conditionalFormatting>
  <conditionalFormatting sqref="M139">
    <cfRule type="expression" dxfId="462" priority="477">
      <formula>M139&lt;&gt;""</formula>
    </cfRule>
    <cfRule type="expression" dxfId="461" priority="478">
      <formula>#REF!&lt;&gt;""</formula>
    </cfRule>
  </conditionalFormatting>
  <conditionalFormatting sqref="M140">
    <cfRule type="expression" dxfId="460" priority="475">
      <formula>M140&lt;&gt;""</formula>
    </cfRule>
    <cfRule type="expression" dxfId="459" priority="476">
      <formula>#REF!&lt;&gt;""</formula>
    </cfRule>
  </conditionalFormatting>
  <conditionalFormatting sqref="M142">
    <cfRule type="expression" dxfId="458" priority="473">
      <formula>M142&lt;&gt;""</formula>
    </cfRule>
    <cfRule type="expression" dxfId="457" priority="474">
      <formula>#REF!&lt;&gt;""</formula>
    </cfRule>
  </conditionalFormatting>
  <conditionalFormatting sqref="L124">
    <cfRule type="expression" dxfId="456" priority="503">
      <formula>L124&lt;&gt;""</formula>
    </cfRule>
    <cfRule type="expression" dxfId="455" priority="504">
      <formula>#REF!&lt;&gt;""</formula>
    </cfRule>
  </conditionalFormatting>
  <conditionalFormatting sqref="L125">
    <cfRule type="expression" dxfId="454" priority="501">
      <formula>L125&lt;&gt;""</formula>
    </cfRule>
    <cfRule type="expression" dxfId="453" priority="502">
      <formula>#REF!&lt;&gt;""</formula>
    </cfRule>
  </conditionalFormatting>
  <conditionalFormatting sqref="L134">
    <cfRule type="expression" dxfId="452" priority="497">
      <formula>L134&lt;&gt;""</formula>
    </cfRule>
    <cfRule type="expression" dxfId="451" priority="498">
      <formula>#REF!&lt;&gt;""</formula>
    </cfRule>
  </conditionalFormatting>
  <conditionalFormatting sqref="L135">
    <cfRule type="expression" dxfId="450" priority="495">
      <formula>L135&lt;&gt;""</formula>
    </cfRule>
    <cfRule type="expression" dxfId="449" priority="496">
      <formula>#REF!&lt;&gt;""</formula>
    </cfRule>
  </conditionalFormatting>
  <conditionalFormatting sqref="L139">
    <cfRule type="expression" dxfId="448" priority="493">
      <formula>L139&lt;&gt;""</formula>
    </cfRule>
    <cfRule type="expression" dxfId="447" priority="494">
      <formula>#REF!&lt;&gt;""</formula>
    </cfRule>
  </conditionalFormatting>
  <conditionalFormatting sqref="L140">
    <cfRule type="expression" dxfId="446" priority="491">
      <formula>L140&lt;&gt;""</formula>
    </cfRule>
    <cfRule type="expression" dxfId="445" priority="492">
      <formula>#REF!&lt;&gt;""</formula>
    </cfRule>
  </conditionalFormatting>
  <conditionalFormatting sqref="L142">
    <cfRule type="expression" dxfId="444" priority="489">
      <formula>L142&lt;&gt;""</formula>
    </cfRule>
    <cfRule type="expression" dxfId="443" priority="490">
      <formula>#REF!&lt;&gt;""</formula>
    </cfRule>
  </conditionalFormatting>
  <conditionalFormatting sqref="M146">
    <cfRule type="expression" dxfId="442" priority="469">
      <formula>M146&lt;&gt;""</formula>
    </cfRule>
    <cfRule type="expression" dxfId="441" priority="470">
      <formula>#REF!&lt;&gt;""</formula>
    </cfRule>
  </conditionalFormatting>
  <conditionalFormatting sqref="L146">
    <cfRule type="expression" dxfId="440" priority="471">
      <formula>L146&lt;&gt;""</formula>
    </cfRule>
    <cfRule type="expression" dxfId="439" priority="472">
      <formula>#REF!&lt;&gt;""</formula>
    </cfRule>
  </conditionalFormatting>
  <conditionalFormatting sqref="M149">
    <cfRule type="expression" dxfId="438" priority="465">
      <formula>M149&lt;&gt;""</formula>
    </cfRule>
    <cfRule type="expression" dxfId="437" priority="466">
      <formula>#REF!&lt;&gt;""</formula>
    </cfRule>
  </conditionalFormatting>
  <conditionalFormatting sqref="L149">
    <cfRule type="expression" dxfId="436" priority="467">
      <formula>L149&lt;&gt;""</formula>
    </cfRule>
    <cfRule type="expression" dxfId="435" priority="468">
      <formula>#REF!&lt;&gt;""</formula>
    </cfRule>
  </conditionalFormatting>
  <conditionalFormatting sqref="M155">
    <cfRule type="expression" dxfId="434" priority="461">
      <formula>M155&lt;&gt;""</formula>
    </cfRule>
    <cfRule type="expression" dxfId="433" priority="462">
      <formula>#REF!&lt;&gt;""</formula>
    </cfRule>
  </conditionalFormatting>
  <conditionalFormatting sqref="L155">
    <cfRule type="expression" dxfId="432" priority="463">
      <formula>L155&lt;&gt;""</formula>
    </cfRule>
    <cfRule type="expression" dxfId="431" priority="464">
      <formula>#REF!&lt;&gt;""</formula>
    </cfRule>
  </conditionalFormatting>
  <conditionalFormatting sqref="M162">
    <cfRule type="expression" dxfId="430" priority="447">
      <formula>M162&lt;&gt;""</formula>
    </cfRule>
    <cfRule type="expression" dxfId="429" priority="448">
      <formula>#REF!&lt;&gt;""</formula>
    </cfRule>
  </conditionalFormatting>
  <conditionalFormatting sqref="M163">
    <cfRule type="expression" dxfId="428" priority="445">
      <formula>M163&lt;&gt;""</formula>
    </cfRule>
    <cfRule type="expression" dxfId="427" priority="446">
      <formula>#REF!&lt;&gt;""</formula>
    </cfRule>
  </conditionalFormatting>
  <conditionalFormatting sqref="M166">
    <cfRule type="expression" dxfId="426" priority="443">
      <formula>M166&lt;&gt;""</formula>
    </cfRule>
    <cfRule type="expression" dxfId="425" priority="444">
      <formula>#REF!&lt;&gt;""</formula>
    </cfRule>
  </conditionalFormatting>
  <conditionalFormatting sqref="M167">
    <cfRule type="expression" dxfId="424" priority="441">
      <formula>M167&lt;&gt;""</formula>
    </cfRule>
    <cfRule type="expression" dxfId="423" priority="442">
      <formula>#REF!&lt;&gt;""</formula>
    </cfRule>
  </conditionalFormatting>
  <conditionalFormatting sqref="M168">
    <cfRule type="expression" dxfId="422" priority="439">
      <formula>M168&lt;&gt;""</formula>
    </cfRule>
    <cfRule type="expression" dxfId="421" priority="440">
      <formula>#REF!&lt;&gt;""</formula>
    </cfRule>
  </conditionalFormatting>
  <conditionalFormatting sqref="M172">
    <cfRule type="expression" dxfId="420" priority="437">
      <formula>M172&lt;&gt;""</formula>
    </cfRule>
    <cfRule type="expression" dxfId="419" priority="438">
      <formula>#REF!&lt;&gt;""</formula>
    </cfRule>
  </conditionalFormatting>
  <conditionalFormatting sqref="L162">
    <cfRule type="expression" dxfId="418" priority="459">
      <formula>L162&lt;&gt;""</formula>
    </cfRule>
    <cfRule type="expression" dxfId="417" priority="460">
      <formula>#REF!&lt;&gt;""</formula>
    </cfRule>
  </conditionalFormatting>
  <conditionalFormatting sqref="L163">
    <cfRule type="expression" dxfId="416" priority="457">
      <formula>L163&lt;&gt;""</formula>
    </cfRule>
    <cfRule type="expression" dxfId="415" priority="458">
      <formula>#REF!&lt;&gt;""</formula>
    </cfRule>
  </conditionalFormatting>
  <conditionalFormatting sqref="L166">
    <cfRule type="expression" dxfId="414" priority="455">
      <formula>L166&lt;&gt;""</formula>
    </cfRule>
    <cfRule type="expression" dxfId="413" priority="456">
      <formula>#REF!&lt;&gt;""</formula>
    </cfRule>
  </conditionalFormatting>
  <conditionalFormatting sqref="L167">
    <cfRule type="expression" dxfId="412" priority="453">
      <formula>L167&lt;&gt;""</formula>
    </cfRule>
    <cfRule type="expression" dxfId="411" priority="454">
      <formula>#REF!&lt;&gt;""</formula>
    </cfRule>
  </conditionalFormatting>
  <conditionalFormatting sqref="L168">
    <cfRule type="expression" dxfId="410" priority="451">
      <formula>L168&lt;&gt;""</formula>
    </cfRule>
    <cfRule type="expression" dxfId="409" priority="452">
      <formula>#REF!&lt;&gt;""</formula>
    </cfRule>
  </conditionalFormatting>
  <conditionalFormatting sqref="L172">
    <cfRule type="expression" dxfId="408" priority="449">
      <formula>L172&lt;&gt;""</formula>
    </cfRule>
    <cfRule type="expression" dxfId="407" priority="450">
      <formula>#REF!&lt;&gt;""</formula>
    </cfRule>
  </conditionalFormatting>
  <conditionalFormatting sqref="M189">
    <cfRule type="expression" dxfId="406" priority="433">
      <formula>M189&lt;&gt;""</formula>
    </cfRule>
    <cfRule type="expression" dxfId="405" priority="434">
      <formula>#REF!&lt;&gt;""</formula>
    </cfRule>
  </conditionalFormatting>
  <conditionalFormatting sqref="L189">
    <cfRule type="expression" dxfId="404" priority="435">
      <formula>L189&lt;&gt;""</formula>
    </cfRule>
    <cfRule type="expression" dxfId="403" priority="436">
      <formula>#REF!&lt;&gt;""</formula>
    </cfRule>
  </conditionalFormatting>
  <conditionalFormatting sqref="M303:M306 M310:M311 M301 M277:M278 M282:M285 M288:M298 M271:M275 M253:M261 M249:M251 M228 M230:M235 M223 M214:M220 M207:M212">
    <cfRule type="expression" dxfId="402" priority="429">
      <formula>M207&lt;&gt;""</formula>
    </cfRule>
    <cfRule type="expression" dxfId="401" priority="430">
      <formula>#REF!&lt;&gt;""</formula>
    </cfRule>
  </conditionalFormatting>
  <conditionalFormatting sqref="L303:L306 L310:L311 L301 L277:L278 L282:L285 L288:L298 L271:L275 L253:L261 L249:L251 L228 L230:L235 L223 L214:L220 L207:L212">
    <cfRule type="expression" dxfId="400" priority="431">
      <formula>L207&lt;&gt;""</formula>
    </cfRule>
    <cfRule type="expression" dxfId="399" priority="432">
      <formula>#REF!&lt;&gt;""</formula>
    </cfRule>
  </conditionalFormatting>
  <conditionalFormatting sqref="M206 L526:M528">
    <cfRule type="expression" dxfId="398" priority="425">
      <formula>L206&lt;&gt;""</formula>
    </cfRule>
    <cfRule type="expression" dxfId="397" priority="426">
      <formula>#REF!&lt;&gt;""</formula>
    </cfRule>
  </conditionalFormatting>
  <conditionalFormatting sqref="L206">
    <cfRule type="expression" dxfId="396" priority="427">
      <formula>L206&lt;&gt;""</formula>
    </cfRule>
    <cfRule type="expression" dxfId="395" priority="428">
      <formula>#REF!&lt;&gt;""</formula>
    </cfRule>
  </conditionalFormatting>
  <conditionalFormatting sqref="M213">
    <cfRule type="expression" dxfId="394" priority="421">
      <formula>M213&lt;&gt;""</formula>
    </cfRule>
    <cfRule type="expression" dxfId="393" priority="422">
      <formula>#REF!&lt;&gt;""</formula>
    </cfRule>
  </conditionalFormatting>
  <conditionalFormatting sqref="L213">
    <cfRule type="expression" dxfId="392" priority="423">
      <formula>L213&lt;&gt;""</formula>
    </cfRule>
    <cfRule type="expression" dxfId="391" priority="424">
      <formula>#REF!&lt;&gt;""</formula>
    </cfRule>
  </conditionalFormatting>
  <conditionalFormatting sqref="M221">
    <cfRule type="expression" dxfId="390" priority="417">
      <formula>M221&lt;&gt;""</formula>
    </cfRule>
    <cfRule type="expression" dxfId="389" priority="418">
      <formula>#REF!&lt;&gt;""</formula>
    </cfRule>
  </conditionalFormatting>
  <conditionalFormatting sqref="L221">
    <cfRule type="expression" dxfId="388" priority="419">
      <formula>L221&lt;&gt;""</formula>
    </cfRule>
    <cfRule type="expression" dxfId="387" priority="420">
      <formula>#REF!&lt;&gt;""</formula>
    </cfRule>
  </conditionalFormatting>
  <conditionalFormatting sqref="M222">
    <cfRule type="expression" dxfId="386" priority="413">
      <formula>M222&lt;&gt;""</formula>
    </cfRule>
    <cfRule type="expression" dxfId="385" priority="414">
      <formula>#REF!&lt;&gt;""</formula>
    </cfRule>
  </conditionalFormatting>
  <conditionalFormatting sqref="L222">
    <cfRule type="expression" dxfId="384" priority="415">
      <formula>L222&lt;&gt;""</formula>
    </cfRule>
    <cfRule type="expression" dxfId="383" priority="416">
      <formula>#REF!&lt;&gt;""</formula>
    </cfRule>
  </conditionalFormatting>
  <conditionalFormatting sqref="M224:M225">
    <cfRule type="expression" dxfId="382" priority="409">
      <formula>M224&lt;&gt;""</formula>
    </cfRule>
    <cfRule type="expression" dxfId="381" priority="410">
      <formula>#REF!&lt;&gt;""</formula>
    </cfRule>
  </conditionalFormatting>
  <conditionalFormatting sqref="L224:L225">
    <cfRule type="expression" dxfId="380" priority="411">
      <formula>L224&lt;&gt;""</formula>
    </cfRule>
    <cfRule type="expression" dxfId="379" priority="412">
      <formula>#REF!&lt;&gt;""</formula>
    </cfRule>
  </conditionalFormatting>
  <conditionalFormatting sqref="M227">
    <cfRule type="expression" dxfId="378" priority="403">
      <formula>M227&lt;&gt;""</formula>
    </cfRule>
    <cfRule type="expression" dxfId="377" priority="404">
      <formula>#REF!&lt;&gt;""</formula>
    </cfRule>
  </conditionalFormatting>
  <conditionalFormatting sqref="M229">
    <cfRule type="expression" dxfId="376" priority="401">
      <formula>M229&lt;&gt;""</formula>
    </cfRule>
    <cfRule type="expression" dxfId="375" priority="402">
      <formula>#REF!&lt;&gt;""</formula>
    </cfRule>
  </conditionalFormatting>
  <conditionalFormatting sqref="L227">
    <cfRule type="expression" dxfId="374" priority="407">
      <formula>L227&lt;&gt;""</formula>
    </cfRule>
    <cfRule type="expression" dxfId="373" priority="408">
      <formula>#REF!&lt;&gt;""</formula>
    </cfRule>
  </conditionalFormatting>
  <conditionalFormatting sqref="L229">
    <cfRule type="expression" dxfId="372" priority="405">
      <formula>L229&lt;&gt;""</formula>
    </cfRule>
    <cfRule type="expression" dxfId="371" priority="406">
      <formula>#REF!&lt;&gt;""</formula>
    </cfRule>
  </conditionalFormatting>
  <conditionalFormatting sqref="M236">
    <cfRule type="expression" dxfId="370" priority="397">
      <formula>M236&lt;&gt;""</formula>
    </cfRule>
    <cfRule type="expression" dxfId="369" priority="398">
      <formula>#REF!&lt;&gt;""</formula>
    </cfRule>
  </conditionalFormatting>
  <conditionalFormatting sqref="L236">
    <cfRule type="expression" dxfId="368" priority="399">
      <formula>L236&lt;&gt;""</formula>
    </cfRule>
    <cfRule type="expression" dxfId="367" priority="400">
      <formula>#REF!&lt;&gt;""</formula>
    </cfRule>
  </conditionalFormatting>
  <conditionalFormatting sqref="M247">
    <cfRule type="expression" dxfId="366" priority="389">
      <formula>M247&lt;&gt;""</formula>
    </cfRule>
    <cfRule type="expression" dxfId="365" priority="390">
      <formula>#REF!&lt;&gt;""</formula>
    </cfRule>
  </conditionalFormatting>
  <conditionalFormatting sqref="M248">
    <cfRule type="expression" dxfId="364" priority="387">
      <formula>M248&lt;&gt;""</formula>
    </cfRule>
    <cfRule type="expression" dxfId="363" priority="388">
      <formula>#REF!&lt;&gt;""</formula>
    </cfRule>
  </conditionalFormatting>
  <conditionalFormatting sqref="M252">
    <cfRule type="expression" dxfId="362" priority="385">
      <formula>M252&lt;&gt;""</formula>
    </cfRule>
    <cfRule type="expression" dxfId="361" priority="386">
      <formula>#REF!&lt;&gt;""</formula>
    </cfRule>
  </conditionalFormatting>
  <conditionalFormatting sqref="L247">
    <cfRule type="expression" dxfId="360" priority="395">
      <formula>L247&lt;&gt;""</formula>
    </cfRule>
    <cfRule type="expression" dxfId="359" priority="396">
      <formula>#REF!&lt;&gt;""</formula>
    </cfRule>
  </conditionalFormatting>
  <conditionalFormatting sqref="L248">
    <cfRule type="expression" dxfId="358" priority="393">
      <formula>L248&lt;&gt;""</formula>
    </cfRule>
    <cfRule type="expression" dxfId="357" priority="394">
      <formula>#REF!&lt;&gt;""</formula>
    </cfRule>
  </conditionalFormatting>
  <conditionalFormatting sqref="L252">
    <cfRule type="expression" dxfId="356" priority="391">
      <formula>L252&lt;&gt;""</formula>
    </cfRule>
    <cfRule type="expression" dxfId="355" priority="392">
      <formula>#REF!&lt;&gt;""</formula>
    </cfRule>
  </conditionalFormatting>
  <conditionalFormatting sqref="M262:M263">
    <cfRule type="expression" dxfId="354" priority="381">
      <formula>M262&lt;&gt;""</formula>
    </cfRule>
    <cfRule type="expression" dxfId="353" priority="382">
      <formula>#REF!&lt;&gt;""</formula>
    </cfRule>
  </conditionalFormatting>
  <conditionalFormatting sqref="L262:L263">
    <cfRule type="expression" dxfId="352" priority="383">
      <formula>L262&lt;&gt;""</formula>
    </cfRule>
    <cfRule type="expression" dxfId="351" priority="384">
      <formula>#REF!&lt;&gt;""</formula>
    </cfRule>
  </conditionalFormatting>
  <conditionalFormatting sqref="M276">
    <cfRule type="expression" dxfId="350" priority="367">
      <formula>M276&lt;&gt;""</formula>
    </cfRule>
    <cfRule type="expression" dxfId="349" priority="368">
      <formula>#REF!&lt;&gt;""</formula>
    </cfRule>
  </conditionalFormatting>
  <conditionalFormatting sqref="M279">
    <cfRule type="expression" dxfId="348" priority="365">
      <formula>M279&lt;&gt;""</formula>
    </cfRule>
    <cfRule type="expression" dxfId="347" priority="366">
      <formula>#REF!&lt;&gt;""</formula>
    </cfRule>
  </conditionalFormatting>
  <conditionalFormatting sqref="M280">
    <cfRule type="expression" dxfId="346" priority="363">
      <formula>M280&lt;&gt;""</formula>
    </cfRule>
    <cfRule type="expression" dxfId="345" priority="364">
      <formula>#REF!&lt;&gt;""</formula>
    </cfRule>
  </conditionalFormatting>
  <conditionalFormatting sqref="M281">
    <cfRule type="expression" dxfId="344" priority="361">
      <formula>M281&lt;&gt;""</formula>
    </cfRule>
    <cfRule type="expression" dxfId="343" priority="362">
      <formula>#REF!&lt;&gt;""</formula>
    </cfRule>
  </conditionalFormatting>
  <conditionalFormatting sqref="M286">
    <cfRule type="expression" dxfId="342" priority="359">
      <formula>M286&lt;&gt;""</formula>
    </cfRule>
    <cfRule type="expression" dxfId="341" priority="360">
      <formula>#REF!&lt;&gt;""</formula>
    </cfRule>
  </conditionalFormatting>
  <conditionalFormatting sqref="M287">
    <cfRule type="expression" dxfId="340" priority="357">
      <formula>M287&lt;&gt;""</formula>
    </cfRule>
    <cfRule type="expression" dxfId="339" priority="358">
      <formula>#REF!&lt;&gt;""</formula>
    </cfRule>
  </conditionalFormatting>
  <conditionalFormatting sqref="L276">
    <cfRule type="expression" dxfId="338" priority="379">
      <formula>L276&lt;&gt;""</formula>
    </cfRule>
    <cfRule type="expression" dxfId="337" priority="380">
      <formula>#REF!&lt;&gt;""</formula>
    </cfRule>
  </conditionalFormatting>
  <conditionalFormatting sqref="L279">
    <cfRule type="expression" dxfId="336" priority="377">
      <formula>L279&lt;&gt;""</formula>
    </cfRule>
    <cfRule type="expression" dxfId="335" priority="378">
      <formula>#REF!&lt;&gt;""</formula>
    </cfRule>
  </conditionalFormatting>
  <conditionalFormatting sqref="L280">
    <cfRule type="expression" dxfId="334" priority="375">
      <formula>L280&lt;&gt;""</formula>
    </cfRule>
    <cfRule type="expression" dxfId="333" priority="376">
      <formula>#REF!&lt;&gt;""</formula>
    </cfRule>
  </conditionalFormatting>
  <conditionalFormatting sqref="L281">
    <cfRule type="expression" dxfId="332" priority="373">
      <formula>L281&lt;&gt;""</formula>
    </cfRule>
    <cfRule type="expression" dxfId="331" priority="374">
      <formula>#REF!&lt;&gt;""</formula>
    </cfRule>
  </conditionalFormatting>
  <conditionalFormatting sqref="L286">
    <cfRule type="expression" dxfId="330" priority="371">
      <formula>L286&lt;&gt;""</formula>
    </cfRule>
    <cfRule type="expression" dxfId="329" priority="372">
      <formula>#REF!&lt;&gt;""</formula>
    </cfRule>
  </conditionalFormatting>
  <conditionalFormatting sqref="L287">
    <cfRule type="expression" dxfId="328" priority="369">
      <formula>L287&lt;&gt;""</formula>
    </cfRule>
    <cfRule type="expression" dxfId="327" priority="370">
      <formula>#REF!&lt;&gt;""</formula>
    </cfRule>
  </conditionalFormatting>
  <conditionalFormatting sqref="M299">
    <cfRule type="expression" dxfId="326" priority="351">
      <formula>M299&lt;&gt;""</formula>
    </cfRule>
    <cfRule type="expression" dxfId="325" priority="352">
      <formula>#REF!&lt;&gt;""</formula>
    </cfRule>
  </conditionalFormatting>
  <conditionalFormatting sqref="M300">
    <cfRule type="expression" dxfId="324" priority="349">
      <formula>M300&lt;&gt;""</formula>
    </cfRule>
    <cfRule type="expression" dxfId="323" priority="350">
      <formula>#REF!&lt;&gt;""</formula>
    </cfRule>
  </conditionalFormatting>
  <conditionalFormatting sqref="L299">
    <cfRule type="expression" dxfId="322" priority="355">
      <formula>L299&lt;&gt;""</formula>
    </cfRule>
    <cfRule type="expression" dxfId="321" priority="356">
      <formula>#REF!&lt;&gt;""</formula>
    </cfRule>
  </conditionalFormatting>
  <conditionalFormatting sqref="L300">
    <cfRule type="expression" dxfId="320" priority="353">
      <formula>L300&lt;&gt;""</formula>
    </cfRule>
    <cfRule type="expression" dxfId="319" priority="354">
      <formula>#REF!&lt;&gt;""</formula>
    </cfRule>
  </conditionalFormatting>
  <conditionalFormatting sqref="M302">
    <cfRule type="expression" dxfId="318" priority="345">
      <formula>M302&lt;&gt;""</formula>
    </cfRule>
    <cfRule type="expression" dxfId="317" priority="346">
      <formula>#REF!&lt;&gt;""</formula>
    </cfRule>
  </conditionalFormatting>
  <conditionalFormatting sqref="L302">
    <cfRule type="expression" dxfId="316" priority="347">
      <formula>L302&lt;&gt;""</formula>
    </cfRule>
    <cfRule type="expression" dxfId="315" priority="348">
      <formula>#REF!&lt;&gt;""</formula>
    </cfRule>
  </conditionalFormatting>
  <conditionalFormatting sqref="M308">
    <cfRule type="expression" dxfId="314" priority="337">
      <formula>M308&lt;&gt;""</formula>
    </cfRule>
    <cfRule type="expression" dxfId="313" priority="338">
      <formula>#REF!&lt;&gt;""</formula>
    </cfRule>
  </conditionalFormatting>
  <conditionalFormatting sqref="M307">
    <cfRule type="expression" dxfId="312" priority="335">
      <formula>M307&lt;&gt;""</formula>
    </cfRule>
    <cfRule type="expression" dxfId="311" priority="336">
      <formula>#REF!&lt;&gt;""</formula>
    </cfRule>
  </conditionalFormatting>
  <conditionalFormatting sqref="M309">
    <cfRule type="expression" dxfId="310" priority="333">
      <formula>M309&lt;&gt;""</formula>
    </cfRule>
    <cfRule type="expression" dxfId="309" priority="334">
      <formula>#REF!&lt;&gt;""</formula>
    </cfRule>
  </conditionalFormatting>
  <conditionalFormatting sqref="L308">
    <cfRule type="expression" dxfId="308" priority="343">
      <formula>L308&lt;&gt;""</formula>
    </cfRule>
    <cfRule type="expression" dxfId="307" priority="344">
      <formula>#REF!&lt;&gt;""</formula>
    </cfRule>
  </conditionalFormatting>
  <conditionalFormatting sqref="L307">
    <cfRule type="expression" dxfId="306" priority="341">
      <formula>L307&lt;&gt;""</formula>
    </cfRule>
    <cfRule type="expression" dxfId="305" priority="342">
      <formula>#REF!&lt;&gt;""</formula>
    </cfRule>
  </conditionalFormatting>
  <conditionalFormatting sqref="L309">
    <cfRule type="expression" dxfId="304" priority="339">
      <formula>L309&lt;&gt;""</formula>
    </cfRule>
    <cfRule type="expression" dxfId="303" priority="340">
      <formula>#REF!&lt;&gt;""</formula>
    </cfRule>
  </conditionalFormatting>
  <conditionalFormatting sqref="M312">
    <cfRule type="expression" dxfId="302" priority="329">
      <formula>M312&lt;&gt;""</formula>
    </cfRule>
    <cfRule type="expression" dxfId="301" priority="330">
      <formula>#REF!&lt;&gt;""</formula>
    </cfRule>
  </conditionalFormatting>
  <conditionalFormatting sqref="L312">
    <cfRule type="expression" dxfId="300" priority="331">
      <formula>L312&lt;&gt;""</formula>
    </cfRule>
    <cfRule type="expression" dxfId="299" priority="332">
      <formula>#REF!&lt;&gt;""</formula>
    </cfRule>
  </conditionalFormatting>
  <conditionalFormatting sqref="M351:M356 M348:M349 M338 M342 M344:M345 M325:M328 M313:M314">
    <cfRule type="expression" dxfId="298" priority="325">
      <formula>M313&lt;&gt;""</formula>
    </cfRule>
    <cfRule type="expression" dxfId="297" priority="326">
      <formula>#REF!&lt;&gt;""</formula>
    </cfRule>
  </conditionalFormatting>
  <conditionalFormatting sqref="L351:L356 L348:L349 L338 L342 L344:L345 L325:L328 L313:L314">
    <cfRule type="expression" dxfId="296" priority="327">
      <formula>L313&lt;&gt;""</formula>
    </cfRule>
    <cfRule type="expression" dxfId="295" priority="328">
      <formula>#REF!&lt;&gt;""</formula>
    </cfRule>
  </conditionalFormatting>
  <conditionalFormatting sqref="M333:M336 M329 M321 M317:M319">
    <cfRule type="expression" dxfId="294" priority="315">
      <formula>M317&lt;&gt;""</formula>
    </cfRule>
    <cfRule type="expression" dxfId="293" priority="316">
      <formula>#REF!&lt;&gt;""</formula>
    </cfRule>
  </conditionalFormatting>
  <conditionalFormatting sqref="M315">
    <cfRule type="expression" dxfId="292" priority="313">
      <formula>M315&lt;&gt;""</formula>
    </cfRule>
    <cfRule type="expression" dxfId="291" priority="314">
      <formula>#REF!&lt;&gt;""</formula>
    </cfRule>
  </conditionalFormatting>
  <conditionalFormatting sqref="M316">
    <cfRule type="expression" dxfId="290" priority="311">
      <formula>M316&lt;&gt;""</formula>
    </cfRule>
    <cfRule type="expression" dxfId="289" priority="312">
      <formula>#REF!&lt;&gt;""</formula>
    </cfRule>
  </conditionalFormatting>
  <conditionalFormatting sqref="M320">
    <cfRule type="expression" dxfId="288" priority="309">
      <formula>M320&lt;&gt;""</formula>
    </cfRule>
    <cfRule type="expression" dxfId="287" priority="310">
      <formula>#REF!&lt;&gt;""</formula>
    </cfRule>
  </conditionalFormatting>
  <conditionalFormatting sqref="L333:L336 L329 L321 L317:L319">
    <cfRule type="expression" dxfId="286" priority="323">
      <formula>L317&lt;&gt;""</formula>
    </cfRule>
    <cfRule type="expression" dxfId="285" priority="324">
      <formula>#REF!&lt;&gt;""</formula>
    </cfRule>
  </conditionalFormatting>
  <conditionalFormatting sqref="L315">
    <cfRule type="expression" dxfId="284" priority="321">
      <formula>L315&lt;&gt;""</formula>
    </cfRule>
    <cfRule type="expression" dxfId="283" priority="322">
      <formula>#REF!&lt;&gt;""</formula>
    </cfRule>
  </conditionalFormatting>
  <conditionalFormatting sqref="L316">
    <cfRule type="expression" dxfId="282" priority="319">
      <formula>L316&lt;&gt;""</formula>
    </cfRule>
    <cfRule type="expression" dxfId="281" priority="320">
      <formula>#REF!&lt;&gt;""</formula>
    </cfRule>
  </conditionalFormatting>
  <conditionalFormatting sqref="L320">
    <cfRule type="expression" dxfId="280" priority="317">
      <formula>L320&lt;&gt;""</formula>
    </cfRule>
    <cfRule type="expression" dxfId="279" priority="318">
      <formula>#REF!&lt;&gt;""</formula>
    </cfRule>
  </conditionalFormatting>
  <conditionalFormatting sqref="M322">
    <cfRule type="expression" dxfId="278" priority="305">
      <formula>M322&lt;&gt;""</formula>
    </cfRule>
    <cfRule type="expression" dxfId="277" priority="306">
      <formula>#REF!&lt;&gt;""</formula>
    </cfRule>
  </conditionalFormatting>
  <conditionalFormatting sqref="L322">
    <cfRule type="expression" dxfId="276" priority="307">
      <formula>L322&lt;&gt;""</formula>
    </cfRule>
    <cfRule type="expression" dxfId="275" priority="308">
      <formula>#REF!&lt;&gt;""</formula>
    </cfRule>
  </conditionalFormatting>
  <conditionalFormatting sqref="M323">
    <cfRule type="expression" dxfId="274" priority="293">
      <formula>M323&lt;&gt;""</formula>
    </cfRule>
    <cfRule type="expression" dxfId="273" priority="294">
      <formula>#REF!&lt;&gt;""</formula>
    </cfRule>
  </conditionalFormatting>
  <conditionalFormatting sqref="M324">
    <cfRule type="expression" dxfId="272" priority="289">
      <formula>M324&lt;&gt;""</formula>
    </cfRule>
    <cfRule type="expression" dxfId="271" priority="290">
      <formula>#REF!&lt;&gt;""</formula>
    </cfRule>
  </conditionalFormatting>
  <conditionalFormatting sqref="M330">
    <cfRule type="expression" dxfId="270" priority="287">
      <formula>M330&lt;&gt;""</formula>
    </cfRule>
    <cfRule type="expression" dxfId="269" priority="288">
      <formula>#REF!&lt;&gt;""</formula>
    </cfRule>
  </conditionalFormatting>
  <conditionalFormatting sqref="M331">
    <cfRule type="expression" dxfId="268" priority="285">
      <formula>M331&lt;&gt;""</formula>
    </cfRule>
    <cfRule type="expression" dxfId="267" priority="286">
      <formula>#REF!&lt;&gt;""</formula>
    </cfRule>
  </conditionalFormatting>
  <conditionalFormatting sqref="L323">
    <cfRule type="expression" dxfId="266" priority="303">
      <formula>L323&lt;&gt;""</formula>
    </cfRule>
    <cfRule type="expression" dxfId="265" priority="304">
      <formula>#REF!&lt;&gt;""</formula>
    </cfRule>
  </conditionalFormatting>
  <conditionalFormatting sqref="L324">
    <cfRule type="expression" dxfId="264" priority="299">
      <formula>L324&lt;&gt;""</formula>
    </cfRule>
    <cfRule type="expression" dxfId="263" priority="300">
      <formula>#REF!&lt;&gt;""</formula>
    </cfRule>
  </conditionalFormatting>
  <conditionalFormatting sqref="L330">
    <cfRule type="expression" dxfId="262" priority="297">
      <formula>L330&lt;&gt;""</formula>
    </cfRule>
    <cfRule type="expression" dxfId="261" priority="298">
      <formula>#REF!&lt;&gt;""</formula>
    </cfRule>
  </conditionalFormatting>
  <conditionalFormatting sqref="L331">
    <cfRule type="expression" dxfId="260" priority="295">
      <formula>L331&lt;&gt;""</formula>
    </cfRule>
    <cfRule type="expression" dxfId="259" priority="296">
      <formula>#REF!&lt;&gt;""</formula>
    </cfRule>
  </conditionalFormatting>
  <conditionalFormatting sqref="M332">
    <cfRule type="expression" dxfId="258" priority="279">
      <formula>M332&lt;&gt;""</formula>
    </cfRule>
    <cfRule type="expression" dxfId="257" priority="280">
      <formula>#REF!&lt;&gt;""</formula>
    </cfRule>
  </conditionalFormatting>
  <conditionalFormatting sqref="M337">
    <cfRule type="expression" dxfId="256" priority="277">
      <formula>M337&lt;&gt;""</formula>
    </cfRule>
    <cfRule type="expression" dxfId="255" priority="278">
      <formula>#REF!&lt;&gt;""</formula>
    </cfRule>
  </conditionalFormatting>
  <conditionalFormatting sqref="L332">
    <cfRule type="expression" dxfId="254" priority="283">
      <formula>L332&lt;&gt;""</formula>
    </cfRule>
    <cfRule type="expression" dxfId="253" priority="284">
      <formula>#REF!&lt;&gt;""</formula>
    </cfRule>
  </conditionalFormatting>
  <conditionalFormatting sqref="L337">
    <cfRule type="expression" dxfId="252" priority="281">
      <formula>L337&lt;&gt;""</formula>
    </cfRule>
    <cfRule type="expression" dxfId="251" priority="282">
      <formula>#REF!&lt;&gt;""</formula>
    </cfRule>
  </conditionalFormatting>
  <conditionalFormatting sqref="M339">
    <cfRule type="expression" dxfId="250" priority="267">
      <formula>M339&lt;&gt;""</formula>
    </cfRule>
    <cfRule type="expression" dxfId="249" priority="268">
      <formula>#REF!&lt;&gt;""</formula>
    </cfRule>
  </conditionalFormatting>
  <conditionalFormatting sqref="M340">
    <cfRule type="expression" dxfId="248" priority="265">
      <formula>M340&lt;&gt;""</formula>
    </cfRule>
    <cfRule type="expression" dxfId="247" priority="266">
      <formula>#REF!&lt;&gt;""</formula>
    </cfRule>
  </conditionalFormatting>
  <conditionalFormatting sqref="M341">
    <cfRule type="expression" dxfId="246" priority="263">
      <formula>M341&lt;&gt;""</formula>
    </cfRule>
    <cfRule type="expression" dxfId="245" priority="264">
      <formula>#REF!&lt;&gt;""</formula>
    </cfRule>
  </conditionalFormatting>
  <conditionalFormatting sqref="M343">
    <cfRule type="expression" dxfId="244" priority="261">
      <formula>M343&lt;&gt;""</formula>
    </cfRule>
    <cfRule type="expression" dxfId="243" priority="262">
      <formula>#REF!&lt;&gt;""</formula>
    </cfRule>
  </conditionalFormatting>
  <conditionalFormatting sqref="L339">
    <cfRule type="expression" dxfId="242" priority="275">
      <formula>L339&lt;&gt;""</formula>
    </cfRule>
    <cfRule type="expression" dxfId="241" priority="276">
      <formula>#REF!&lt;&gt;""</formula>
    </cfRule>
  </conditionalFormatting>
  <conditionalFormatting sqref="L340">
    <cfRule type="expression" dxfId="240" priority="273">
      <formula>L340&lt;&gt;""</formula>
    </cfRule>
    <cfRule type="expression" dxfId="239" priority="274">
      <formula>#REF!&lt;&gt;""</formula>
    </cfRule>
  </conditionalFormatting>
  <conditionalFormatting sqref="L341">
    <cfRule type="expression" dxfId="238" priority="271">
      <formula>L341&lt;&gt;""</formula>
    </cfRule>
    <cfRule type="expression" dxfId="237" priority="272">
      <formula>#REF!&lt;&gt;""</formula>
    </cfRule>
  </conditionalFormatting>
  <conditionalFormatting sqref="L343">
    <cfRule type="expression" dxfId="236" priority="269">
      <formula>L343&lt;&gt;""</formula>
    </cfRule>
    <cfRule type="expression" dxfId="235" priority="270">
      <formula>#REF!&lt;&gt;""</formula>
    </cfRule>
  </conditionalFormatting>
  <conditionalFormatting sqref="M346">
    <cfRule type="expression" dxfId="234" priority="253">
      <formula>M346&lt;&gt;""</formula>
    </cfRule>
    <cfRule type="expression" dxfId="233" priority="254">
      <formula>#REF!&lt;&gt;""</formula>
    </cfRule>
  </conditionalFormatting>
  <conditionalFormatting sqref="M347">
    <cfRule type="expression" dxfId="232" priority="251">
      <formula>M347&lt;&gt;""</formula>
    </cfRule>
    <cfRule type="expression" dxfId="231" priority="252">
      <formula>#REF!&lt;&gt;""</formula>
    </cfRule>
  </conditionalFormatting>
  <conditionalFormatting sqref="M350">
    <cfRule type="expression" dxfId="230" priority="249">
      <formula>M350&lt;&gt;""</formula>
    </cfRule>
    <cfRule type="expression" dxfId="229" priority="250">
      <formula>#REF!&lt;&gt;""</formula>
    </cfRule>
  </conditionalFormatting>
  <conditionalFormatting sqref="L346">
    <cfRule type="expression" dxfId="228" priority="259">
      <formula>L346&lt;&gt;""</formula>
    </cfRule>
    <cfRule type="expression" dxfId="227" priority="260">
      <formula>#REF!&lt;&gt;""</formula>
    </cfRule>
  </conditionalFormatting>
  <conditionalFormatting sqref="L347">
    <cfRule type="expression" dxfId="226" priority="257">
      <formula>L347&lt;&gt;""</formula>
    </cfRule>
    <cfRule type="expression" dxfId="225" priority="258">
      <formula>#REF!&lt;&gt;""</formula>
    </cfRule>
  </conditionalFormatting>
  <conditionalFormatting sqref="L350">
    <cfRule type="expression" dxfId="224" priority="255">
      <formula>L350&lt;&gt;""</formula>
    </cfRule>
    <cfRule type="expression" dxfId="223" priority="256">
      <formula>#REF!&lt;&gt;""</formula>
    </cfRule>
  </conditionalFormatting>
  <conditionalFormatting sqref="M361:M362 M358">
    <cfRule type="expression" dxfId="222" priority="243">
      <formula>M358&lt;&gt;""</formula>
    </cfRule>
    <cfRule type="expression" dxfId="221" priority="244">
      <formula>#REF!&lt;&gt;""</formula>
    </cfRule>
  </conditionalFormatting>
  <conditionalFormatting sqref="M357">
    <cfRule type="expression" dxfId="220" priority="241">
      <formula>M357&lt;&gt;""</formula>
    </cfRule>
    <cfRule type="expression" dxfId="219" priority="242">
      <formula>#REF!&lt;&gt;""</formula>
    </cfRule>
  </conditionalFormatting>
  <conditionalFormatting sqref="L361:L362 L358">
    <cfRule type="expression" dxfId="218" priority="247">
      <formula>L358&lt;&gt;""</formula>
    </cfRule>
    <cfRule type="expression" dxfId="217" priority="248">
      <formula>#REF!&lt;&gt;""</formula>
    </cfRule>
  </conditionalFormatting>
  <conditionalFormatting sqref="L357">
    <cfRule type="expression" dxfId="216" priority="245">
      <formula>L357&lt;&gt;""</formula>
    </cfRule>
    <cfRule type="expression" dxfId="215" priority="246">
      <formula>#REF!&lt;&gt;""</formula>
    </cfRule>
  </conditionalFormatting>
  <conditionalFormatting sqref="M359">
    <cfRule type="expression" dxfId="214" priority="237">
      <formula>M359&lt;&gt;""</formula>
    </cfRule>
    <cfRule type="expression" dxfId="213" priority="238">
      <formula>#REF!&lt;&gt;""</formula>
    </cfRule>
  </conditionalFormatting>
  <conditionalFormatting sqref="L359">
    <cfRule type="expression" dxfId="212" priority="239">
      <formula>L359&lt;&gt;""</formula>
    </cfRule>
    <cfRule type="expression" dxfId="211" priority="240">
      <formula>#REF!&lt;&gt;""</formula>
    </cfRule>
  </conditionalFormatting>
  <conditionalFormatting sqref="L360">
    <cfRule type="expression" dxfId="210" priority="235">
      <formula>L360&lt;&gt;""</formula>
    </cfRule>
    <cfRule type="expression" dxfId="209" priority="236">
      <formula>#REF!&lt;&gt;""</formula>
    </cfRule>
  </conditionalFormatting>
  <conditionalFormatting sqref="M360">
    <cfRule type="expression" dxfId="208" priority="233">
      <formula>M360&lt;&gt;""</formula>
    </cfRule>
    <cfRule type="expression" dxfId="207" priority="234">
      <formula>#REF!&lt;&gt;""</formula>
    </cfRule>
  </conditionalFormatting>
  <conditionalFormatting sqref="M491:M496 M485:M489 M482:M483 M478:M480 M470:M475 M467:M468 M464:M465 M450:M452 M444:M447 M442 M440 M434:M438 M427:M430 M415:M425 M413 M399:M400 M391:M396 M386:M388 M379:M384 M374:M377 M367:M368 M370">
    <cfRule type="expression" dxfId="206" priority="223">
      <formula>M367&lt;&gt;""</formula>
    </cfRule>
    <cfRule type="expression" dxfId="205" priority="224">
      <formula>#REF!&lt;&gt;""</formula>
    </cfRule>
  </conditionalFormatting>
  <conditionalFormatting sqref="L491:L496 L485:L489 L482:L483 L478:L480 L470:L475 L467:L468 L464:L465 L450:L452 L444:L447 L442 L440 L434:L438 L427:L430 L415:L425 L413 L399:L400 L391:L396 L386:L388 L379:L384 L374:L377 L367:L368 L370">
    <cfRule type="expression" dxfId="204" priority="231">
      <formula>L367&lt;&gt;""</formula>
    </cfRule>
    <cfRule type="expression" dxfId="203" priority="232">
      <formula>#REF!&lt;&gt;""</formula>
    </cfRule>
  </conditionalFormatting>
  <conditionalFormatting sqref="L366">
    <cfRule type="expression" dxfId="202" priority="229">
      <formula>L366&lt;&gt;""</formula>
    </cfRule>
    <cfRule type="expression" dxfId="201" priority="230">
      <formula>#REF!&lt;&gt;""</formula>
    </cfRule>
  </conditionalFormatting>
  <conditionalFormatting sqref="L369">
    <cfRule type="expression" dxfId="200" priority="227">
      <formula>L369&lt;&gt;""</formula>
    </cfRule>
    <cfRule type="expression" dxfId="199" priority="228">
      <formula>#REF!&lt;&gt;""</formula>
    </cfRule>
  </conditionalFormatting>
  <conditionalFormatting sqref="L371">
    <cfRule type="expression" dxfId="198" priority="225">
      <formula>L371&lt;&gt;""</formula>
    </cfRule>
    <cfRule type="expression" dxfId="197" priority="226">
      <formula>#REF!&lt;&gt;""</formula>
    </cfRule>
  </conditionalFormatting>
  <conditionalFormatting sqref="M366">
    <cfRule type="expression" dxfId="196" priority="221">
      <formula>M366&lt;&gt;""</formula>
    </cfRule>
    <cfRule type="expression" dxfId="195" priority="222">
      <formula>#REF!&lt;&gt;""</formula>
    </cfRule>
  </conditionalFormatting>
  <conditionalFormatting sqref="M369">
    <cfRule type="expression" dxfId="194" priority="219">
      <formula>M369&lt;&gt;""</formula>
    </cfRule>
    <cfRule type="expression" dxfId="193" priority="220">
      <formula>#REF!&lt;&gt;""</formula>
    </cfRule>
  </conditionalFormatting>
  <conditionalFormatting sqref="M371">
    <cfRule type="expression" dxfId="192" priority="217">
      <formula>M371&lt;&gt;""</formula>
    </cfRule>
    <cfRule type="expression" dxfId="191" priority="218">
      <formula>#REF!&lt;&gt;""</formula>
    </cfRule>
  </conditionalFormatting>
  <conditionalFormatting sqref="M373">
    <cfRule type="expression" dxfId="190" priority="209">
      <formula>M373&lt;&gt;""</formula>
    </cfRule>
    <cfRule type="expression" dxfId="189" priority="210">
      <formula>#REF!&lt;&gt;""</formula>
    </cfRule>
  </conditionalFormatting>
  <conditionalFormatting sqref="L372">
    <cfRule type="expression" dxfId="188" priority="215">
      <formula>L372&lt;&gt;""</formula>
    </cfRule>
    <cfRule type="expression" dxfId="187" priority="216">
      <formula>#REF!&lt;&gt;""</formula>
    </cfRule>
  </conditionalFormatting>
  <conditionalFormatting sqref="L373">
    <cfRule type="expression" dxfId="186" priority="213">
      <formula>L373&lt;&gt;""</formula>
    </cfRule>
    <cfRule type="expression" dxfId="185" priority="214">
      <formula>#REF!&lt;&gt;""</formula>
    </cfRule>
  </conditionalFormatting>
  <conditionalFormatting sqref="M372">
    <cfRule type="expression" dxfId="184" priority="211">
      <formula>M372&lt;&gt;""</formula>
    </cfRule>
    <cfRule type="expression" dxfId="183" priority="212">
      <formula>#REF!&lt;&gt;""</formula>
    </cfRule>
  </conditionalFormatting>
  <conditionalFormatting sqref="M378">
    <cfRule type="expression" dxfId="182" priority="205">
      <formula>M378&lt;&gt;""</formula>
    </cfRule>
    <cfRule type="expression" dxfId="181" priority="206">
      <formula>#REF!&lt;&gt;""</formula>
    </cfRule>
  </conditionalFormatting>
  <conditionalFormatting sqref="L378">
    <cfRule type="expression" dxfId="180" priority="207">
      <formula>L378&lt;&gt;""</formula>
    </cfRule>
    <cfRule type="expression" dxfId="179" priority="208">
      <formula>#REF!&lt;&gt;""</formula>
    </cfRule>
  </conditionalFormatting>
  <conditionalFormatting sqref="M385">
    <cfRule type="expression" dxfId="178" priority="201">
      <formula>M385&lt;&gt;""</formula>
    </cfRule>
    <cfRule type="expression" dxfId="177" priority="202">
      <formula>#REF!&lt;&gt;""</formula>
    </cfRule>
  </conditionalFormatting>
  <conditionalFormatting sqref="L385">
    <cfRule type="expression" dxfId="176" priority="203">
      <formula>L385&lt;&gt;""</formula>
    </cfRule>
    <cfRule type="expression" dxfId="175" priority="204">
      <formula>#REF!&lt;&gt;""</formula>
    </cfRule>
  </conditionalFormatting>
  <conditionalFormatting sqref="M390">
    <cfRule type="expression" dxfId="174" priority="197">
      <formula>M390&lt;&gt;""</formula>
    </cfRule>
    <cfRule type="expression" dxfId="173" priority="198">
      <formula>#REF!&lt;&gt;""</formula>
    </cfRule>
  </conditionalFormatting>
  <conditionalFormatting sqref="L390">
    <cfRule type="expression" dxfId="172" priority="199">
      <formula>L390&lt;&gt;""</formula>
    </cfRule>
    <cfRule type="expression" dxfId="171" priority="200">
      <formula>#REF!&lt;&gt;""</formula>
    </cfRule>
  </conditionalFormatting>
  <conditionalFormatting sqref="M397">
    <cfRule type="expression" dxfId="170" priority="191">
      <formula>M397&lt;&gt;""</formula>
    </cfRule>
    <cfRule type="expression" dxfId="169" priority="192">
      <formula>#REF!&lt;&gt;""</formula>
    </cfRule>
  </conditionalFormatting>
  <conditionalFormatting sqref="M398">
    <cfRule type="expression" dxfId="168" priority="189">
      <formula>M398&lt;&gt;""</formula>
    </cfRule>
    <cfRule type="expression" dxfId="167" priority="190">
      <formula>#REF!&lt;&gt;""</formula>
    </cfRule>
  </conditionalFormatting>
  <conditionalFormatting sqref="L397">
    <cfRule type="expression" dxfId="166" priority="195">
      <formula>L397&lt;&gt;""</formula>
    </cfRule>
    <cfRule type="expression" dxfId="165" priority="196">
      <formula>#REF!&lt;&gt;""</formula>
    </cfRule>
  </conditionalFormatting>
  <conditionalFormatting sqref="L398">
    <cfRule type="expression" dxfId="164" priority="193">
      <formula>L398&lt;&gt;""</formula>
    </cfRule>
    <cfRule type="expression" dxfId="163" priority="194">
      <formula>#REF!&lt;&gt;""</formula>
    </cfRule>
  </conditionalFormatting>
  <conditionalFormatting sqref="M401">
    <cfRule type="expression" dxfId="162" priority="185">
      <formula>M401&lt;&gt;""</formula>
    </cfRule>
    <cfRule type="expression" dxfId="161" priority="186">
      <formula>#REF!&lt;&gt;""</formula>
    </cfRule>
  </conditionalFormatting>
  <conditionalFormatting sqref="L401">
    <cfRule type="expression" dxfId="160" priority="187">
      <formula>L401&lt;&gt;""</formula>
    </cfRule>
    <cfRule type="expression" dxfId="159" priority="188">
      <formula>#REF!&lt;&gt;""</formula>
    </cfRule>
  </conditionalFormatting>
  <conditionalFormatting sqref="M414">
    <cfRule type="expression" dxfId="158" priority="181">
      <formula>M414&lt;&gt;""</formula>
    </cfRule>
    <cfRule type="expression" dxfId="157" priority="182">
      <formula>#REF!&lt;&gt;""</formula>
    </cfRule>
  </conditionalFormatting>
  <conditionalFormatting sqref="L414">
    <cfRule type="expression" dxfId="156" priority="183">
      <formula>L414&lt;&gt;""</formula>
    </cfRule>
    <cfRule type="expression" dxfId="155" priority="184">
      <formula>#REF!&lt;&gt;""</formula>
    </cfRule>
  </conditionalFormatting>
  <conditionalFormatting sqref="L426">
    <cfRule type="expression" dxfId="154" priority="179">
      <formula>L426&lt;&gt;""</formula>
    </cfRule>
    <cfRule type="expression" dxfId="153" priority="180">
      <formula>#REF!&lt;&gt;""</formula>
    </cfRule>
  </conditionalFormatting>
  <conditionalFormatting sqref="M426">
    <cfRule type="expression" dxfId="152" priority="177">
      <formula>M426&lt;&gt;""</formula>
    </cfRule>
    <cfRule type="expression" dxfId="151" priority="178">
      <formula>#REF!&lt;&gt;""</formula>
    </cfRule>
  </conditionalFormatting>
  <conditionalFormatting sqref="M433">
    <cfRule type="expression" dxfId="150" priority="165">
      <formula>M433&lt;&gt;""</formula>
    </cfRule>
    <cfRule type="expression" dxfId="149" priority="166">
      <formula>#REF!&lt;&gt;""</formula>
    </cfRule>
  </conditionalFormatting>
  <conditionalFormatting sqref="L431">
    <cfRule type="expression" dxfId="148" priority="175">
      <formula>L431&lt;&gt;""</formula>
    </cfRule>
    <cfRule type="expression" dxfId="147" priority="176">
      <formula>#REF!&lt;&gt;""</formula>
    </cfRule>
  </conditionalFormatting>
  <conditionalFormatting sqref="L432">
    <cfRule type="expression" dxfId="146" priority="173">
      <formula>L432&lt;&gt;""</formula>
    </cfRule>
    <cfRule type="expression" dxfId="145" priority="174">
      <formula>#REF!&lt;&gt;""</formula>
    </cfRule>
  </conditionalFormatting>
  <conditionalFormatting sqref="L433">
    <cfRule type="expression" dxfId="144" priority="171">
      <formula>L433&lt;&gt;""</formula>
    </cfRule>
    <cfRule type="expression" dxfId="143" priority="172">
      <formula>#REF!&lt;&gt;""</formula>
    </cfRule>
  </conditionalFormatting>
  <conditionalFormatting sqref="M431">
    <cfRule type="expression" dxfId="142" priority="169">
      <formula>M431&lt;&gt;""</formula>
    </cfRule>
    <cfRule type="expression" dxfId="141" priority="170">
      <formula>#REF!&lt;&gt;""</formula>
    </cfRule>
  </conditionalFormatting>
  <conditionalFormatting sqref="M432">
    <cfRule type="expression" dxfId="140" priority="167">
      <formula>M432&lt;&gt;""</formula>
    </cfRule>
    <cfRule type="expression" dxfId="139" priority="168">
      <formula>#REF!&lt;&gt;""</formula>
    </cfRule>
  </conditionalFormatting>
  <conditionalFormatting sqref="M439">
    <cfRule type="expression" dxfId="138" priority="157">
      <formula>M439&lt;&gt;""</formula>
    </cfRule>
    <cfRule type="expression" dxfId="137" priority="158">
      <formula>#REF!&lt;&gt;""</formula>
    </cfRule>
  </conditionalFormatting>
  <conditionalFormatting sqref="L441">
    <cfRule type="expression" dxfId="136" priority="163">
      <formula>L441&lt;&gt;""</formula>
    </cfRule>
    <cfRule type="expression" dxfId="135" priority="164">
      <formula>#REF!&lt;&gt;""</formula>
    </cfRule>
  </conditionalFormatting>
  <conditionalFormatting sqref="L439">
    <cfRule type="expression" dxfId="134" priority="161">
      <formula>L439&lt;&gt;""</formula>
    </cfRule>
    <cfRule type="expression" dxfId="133" priority="162">
      <formula>#REF!&lt;&gt;""</formula>
    </cfRule>
  </conditionalFormatting>
  <conditionalFormatting sqref="M441">
    <cfRule type="expression" dxfId="132" priority="159">
      <formula>M441&lt;&gt;""</formula>
    </cfRule>
    <cfRule type="expression" dxfId="131" priority="160">
      <formula>#REF!&lt;&gt;""</formula>
    </cfRule>
  </conditionalFormatting>
  <conditionalFormatting sqref="L443">
    <cfRule type="expression" dxfId="130" priority="155">
      <formula>L443&lt;&gt;""</formula>
    </cfRule>
    <cfRule type="expression" dxfId="129" priority="156">
      <formula>#REF!&lt;&gt;""</formula>
    </cfRule>
  </conditionalFormatting>
  <conditionalFormatting sqref="M443">
    <cfRule type="expression" dxfId="128" priority="153">
      <formula>M443&lt;&gt;""</formula>
    </cfRule>
    <cfRule type="expression" dxfId="127" priority="154">
      <formula>#REF!&lt;&gt;""</formula>
    </cfRule>
  </conditionalFormatting>
  <conditionalFormatting sqref="M449">
    <cfRule type="expression" dxfId="126" priority="149">
      <formula>M449&lt;&gt;""</formula>
    </cfRule>
    <cfRule type="expression" dxfId="125" priority="150">
      <formula>#REF!&lt;&gt;""</formula>
    </cfRule>
  </conditionalFormatting>
  <conditionalFormatting sqref="L449">
    <cfRule type="expression" dxfId="124" priority="151">
      <formula>L449&lt;&gt;""</formula>
    </cfRule>
    <cfRule type="expression" dxfId="123" priority="152">
      <formula>#REF!&lt;&gt;""</formula>
    </cfRule>
  </conditionalFormatting>
  <conditionalFormatting sqref="M448">
    <cfRule type="expression" dxfId="122" priority="147">
      <formula>M448&lt;&gt;""</formula>
    </cfRule>
    <cfRule type="expression" dxfId="121" priority="148">
      <formula>#REF!&lt;&gt;""</formula>
    </cfRule>
  </conditionalFormatting>
  <conditionalFormatting sqref="M453">
    <cfRule type="expression" dxfId="120" priority="143">
      <formula>M453&lt;&gt;""</formula>
    </cfRule>
    <cfRule type="expression" dxfId="119" priority="144">
      <formula>#REF!&lt;&gt;""</formula>
    </cfRule>
  </conditionalFormatting>
  <conditionalFormatting sqref="L453">
    <cfRule type="expression" dxfId="118" priority="145">
      <formula>L453&lt;&gt;""</formula>
    </cfRule>
    <cfRule type="expression" dxfId="117" priority="146">
      <formula>#REF!&lt;&gt;""</formula>
    </cfRule>
  </conditionalFormatting>
  <conditionalFormatting sqref="M459">
    <cfRule type="expression" dxfId="116" priority="137">
      <formula>M459&lt;&gt;""</formula>
    </cfRule>
    <cfRule type="expression" dxfId="115" priority="138">
      <formula>#REF!&lt;&gt;""</formula>
    </cfRule>
  </conditionalFormatting>
  <conditionalFormatting sqref="M460">
    <cfRule type="expression" dxfId="114" priority="135">
      <formula>M460&lt;&gt;""</formula>
    </cfRule>
    <cfRule type="expression" dxfId="113" priority="136">
      <formula>#REF!&lt;&gt;""</formula>
    </cfRule>
  </conditionalFormatting>
  <conditionalFormatting sqref="L459">
    <cfRule type="expression" dxfId="112" priority="141">
      <formula>L459&lt;&gt;""</formula>
    </cfRule>
    <cfRule type="expression" dxfId="111" priority="142">
      <formula>#REF!&lt;&gt;""</formula>
    </cfRule>
  </conditionalFormatting>
  <conditionalFormatting sqref="L460">
    <cfRule type="expression" dxfId="110" priority="139">
      <formula>L460&lt;&gt;""</formula>
    </cfRule>
    <cfRule type="expression" dxfId="109" priority="140">
      <formula>#REF!&lt;&gt;""</formula>
    </cfRule>
  </conditionalFormatting>
  <conditionalFormatting sqref="M466">
    <cfRule type="expression" dxfId="108" priority="131">
      <formula>M466&lt;&gt;""</formula>
    </cfRule>
    <cfRule type="expression" dxfId="107" priority="132">
      <formula>#REF!&lt;&gt;""</formula>
    </cfRule>
  </conditionalFormatting>
  <conditionalFormatting sqref="L466">
    <cfRule type="expression" dxfId="106" priority="133">
      <formula>L466&lt;&gt;""</formula>
    </cfRule>
    <cfRule type="expression" dxfId="105" priority="134">
      <formula>#REF!&lt;&gt;""</formula>
    </cfRule>
  </conditionalFormatting>
  <conditionalFormatting sqref="M469">
    <cfRule type="expression" dxfId="104" priority="127">
      <formula>M469&lt;&gt;""</formula>
    </cfRule>
    <cfRule type="expression" dxfId="103" priority="128">
      <formula>#REF!&lt;&gt;""</formula>
    </cfRule>
  </conditionalFormatting>
  <conditionalFormatting sqref="L469">
    <cfRule type="expression" dxfId="102" priority="129">
      <formula>L469&lt;&gt;""</formula>
    </cfRule>
    <cfRule type="expression" dxfId="101" priority="130">
      <formula>#REF!&lt;&gt;""</formula>
    </cfRule>
  </conditionalFormatting>
  <conditionalFormatting sqref="M476">
    <cfRule type="expression" dxfId="100" priority="119">
      <formula>M476&lt;&gt;""</formula>
    </cfRule>
    <cfRule type="expression" dxfId="99" priority="120">
      <formula>#REF!&lt;&gt;""</formula>
    </cfRule>
  </conditionalFormatting>
  <conditionalFormatting sqref="M477">
    <cfRule type="expression" dxfId="98" priority="117">
      <formula>M477&lt;&gt;""</formula>
    </cfRule>
    <cfRule type="expression" dxfId="97" priority="118">
      <formula>#REF!&lt;&gt;""</formula>
    </cfRule>
  </conditionalFormatting>
  <conditionalFormatting sqref="M481">
    <cfRule type="expression" dxfId="96" priority="115">
      <formula>M481&lt;&gt;""</formula>
    </cfRule>
    <cfRule type="expression" dxfId="95" priority="116">
      <formula>#REF!&lt;&gt;""</formula>
    </cfRule>
  </conditionalFormatting>
  <conditionalFormatting sqref="L476">
    <cfRule type="expression" dxfId="94" priority="125">
      <formula>L476&lt;&gt;""</formula>
    </cfRule>
    <cfRule type="expression" dxfId="93" priority="126">
      <formula>#REF!&lt;&gt;""</formula>
    </cfRule>
  </conditionalFormatting>
  <conditionalFormatting sqref="L477">
    <cfRule type="expression" dxfId="92" priority="123">
      <formula>L477&lt;&gt;""</formula>
    </cfRule>
    <cfRule type="expression" dxfId="91" priority="124">
      <formula>#REF!&lt;&gt;""</formula>
    </cfRule>
  </conditionalFormatting>
  <conditionalFormatting sqref="L481">
    <cfRule type="expression" dxfId="90" priority="121">
      <formula>L481&lt;&gt;""</formula>
    </cfRule>
    <cfRule type="expression" dxfId="89" priority="122">
      <formula>#REF!&lt;&gt;""</formula>
    </cfRule>
  </conditionalFormatting>
  <conditionalFormatting sqref="M484">
    <cfRule type="expression" dxfId="88" priority="111">
      <formula>M484&lt;&gt;""</formula>
    </cfRule>
    <cfRule type="expression" dxfId="87" priority="112">
      <formula>#REF!&lt;&gt;""</formula>
    </cfRule>
  </conditionalFormatting>
  <conditionalFormatting sqref="L484">
    <cfRule type="expression" dxfId="86" priority="113">
      <formula>L484&lt;&gt;""</formula>
    </cfRule>
    <cfRule type="expression" dxfId="85" priority="114">
      <formula>#REF!&lt;&gt;""</formula>
    </cfRule>
  </conditionalFormatting>
  <conditionalFormatting sqref="M490">
    <cfRule type="expression" dxfId="84" priority="107">
      <formula>M490&lt;&gt;""</formula>
    </cfRule>
    <cfRule type="expression" dxfId="83" priority="108">
      <formula>#REF!&lt;&gt;""</formula>
    </cfRule>
  </conditionalFormatting>
  <conditionalFormatting sqref="L490">
    <cfRule type="expression" dxfId="82" priority="109">
      <formula>L490&lt;&gt;""</formula>
    </cfRule>
    <cfRule type="expression" dxfId="81" priority="110">
      <formula>#REF!&lt;&gt;""</formula>
    </cfRule>
  </conditionalFormatting>
  <conditionalFormatting sqref="M497">
    <cfRule type="expression" dxfId="80" priority="103">
      <formula>M497&lt;&gt;""</formula>
    </cfRule>
    <cfRule type="expression" dxfId="79" priority="104">
      <formula>#REF!&lt;&gt;""</formula>
    </cfRule>
  </conditionalFormatting>
  <conditionalFormatting sqref="L497">
    <cfRule type="expression" dxfId="78" priority="105">
      <formula>L497&lt;&gt;""</formula>
    </cfRule>
    <cfRule type="expression" dxfId="77" priority="106">
      <formula>#REF!&lt;&gt;""</formula>
    </cfRule>
  </conditionalFormatting>
  <conditionalFormatting sqref="M540:M541 M530:M537 M521:M523 M512:M517 M507:M509 M503:M504">
    <cfRule type="expression" dxfId="76" priority="97">
      <formula>M503&lt;&gt;""</formula>
    </cfRule>
    <cfRule type="expression" dxfId="75" priority="98">
      <formula>#REF!&lt;&gt;""</formula>
    </cfRule>
  </conditionalFormatting>
  <conditionalFormatting sqref="M505">
    <cfRule type="expression" dxfId="74" priority="95">
      <formula>M505&lt;&gt;""</formula>
    </cfRule>
    <cfRule type="expression" dxfId="73" priority="96">
      <formula>#REF!&lt;&gt;""</formula>
    </cfRule>
  </conditionalFormatting>
  <conditionalFormatting sqref="L540:L541 L530:L537 L521:L523 L512:L517 L507:L509 L503:L504">
    <cfRule type="expression" dxfId="72" priority="101">
      <formula>L503&lt;&gt;""</formula>
    </cfRule>
    <cfRule type="expression" dxfId="71" priority="102">
      <formula>#REF!&lt;&gt;""</formula>
    </cfRule>
  </conditionalFormatting>
  <conditionalFormatting sqref="L505">
    <cfRule type="expression" dxfId="70" priority="99">
      <formula>L505&lt;&gt;""</formula>
    </cfRule>
    <cfRule type="expression" dxfId="69" priority="100">
      <formula>#REF!&lt;&gt;""</formula>
    </cfRule>
  </conditionalFormatting>
  <conditionalFormatting sqref="M506">
    <cfRule type="expression" dxfId="68" priority="91">
      <formula>M506&lt;&gt;""</formula>
    </cfRule>
    <cfRule type="expression" dxfId="67" priority="92">
      <formula>#REF!&lt;&gt;""</formula>
    </cfRule>
  </conditionalFormatting>
  <conditionalFormatting sqref="L506">
    <cfRule type="expression" dxfId="66" priority="93">
      <formula>L506&lt;&gt;""</formula>
    </cfRule>
    <cfRule type="expression" dxfId="65" priority="94">
      <formula>#REF!&lt;&gt;""</formula>
    </cfRule>
  </conditionalFormatting>
  <conditionalFormatting sqref="M510">
    <cfRule type="expression" dxfId="64" priority="81">
      <formula>M510&lt;&gt;""</formula>
    </cfRule>
    <cfRule type="expression" dxfId="63" priority="82">
      <formula>#REF!&lt;&gt;""</formula>
    </cfRule>
  </conditionalFormatting>
  <conditionalFormatting sqref="M511">
    <cfRule type="expression" dxfId="62" priority="79">
      <formula>M511&lt;&gt;""</formula>
    </cfRule>
    <cfRule type="expression" dxfId="61" priority="80">
      <formula>#REF!&lt;&gt;""</formula>
    </cfRule>
  </conditionalFormatting>
  <conditionalFormatting sqref="L510">
    <cfRule type="expression" dxfId="60" priority="87">
      <formula>L510&lt;&gt;""</formula>
    </cfRule>
    <cfRule type="expression" dxfId="59" priority="88">
      <formula>#REF!&lt;&gt;""</formula>
    </cfRule>
  </conditionalFormatting>
  <conditionalFormatting sqref="L511">
    <cfRule type="expression" dxfId="58" priority="85">
      <formula>L511&lt;&gt;""</formula>
    </cfRule>
    <cfRule type="expression" dxfId="57" priority="86">
      <formula>#REF!&lt;&gt;""</formula>
    </cfRule>
  </conditionalFormatting>
  <conditionalFormatting sqref="M518">
    <cfRule type="expression" dxfId="56" priority="73">
      <formula>M518&lt;&gt;""</formula>
    </cfRule>
    <cfRule type="expression" dxfId="55" priority="74">
      <formula>#REF!&lt;&gt;""</formula>
    </cfRule>
  </conditionalFormatting>
  <conditionalFormatting sqref="M519">
    <cfRule type="expression" dxfId="54" priority="71">
      <formula>M519&lt;&gt;""</formula>
    </cfRule>
    <cfRule type="expression" dxfId="53" priority="72">
      <formula>#REF!&lt;&gt;""</formula>
    </cfRule>
  </conditionalFormatting>
  <conditionalFormatting sqref="L518">
    <cfRule type="expression" dxfId="52" priority="77">
      <formula>L518&lt;&gt;""</formula>
    </cfRule>
    <cfRule type="expression" dxfId="51" priority="78">
      <formula>#REF!&lt;&gt;""</formula>
    </cfRule>
  </conditionalFormatting>
  <conditionalFormatting sqref="L519">
    <cfRule type="expression" dxfId="50" priority="75">
      <formula>L519&lt;&gt;""</formula>
    </cfRule>
    <cfRule type="expression" dxfId="49" priority="76">
      <formula>#REF!&lt;&gt;""</formula>
    </cfRule>
  </conditionalFormatting>
  <conditionalFormatting sqref="M520">
    <cfRule type="expression" dxfId="48" priority="67">
      <formula>M520&lt;&gt;""</formula>
    </cfRule>
    <cfRule type="expression" dxfId="47" priority="68">
      <formula>#REF!&lt;&gt;""</formula>
    </cfRule>
  </conditionalFormatting>
  <conditionalFormatting sqref="L520">
    <cfRule type="expression" dxfId="46" priority="69">
      <formula>L520&lt;&gt;""</formula>
    </cfRule>
    <cfRule type="expression" dxfId="45" priority="70">
      <formula>#REF!&lt;&gt;""</formula>
    </cfRule>
  </conditionalFormatting>
  <conditionalFormatting sqref="M524">
    <cfRule type="expression" dxfId="44" priority="63">
      <formula>M524&lt;&gt;""</formula>
    </cfRule>
    <cfRule type="expression" dxfId="43" priority="64">
      <formula>#REF!&lt;&gt;""</formula>
    </cfRule>
  </conditionalFormatting>
  <conditionalFormatting sqref="L524">
    <cfRule type="expression" dxfId="42" priority="65">
      <formula>L524&lt;&gt;""</formula>
    </cfRule>
    <cfRule type="expression" dxfId="41" priority="66">
      <formula>#REF!&lt;&gt;""</formula>
    </cfRule>
  </conditionalFormatting>
  <conditionalFormatting sqref="M525">
    <cfRule type="expression" dxfId="40" priority="59">
      <formula>M525&lt;&gt;""</formula>
    </cfRule>
    <cfRule type="expression" dxfId="39" priority="60">
      <formula>#REF!&lt;&gt;""</formula>
    </cfRule>
  </conditionalFormatting>
  <conditionalFormatting sqref="L525">
    <cfRule type="expression" dxfId="38" priority="61">
      <formula>L525&lt;&gt;""</formula>
    </cfRule>
    <cfRule type="expression" dxfId="37" priority="62">
      <formula>#REF!&lt;&gt;""</formula>
    </cfRule>
  </conditionalFormatting>
  <conditionalFormatting sqref="M529">
    <cfRule type="expression" dxfId="36" priority="55">
      <formula>M529&lt;&gt;""</formula>
    </cfRule>
    <cfRule type="expression" dxfId="35" priority="56">
      <formula>#REF!&lt;&gt;""</formula>
    </cfRule>
  </conditionalFormatting>
  <conditionalFormatting sqref="L529">
    <cfRule type="expression" dxfId="34" priority="57">
      <formula>L529&lt;&gt;""</formula>
    </cfRule>
    <cfRule type="expression" dxfId="33" priority="58">
      <formula>#REF!&lt;&gt;""</formula>
    </cfRule>
  </conditionalFormatting>
  <conditionalFormatting sqref="M538">
    <cfRule type="expression" dxfId="32" priority="49">
      <formula>M538&lt;&gt;""</formula>
    </cfRule>
    <cfRule type="expression" dxfId="31" priority="50">
      <formula>#REF!&lt;&gt;""</formula>
    </cfRule>
  </conditionalFormatting>
  <conditionalFormatting sqref="M539">
    <cfRule type="expression" dxfId="30" priority="47">
      <formula>M539&lt;&gt;""</formula>
    </cfRule>
    <cfRule type="expression" dxfId="29" priority="48">
      <formula>#REF!&lt;&gt;""</formula>
    </cfRule>
  </conditionalFormatting>
  <conditionalFormatting sqref="L538">
    <cfRule type="expression" dxfId="28" priority="53">
      <formula>L538&lt;&gt;""</formula>
    </cfRule>
    <cfRule type="expression" dxfId="27" priority="54">
      <formula>#REF!&lt;&gt;""</formula>
    </cfRule>
  </conditionalFormatting>
  <conditionalFormatting sqref="L539">
    <cfRule type="expression" dxfId="26" priority="51">
      <formula>L539&lt;&gt;""</formula>
    </cfRule>
    <cfRule type="expression" dxfId="25" priority="52">
      <formula>#REF!&lt;&gt;""</formula>
    </cfRule>
  </conditionalFormatting>
  <conditionalFormatting sqref="M542">
    <cfRule type="expression" dxfId="24" priority="43">
      <formula>M542&lt;&gt;""</formula>
    </cfRule>
    <cfRule type="expression" dxfId="23" priority="44">
      <formula>#REF!&lt;&gt;""</formula>
    </cfRule>
  </conditionalFormatting>
  <conditionalFormatting sqref="L542">
    <cfRule type="expression" dxfId="22" priority="45">
      <formula>L542&lt;&gt;""</formula>
    </cfRule>
    <cfRule type="expression" dxfId="21" priority="46">
      <formula>#REF!&lt;&gt;""</formula>
    </cfRule>
  </conditionalFormatting>
  <dataValidations count="5">
    <dataValidation type="whole" allowBlank="1" showInputMessage="1" showErrorMessage="1" promptTitle="(Obligatorio)" prompt="Numero correlativo del documento ingresado en la pestaña &quot;Documentos&quot;, a la cual pertenece el movimiento de la fila actual" sqref="A1:A543 A546:A1048576">
      <formula1>1</formula1>
      <formula2>9.99999999999999E+23</formula2>
    </dataValidation>
    <dataValidation allowBlank="1" showInputMessage="1" showErrorMessage="1" promptTitle="(Autogenerado)" prompt="No modificar" sqref="B1:D1048576"/>
    <dataValidation type="whole" allowBlank="1" showInputMessage="1" showErrorMessage="1" errorTitle="Valor no numérico" error="Sólo números enteros permitidos" promptTitle="(Obligatorio)" prompt="Monto por aumentar al presupuesto" sqref="L1:L1048576">
      <formula1>0</formula1>
      <formula2>9.99999999999999E+32</formula2>
    </dataValidation>
    <dataValidation type="whole" allowBlank="1" showInputMessage="1" showErrorMessage="1" errorTitle="Valor no numérico" error="Sólo números enteros permitidos" promptTitle="(Obligatorio)" prompt="Monto por disminuir del presupuesto" sqref="M1:M1048576">
      <formula1>0</formula1>
      <formula2>9.99999999999999E+32</formula2>
    </dataValidation>
    <dataValidation type="whole" allowBlank="1" showInputMessage="1" showErrorMessage="1" promptTitle="(Obligatorio)" prompt="Número correlativo que identifica al documento. Cada fila debe tenre un correlativo distinto" sqref="A544:A545">
      <formula1>1</formula1>
      <formula2>9999999999999990000</formula2>
    </dataValidation>
  </dataValidations>
  <pageMargins left="0.7" right="0.7" top="0.75" bottom="0.75" header="0.3" footer="0.3"/>
  <pageSetup orientation="portrait" verticalDpi="0" r:id="rId1"/>
  <legacyDrawing r:id="rId2"/>
  <tableParts count="1">
    <tablePart r:id="rId3"/>
  </tableParts>
  <extLst>
    <ext xmlns:x14="http://schemas.microsoft.com/office/spreadsheetml/2009/9/main" uri="{CCE6A557-97BC-4b89-ADB6-D9C93CAAB3DF}">
      <x14:dataValidations xmlns:xm="http://schemas.microsoft.com/office/excel/2006/main" count="7">
        <x14:dataValidation type="list" allowBlank="1" showInputMessage="1" showErrorMessage="1" errorTitle="Codigo Servicio Invalido" error="Debe seleccionar un codigo de servicio valido (ver hoja No tocar)" promptTitle="(Obligatorio)" prompt="Servicio al que corresponde este movimiento">
          <x14:formula1>
            <xm:f>'(No tocar)'!$A$2:$A$33</xm:f>
          </x14:formula1>
          <xm:sqref>F1:F1048576</xm:sqref>
        </x14:dataValidation>
        <x14:dataValidation type="list" allowBlank="1" showInputMessage="1" showErrorMessage="1" promptTitle="(Obligatorio)" prompt="Subtítulo al que corresponde este movimiento">
          <x14:formula1>
            <xm:f>'(No tocar)'!$J$2:$J$36</xm:f>
          </x14:formula1>
          <xm:sqref>G1:G1048576</xm:sqref>
        </x14:dataValidation>
        <x14:dataValidation type="list" allowBlank="1" showInputMessage="1" showErrorMessage="1" promptTitle="(Obligatorio)" prompt="Ítem del movimiento">
          <x14:formula1>
            <xm:f>'(No tocar)'!$K$2:$K$100</xm:f>
          </x14:formula1>
          <xm:sqref>H1:H1048576</xm:sqref>
        </x14:dataValidation>
        <x14:dataValidation type="list" allowBlank="1" showInputMessage="1" showErrorMessage="1" promptTitle="(Opcional)" prompt="Asignación del movimiento">
          <x14:formula1>
            <xm:f>'(No tocar)'!$L$2:$L$1000</xm:f>
          </x14:formula1>
          <xm:sqref>I1:I1048576</xm:sqref>
        </x14:dataValidation>
        <x14:dataValidation type="list" allowBlank="1" showInputMessage="1" showErrorMessage="1" promptTitle="(Obligatorio)" prompt="Materia a la que corresponde el movimiento">
          <x14:formula1>
            <xm:f>'(No tocar)'!$D$2:$D$11</xm:f>
          </x14:formula1>
          <xm:sqref>E1:E1048576</xm:sqref>
        </x14:dataValidation>
        <x14:dataValidation type="list" allowBlank="1" showInputMessage="1" showErrorMessage="1" promptTitle="(Opcional)" prompt="asd">
          <x14:formula1>
            <xm:f>'(No tocar)'!$F$2:$F$4</xm:f>
          </x14:formula1>
          <xm:sqref>J1:J1048576</xm:sqref>
        </x14:dataValidation>
        <x14:dataValidation type="list" allowBlank="1" showInputMessage="1" showErrorMessage="1" promptTitle="(Obligatorio)" prompt="Estructura, iniciativas u otro">
          <x14:formula1>
            <xm:f>'(No tocar)'!$F$2:$F$4</xm:f>
          </x14:formula1>
          <xm:sqref>K1:K1048576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F58"/>
  <sheetViews>
    <sheetView workbookViewId="0">
      <selection activeCell="C1" sqref="C1:C1048576"/>
    </sheetView>
  </sheetViews>
  <sheetFormatPr baseColWidth="10" defaultRowHeight="15" x14ac:dyDescent="0.25"/>
  <cols>
    <col min="1" max="1" width="16.42578125" bestFit="1" customWidth="1"/>
    <col min="2" max="2" width="16.42578125" customWidth="1"/>
    <col min="3" max="4" width="16.42578125" style="96" customWidth="1"/>
    <col min="5" max="5" width="16.42578125" customWidth="1"/>
    <col min="6" max="6" width="12.85546875" customWidth="1"/>
  </cols>
  <sheetData>
    <row r="1" spans="1:6" x14ac:dyDescent="0.25">
      <c r="A1" t="s">
        <v>1240</v>
      </c>
      <c r="B1" t="s">
        <v>1239</v>
      </c>
      <c r="C1" s="96" t="s">
        <v>1247</v>
      </c>
      <c r="D1" s="96" t="s">
        <v>1248</v>
      </c>
      <c r="E1" t="s">
        <v>1246</v>
      </c>
      <c r="F1" t="s">
        <v>1249</v>
      </c>
    </row>
    <row r="2" spans="1:6" x14ac:dyDescent="0.25">
      <c r="A2" t="s">
        <v>10</v>
      </c>
      <c r="C2" s="102">
        <v>31</v>
      </c>
      <c r="D2" s="96" t="s">
        <v>1315</v>
      </c>
      <c r="E2" s="16">
        <v>62685422</v>
      </c>
      <c r="F2">
        <v>2022</v>
      </c>
    </row>
    <row r="3" spans="1:6" x14ac:dyDescent="0.25">
      <c r="A3" t="s">
        <v>6</v>
      </c>
      <c r="C3" s="102">
        <v>31</v>
      </c>
      <c r="D3" s="96" t="s">
        <v>1315</v>
      </c>
      <c r="E3" s="16">
        <v>148440561</v>
      </c>
      <c r="F3">
        <v>2022</v>
      </c>
    </row>
    <row r="4" spans="1:6" x14ac:dyDescent="0.25">
      <c r="A4" s="3" t="s">
        <v>8</v>
      </c>
      <c r="C4" s="102">
        <v>31</v>
      </c>
      <c r="D4" s="96" t="s">
        <v>1315</v>
      </c>
      <c r="E4" s="16">
        <v>8959921</v>
      </c>
      <c r="F4">
        <v>2022</v>
      </c>
    </row>
    <row r="5" spans="1:6" x14ac:dyDescent="0.25">
      <c r="A5" s="3" t="s">
        <v>16</v>
      </c>
      <c r="C5" s="102">
        <v>31</v>
      </c>
      <c r="D5" s="96" t="s">
        <v>1315</v>
      </c>
      <c r="E5" s="16">
        <v>345996702</v>
      </c>
      <c r="F5">
        <v>2022</v>
      </c>
    </row>
    <row r="6" spans="1:6" x14ac:dyDescent="0.25">
      <c r="A6" t="s">
        <v>14</v>
      </c>
      <c r="C6" s="102">
        <v>31</v>
      </c>
      <c r="D6" s="96" t="s">
        <v>1315</v>
      </c>
      <c r="E6" s="16">
        <v>5961530</v>
      </c>
      <c r="F6">
        <v>2022</v>
      </c>
    </row>
    <row r="7" spans="1:6" x14ac:dyDescent="0.25">
      <c r="A7" t="s">
        <v>30</v>
      </c>
      <c r="C7" s="102">
        <v>31</v>
      </c>
      <c r="D7" s="96" t="s">
        <v>1315</v>
      </c>
      <c r="E7" s="16">
        <v>193612</v>
      </c>
      <c r="F7">
        <v>2022</v>
      </c>
    </row>
    <row r="8" spans="1:6" x14ac:dyDescent="0.25">
      <c r="A8" s="3" t="s">
        <v>20</v>
      </c>
      <c r="B8" s="3"/>
      <c r="C8" s="102">
        <v>31</v>
      </c>
      <c r="D8" s="103" t="s">
        <v>1315</v>
      </c>
      <c r="E8" s="16">
        <v>144953941</v>
      </c>
      <c r="F8">
        <v>2022</v>
      </c>
    </row>
    <row r="9" spans="1:6" x14ac:dyDescent="0.25">
      <c r="A9" s="3" t="s">
        <v>22</v>
      </c>
      <c r="B9" s="3"/>
      <c r="C9" s="102">
        <v>31</v>
      </c>
      <c r="D9" s="103" t="s">
        <v>1315</v>
      </c>
      <c r="E9" s="16">
        <v>76154234</v>
      </c>
      <c r="F9">
        <v>2022</v>
      </c>
    </row>
    <row r="10" spans="1:6" x14ac:dyDescent="0.25">
      <c r="A10" t="s">
        <v>33</v>
      </c>
      <c r="C10" s="102">
        <v>31</v>
      </c>
      <c r="D10" s="96" t="s">
        <v>1315</v>
      </c>
      <c r="E10" s="16">
        <v>183723</v>
      </c>
      <c r="F10">
        <v>2022</v>
      </c>
    </row>
    <row r="11" spans="1:6" x14ac:dyDescent="0.25">
      <c r="A11" s="3" t="s">
        <v>26</v>
      </c>
      <c r="B11" s="3"/>
      <c r="C11" s="102">
        <v>31</v>
      </c>
      <c r="D11" s="103" t="s">
        <v>1315</v>
      </c>
      <c r="E11" s="16">
        <v>1216564428</v>
      </c>
      <c r="F11">
        <v>2022</v>
      </c>
    </row>
    <row r="12" spans="1:6" x14ac:dyDescent="0.25">
      <c r="A12" t="s">
        <v>10</v>
      </c>
      <c r="B12" s="11"/>
      <c r="C12" s="102">
        <v>31</v>
      </c>
      <c r="D12" s="102" t="s">
        <v>1314</v>
      </c>
      <c r="E12" s="16">
        <v>111991</v>
      </c>
      <c r="F12">
        <v>2022</v>
      </c>
    </row>
    <row r="13" spans="1:6" x14ac:dyDescent="0.25">
      <c r="A13" s="3" t="s">
        <v>8</v>
      </c>
      <c r="B13" s="11"/>
      <c r="C13" s="102">
        <v>31</v>
      </c>
      <c r="D13" s="102" t="s">
        <v>1314</v>
      </c>
      <c r="E13" s="16">
        <v>14251</v>
      </c>
      <c r="F13">
        <v>2022</v>
      </c>
    </row>
    <row r="14" spans="1:6" x14ac:dyDescent="0.25">
      <c r="A14" t="s">
        <v>14</v>
      </c>
      <c r="B14" s="11"/>
      <c r="C14" s="102">
        <v>31</v>
      </c>
      <c r="D14" s="102" t="s">
        <v>1314</v>
      </c>
      <c r="E14" s="16">
        <v>512161</v>
      </c>
      <c r="F14">
        <v>2022</v>
      </c>
    </row>
    <row r="15" spans="1:6" x14ac:dyDescent="0.25">
      <c r="A15" t="s">
        <v>18</v>
      </c>
      <c r="B15" s="11"/>
      <c r="C15" s="102">
        <v>31</v>
      </c>
      <c r="D15" s="102" t="s">
        <v>1314</v>
      </c>
      <c r="E15" s="16">
        <v>117499</v>
      </c>
      <c r="F15">
        <v>2022</v>
      </c>
    </row>
    <row r="16" spans="1:6" x14ac:dyDescent="0.25">
      <c r="A16" s="3" t="s">
        <v>20</v>
      </c>
      <c r="B16" s="11"/>
      <c r="C16" s="102">
        <v>31</v>
      </c>
      <c r="D16" s="102" t="s">
        <v>1314</v>
      </c>
      <c r="E16" s="16">
        <v>2068743</v>
      </c>
      <c r="F16">
        <v>2022</v>
      </c>
    </row>
    <row r="17" spans="1:6" x14ac:dyDescent="0.25">
      <c r="A17" s="3" t="s">
        <v>22</v>
      </c>
      <c r="B17" s="11"/>
      <c r="C17" s="102">
        <v>31</v>
      </c>
      <c r="D17" s="102" t="s">
        <v>1314</v>
      </c>
      <c r="E17" s="16">
        <v>728247</v>
      </c>
      <c r="F17">
        <v>2022</v>
      </c>
    </row>
    <row r="18" spans="1:6" x14ac:dyDescent="0.25">
      <c r="A18" s="3" t="s">
        <v>24</v>
      </c>
      <c r="B18" s="11"/>
      <c r="C18" s="102">
        <v>31</v>
      </c>
      <c r="D18" s="102" t="s">
        <v>1314</v>
      </c>
      <c r="E18" s="16">
        <v>156983</v>
      </c>
      <c r="F18">
        <v>2022</v>
      </c>
    </row>
    <row r="19" spans="1:6" x14ac:dyDescent="0.25">
      <c r="A19" s="3" t="s">
        <v>26</v>
      </c>
      <c r="B19" s="11"/>
      <c r="C19" s="102">
        <v>31</v>
      </c>
      <c r="D19" s="102" t="s">
        <v>1314</v>
      </c>
      <c r="E19" s="16">
        <v>4071118</v>
      </c>
      <c r="F19">
        <v>2022</v>
      </c>
    </row>
    <row r="20" spans="1:6" x14ac:dyDescent="0.25">
      <c r="A20" t="s">
        <v>35</v>
      </c>
      <c r="B20" s="11"/>
      <c r="C20" s="102">
        <v>30</v>
      </c>
      <c r="D20" s="102">
        <v>0</v>
      </c>
      <c r="E20" s="16">
        <v>23599186</v>
      </c>
      <c r="F20">
        <v>2022</v>
      </c>
    </row>
    <row r="21" spans="1:6" x14ac:dyDescent="0.25">
      <c r="A21" t="s">
        <v>8</v>
      </c>
      <c r="B21" s="11"/>
      <c r="C21" s="102">
        <v>30</v>
      </c>
      <c r="D21" s="102">
        <v>0</v>
      </c>
      <c r="E21" s="16">
        <v>11711741</v>
      </c>
      <c r="F21">
        <v>2022</v>
      </c>
    </row>
    <row r="22" spans="1:6" x14ac:dyDescent="0.25">
      <c r="A22" t="s">
        <v>20</v>
      </c>
      <c r="B22" s="11"/>
      <c r="C22" s="102">
        <v>30</v>
      </c>
      <c r="D22" s="102">
        <v>0</v>
      </c>
      <c r="E22" s="16">
        <v>17547489</v>
      </c>
      <c r="F22">
        <v>2022</v>
      </c>
    </row>
    <row r="23" spans="1:6" x14ac:dyDescent="0.25">
      <c r="A23" t="s">
        <v>26</v>
      </c>
      <c r="B23" s="11"/>
      <c r="C23" s="102">
        <v>30</v>
      </c>
      <c r="D23" s="102">
        <v>0</v>
      </c>
      <c r="E23" s="16">
        <v>115943342</v>
      </c>
      <c r="F23">
        <v>2022</v>
      </c>
    </row>
    <row r="24" spans="1:6" x14ac:dyDescent="0.25">
      <c r="A24" t="s">
        <v>22</v>
      </c>
      <c r="B24" s="11"/>
      <c r="C24" s="102">
        <v>30</v>
      </c>
      <c r="D24" s="102">
        <v>0</v>
      </c>
      <c r="E24" s="16">
        <v>10232750</v>
      </c>
      <c r="F24">
        <v>2022</v>
      </c>
    </row>
    <row r="25" spans="1:6" x14ac:dyDescent="0.25">
      <c r="A25" t="s">
        <v>10</v>
      </c>
      <c r="B25" s="11"/>
      <c r="C25" s="102">
        <v>30</v>
      </c>
      <c r="D25" s="102">
        <v>0</v>
      </c>
      <c r="E25" s="16">
        <v>6554710</v>
      </c>
      <c r="F25">
        <v>2022</v>
      </c>
    </row>
    <row r="26" spans="1:6" x14ac:dyDescent="0.25">
      <c r="A26" t="s">
        <v>18</v>
      </c>
      <c r="B26" s="11"/>
      <c r="C26" s="102">
        <v>30</v>
      </c>
      <c r="D26" s="102">
        <v>0</v>
      </c>
      <c r="E26" s="16">
        <v>18836821</v>
      </c>
      <c r="F26">
        <v>2022</v>
      </c>
    </row>
    <row r="27" spans="1:6" x14ac:dyDescent="0.25">
      <c r="A27" t="s">
        <v>24</v>
      </c>
      <c r="B27" s="11"/>
      <c r="C27" s="102">
        <v>30</v>
      </c>
      <c r="D27" s="102">
        <v>0</v>
      </c>
      <c r="E27" s="16">
        <v>5212886</v>
      </c>
      <c r="F27">
        <v>2022</v>
      </c>
    </row>
    <row r="28" spans="1:6" x14ac:dyDescent="0.25">
      <c r="A28" t="s">
        <v>6</v>
      </c>
      <c r="B28" s="11"/>
      <c r="C28" s="102">
        <v>30</v>
      </c>
      <c r="D28" s="102">
        <v>0</v>
      </c>
      <c r="E28" s="16">
        <v>9355888</v>
      </c>
      <c r="F28">
        <v>2022</v>
      </c>
    </row>
    <row r="29" spans="1:6" x14ac:dyDescent="0.25">
      <c r="A29" t="s">
        <v>16</v>
      </c>
      <c r="B29" s="11"/>
      <c r="C29" s="102">
        <v>30</v>
      </c>
      <c r="D29" s="102">
        <v>0</v>
      </c>
      <c r="E29" s="16">
        <v>13726085</v>
      </c>
      <c r="F29">
        <v>2022</v>
      </c>
    </row>
    <row r="30" spans="1:6" x14ac:dyDescent="0.25">
      <c r="A30" t="s">
        <v>14</v>
      </c>
      <c r="B30" s="11"/>
      <c r="C30" s="102">
        <v>30</v>
      </c>
      <c r="D30" s="102">
        <v>0</v>
      </c>
      <c r="E30" s="16">
        <v>16455201</v>
      </c>
      <c r="F30">
        <v>2022</v>
      </c>
    </row>
    <row r="31" spans="1:6" x14ac:dyDescent="0.25">
      <c r="A31" t="s">
        <v>30</v>
      </c>
      <c r="B31" s="11"/>
      <c r="C31" s="102">
        <v>30</v>
      </c>
      <c r="D31" s="102">
        <v>0</v>
      </c>
      <c r="E31" s="16">
        <v>2155352</v>
      </c>
      <c r="F31">
        <v>2022</v>
      </c>
    </row>
    <row r="32" spans="1:6" x14ac:dyDescent="0.25">
      <c r="A32" s="4" t="s">
        <v>33</v>
      </c>
      <c r="B32" s="11"/>
      <c r="C32" s="102">
        <v>30</v>
      </c>
      <c r="D32" s="102">
        <v>0</v>
      </c>
      <c r="E32" s="16">
        <v>12271663</v>
      </c>
      <c r="F32">
        <v>2022</v>
      </c>
    </row>
    <row r="33" spans="1:6" x14ac:dyDescent="0.25">
      <c r="A33" t="s">
        <v>35</v>
      </c>
      <c r="B33" s="11"/>
      <c r="C33" s="102">
        <v>21</v>
      </c>
      <c r="D33" s="102">
        <v>0</v>
      </c>
      <c r="E33" s="16">
        <v>17324812</v>
      </c>
      <c r="F33">
        <v>2022</v>
      </c>
    </row>
    <row r="34" spans="1:6" x14ac:dyDescent="0.25">
      <c r="A34" t="s">
        <v>8</v>
      </c>
      <c r="B34" s="11"/>
      <c r="C34" s="102">
        <v>21</v>
      </c>
      <c r="D34" s="102">
        <v>0</v>
      </c>
      <c r="E34" s="16">
        <v>11276602</v>
      </c>
      <c r="F34">
        <v>2022</v>
      </c>
    </row>
    <row r="35" spans="1:6" x14ac:dyDescent="0.25">
      <c r="A35" t="s">
        <v>20</v>
      </c>
      <c r="B35" s="11"/>
      <c r="C35" s="102">
        <v>21</v>
      </c>
      <c r="D35" s="102">
        <v>0</v>
      </c>
      <c r="E35" s="16">
        <v>17601742</v>
      </c>
      <c r="F35">
        <v>2022</v>
      </c>
    </row>
    <row r="36" spans="1:6" x14ac:dyDescent="0.25">
      <c r="A36" t="s">
        <v>26</v>
      </c>
      <c r="B36" s="11"/>
      <c r="C36" s="102">
        <v>21</v>
      </c>
      <c r="D36" s="102">
        <v>0</v>
      </c>
      <c r="E36" s="16">
        <v>115187702</v>
      </c>
      <c r="F36">
        <v>2022</v>
      </c>
    </row>
    <row r="37" spans="1:6" x14ac:dyDescent="0.25">
      <c r="A37" t="s">
        <v>22</v>
      </c>
      <c r="B37" s="11"/>
      <c r="C37" s="102">
        <v>21</v>
      </c>
      <c r="D37" s="102">
        <v>0</v>
      </c>
      <c r="E37" s="16">
        <v>8930841</v>
      </c>
      <c r="F37">
        <v>2022</v>
      </c>
    </row>
    <row r="38" spans="1:6" x14ac:dyDescent="0.25">
      <c r="A38" t="s">
        <v>10</v>
      </c>
      <c r="B38" s="11"/>
      <c r="C38" s="102">
        <v>21</v>
      </c>
      <c r="D38" s="102">
        <v>0</v>
      </c>
      <c r="E38" s="16">
        <v>6595025</v>
      </c>
      <c r="F38">
        <v>2022</v>
      </c>
    </row>
    <row r="39" spans="1:6" x14ac:dyDescent="0.25">
      <c r="A39" t="s">
        <v>18</v>
      </c>
      <c r="B39" s="11"/>
      <c r="C39" s="102">
        <v>21</v>
      </c>
      <c r="D39" s="102">
        <v>0</v>
      </c>
      <c r="E39" s="16">
        <v>18191760</v>
      </c>
      <c r="F39">
        <v>2022</v>
      </c>
    </row>
    <row r="40" spans="1:6" x14ac:dyDescent="0.25">
      <c r="A40" t="s">
        <v>24</v>
      </c>
      <c r="B40" s="11"/>
      <c r="C40" s="102">
        <v>21</v>
      </c>
      <c r="D40" s="102">
        <v>0</v>
      </c>
      <c r="E40" s="16">
        <v>5126325</v>
      </c>
      <c r="F40">
        <v>2022</v>
      </c>
    </row>
    <row r="41" spans="1:6" x14ac:dyDescent="0.25">
      <c r="A41" t="s">
        <v>6</v>
      </c>
      <c r="B41" s="11"/>
      <c r="C41" s="102">
        <v>21</v>
      </c>
      <c r="D41" s="102">
        <v>0</v>
      </c>
      <c r="E41" s="16">
        <v>8110190</v>
      </c>
      <c r="F41">
        <v>2022</v>
      </c>
    </row>
    <row r="42" spans="1:6" x14ac:dyDescent="0.25">
      <c r="A42" t="s">
        <v>16</v>
      </c>
      <c r="B42" s="11"/>
      <c r="C42" s="102">
        <v>21</v>
      </c>
      <c r="D42" s="102">
        <v>0</v>
      </c>
      <c r="E42" s="16">
        <v>12699071</v>
      </c>
      <c r="F42">
        <v>2022</v>
      </c>
    </row>
    <row r="43" spans="1:6" x14ac:dyDescent="0.25">
      <c r="A43" t="s">
        <v>14</v>
      </c>
      <c r="B43" s="11"/>
      <c r="C43" s="102">
        <v>21</v>
      </c>
      <c r="D43" s="102">
        <v>0</v>
      </c>
      <c r="E43" s="16">
        <v>15315786</v>
      </c>
      <c r="F43">
        <v>2022</v>
      </c>
    </row>
    <row r="44" spans="1:6" x14ac:dyDescent="0.25">
      <c r="A44" t="s">
        <v>30</v>
      </c>
      <c r="B44" s="11"/>
      <c r="C44" s="102">
        <v>21</v>
      </c>
      <c r="D44" s="102">
        <v>0</v>
      </c>
      <c r="E44" s="16">
        <v>1834239</v>
      </c>
      <c r="F44">
        <v>2022</v>
      </c>
    </row>
    <row r="45" spans="1:6" x14ac:dyDescent="0.25">
      <c r="A45" s="4" t="s">
        <v>33</v>
      </c>
      <c r="B45" s="11"/>
      <c r="C45" s="102">
        <v>21</v>
      </c>
      <c r="D45" s="102">
        <v>0</v>
      </c>
      <c r="E45" s="16">
        <v>8552054</v>
      </c>
      <c r="F45">
        <v>2022</v>
      </c>
    </row>
    <row r="46" spans="1:6" x14ac:dyDescent="0.25">
      <c r="A46" t="s">
        <v>35</v>
      </c>
      <c r="B46" s="11"/>
      <c r="C46" s="102">
        <v>22</v>
      </c>
      <c r="D46" s="102">
        <v>0</v>
      </c>
      <c r="E46" s="16">
        <v>4967944</v>
      </c>
      <c r="F46">
        <v>2022</v>
      </c>
    </row>
    <row r="47" spans="1:6" x14ac:dyDescent="0.25">
      <c r="A47" t="s">
        <v>8</v>
      </c>
      <c r="B47" s="11"/>
      <c r="C47" s="102">
        <v>22</v>
      </c>
      <c r="D47" s="102">
        <v>0</v>
      </c>
      <c r="E47" s="16">
        <v>557028</v>
      </c>
      <c r="F47">
        <v>2022</v>
      </c>
    </row>
    <row r="48" spans="1:6" x14ac:dyDescent="0.25">
      <c r="A48" t="s">
        <v>20</v>
      </c>
      <c r="B48" s="11"/>
      <c r="C48" s="102">
        <v>22</v>
      </c>
      <c r="D48" s="102">
        <v>0</v>
      </c>
      <c r="E48" s="16">
        <v>1168822</v>
      </c>
      <c r="F48">
        <v>2022</v>
      </c>
    </row>
    <row r="49" spans="1:6" x14ac:dyDescent="0.25">
      <c r="A49" t="s">
        <v>26</v>
      </c>
      <c r="B49" s="11"/>
      <c r="C49" s="102">
        <v>22</v>
      </c>
      <c r="D49" s="102">
        <v>0</v>
      </c>
      <c r="E49" s="16">
        <v>8392182</v>
      </c>
      <c r="F49">
        <v>2022</v>
      </c>
    </row>
    <row r="50" spans="1:6" x14ac:dyDescent="0.25">
      <c r="A50" t="s">
        <v>22</v>
      </c>
      <c r="B50" s="11"/>
      <c r="C50" s="102">
        <v>22</v>
      </c>
      <c r="D50" s="102">
        <v>0</v>
      </c>
      <c r="E50" s="16">
        <v>644737</v>
      </c>
      <c r="F50">
        <v>2022</v>
      </c>
    </row>
    <row r="51" spans="1:6" x14ac:dyDescent="0.25">
      <c r="A51" t="s">
        <v>10</v>
      </c>
      <c r="B51" s="11"/>
      <c r="C51" s="102">
        <v>22</v>
      </c>
      <c r="D51" s="102">
        <v>0</v>
      </c>
      <c r="E51" s="16">
        <v>415590</v>
      </c>
      <c r="F51">
        <v>2022</v>
      </c>
    </row>
    <row r="52" spans="1:6" x14ac:dyDescent="0.25">
      <c r="A52" t="s">
        <v>18</v>
      </c>
      <c r="B52" s="11"/>
      <c r="C52" s="102">
        <v>22</v>
      </c>
      <c r="D52" s="102">
        <v>0</v>
      </c>
      <c r="E52" s="16">
        <v>842209</v>
      </c>
      <c r="F52">
        <v>2022</v>
      </c>
    </row>
    <row r="53" spans="1:6" x14ac:dyDescent="0.25">
      <c r="A53" t="s">
        <v>24</v>
      </c>
      <c r="B53" s="11"/>
      <c r="C53" s="102">
        <v>22</v>
      </c>
      <c r="D53" s="102">
        <v>0</v>
      </c>
      <c r="E53" s="16">
        <v>224614</v>
      </c>
      <c r="F53">
        <v>2022</v>
      </c>
    </row>
    <row r="54" spans="1:6" x14ac:dyDescent="0.25">
      <c r="A54" t="s">
        <v>6</v>
      </c>
      <c r="B54" s="11"/>
      <c r="C54" s="102">
        <v>22</v>
      </c>
      <c r="D54" s="102">
        <v>0</v>
      </c>
      <c r="E54" s="16">
        <v>790372</v>
      </c>
      <c r="F54">
        <v>2022</v>
      </c>
    </row>
    <row r="55" spans="1:6" x14ac:dyDescent="0.25">
      <c r="A55" t="s">
        <v>16</v>
      </c>
      <c r="B55" s="11"/>
      <c r="C55" s="102">
        <v>22</v>
      </c>
      <c r="D55" s="102">
        <v>0</v>
      </c>
      <c r="E55" s="16">
        <v>988233</v>
      </c>
      <c r="F55">
        <v>2022</v>
      </c>
    </row>
    <row r="56" spans="1:6" x14ac:dyDescent="0.25">
      <c r="A56" t="s">
        <v>14</v>
      </c>
      <c r="B56" s="11"/>
      <c r="C56" s="102">
        <v>22</v>
      </c>
      <c r="D56" s="102">
        <v>0</v>
      </c>
      <c r="E56" s="16">
        <v>1224470</v>
      </c>
      <c r="F56">
        <v>2022</v>
      </c>
    </row>
    <row r="57" spans="1:6" x14ac:dyDescent="0.25">
      <c r="A57" t="s">
        <v>30</v>
      </c>
      <c r="B57" s="11"/>
      <c r="C57" s="102">
        <v>22</v>
      </c>
      <c r="D57" s="102">
        <v>0</v>
      </c>
      <c r="E57" s="16">
        <v>245160</v>
      </c>
      <c r="F57">
        <v>2022</v>
      </c>
    </row>
    <row r="58" spans="1:6" x14ac:dyDescent="0.25">
      <c r="A58" s="4" t="s">
        <v>33</v>
      </c>
      <c r="B58" s="11"/>
      <c r="C58" s="102">
        <v>22</v>
      </c>
      <c r="D58" s="102">
        <v>0</v>
      </c>
      <c r="E58" s="16">
        <v>3449428</v>
      </c>
      <c r="F58">
        <v>2022</v>
      </c>
    </row>
  </sheetData>
  <conditionalFormatting sqref="E2:E58">
    <cfRule type="expression" dxfId="5" priority="1">
      <formula>E2&lt;&gt;""</formula>
    </cfRule>
    <cfRule type="expression" dxfId="4" priority="2">
      <formula>#REF!&lt;&gt;""</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L1000"/>
  <sheetViews>
    <sheetView workbookViewId="0">
      <selection activeCell="A3" sqref="A3"/>
    </sheetView>
  </sheetViews>
  <sheetFormatPr baseColWidth="10" defaultRowHeight="15" x14ac:dyDescent="0.25"/>
  <cols>
    <col min="1" max="1" width="23.7109375" customWidth="1"/>
    <col min="2" max="2" width="11.42578125" style="96"/>
    <col min="3" max="3" width="43" bestFit="1" customWidth="1"/>
    <col min="4" max="4" width="26.140625" customWidth="1"/>
    <col min="5" max="5" width="33.7109375" customWidth="1"/>
    <col min="9" max="9" width="22.85546875" customWidth="1"/>
    <col min="10" max="10" width="11.85546875" style="96" bestFit="1" customWidth="1"/>
    <col min="11" max="12" width="11.42578125" style="96"/>
  </cols>
  <sheetData>
    <row r="1" spans="1:12" x14ac:dyDescent="0.25">
      <c r="A1" s="1" t="s">
        <v>56</v>
      </c>
      <c r="B1" s="100" t="s">
        <v>37</v>
      </c>
      <c r="C1" s="1" t="s">
        <v>54</v>
      </c>
      <c r="D1" s="2" t="s">
        <v>38</v>
      </c>
      <c r="E1" s="1" t="s">
        <v>45</v>
      </c>
      <c r="F1" s="2" t="s">
        <v>1281</v>
      </c>
      <c r="G1" s="1" t="s">
        <v>1287</v>
      </c>
      <c r="H1" s="2" t="s">
        <v>1306</v>
      </c>
      <c r="I1" s="1" t="s">
        <v>1307</v>
      </c>
      <c r="J1" s="100" t="s">
        <v>493</v>
      </c>
      <c r="K1" s="101" t="s">
        <v>1248</v>
      </c>
      <c r="L1" s="100" t="s">
        <v>1283</v>
      </c>
    </row>
    <row r="2" spans="1:12" x14ac:dyDescent="0.25">
      <c r="A2" s="8" t="s">
        <v>529</v>
      </c>
      <c r="B2" s="113" t="s">
        <v>530</v>
      </c>
      <c r="C2" s="3" t="s">
        <v>7</v>
      </c>
      <c r="D2" s="3" t="s">
        <v>1278</v>
      </c>
      <c r="E2" s="5" t="s">
        <v>53</v>
      </c>
      <c r="F2" s="5" t="s">
        <v>1236</v>
      </c>
      <c r="G2" t="s">
        <v>1288</v>
      </c>
      <c r="H2" s="6">
        <v>44531</v>
      </c>
      <c r="I2" s="6">
        <v>44957</v>
      </c>
      <c r="J2" s="102" t="s">
        <v>1314</v>
      </c>
      <c r="K2" s="96" t="s">
        <v>1314</v>
      </c>
      <c r="L2" s="96" t="s">
        <v>751</v>
      </c>
    </row>
    <row r="3" spans="1:12" x14ac:dyDescent="0.25">
      <c r="A3" s="3" t="s">
        <v>35</v>
      </c>
      <c r="B3" s="103" t="s">
        <v>2432</v>
      </c>
      <c r="C3" s="3" t="s">
        <v>9</v>
      </c>
      <c r="D3" s="3" t="s">
        <v>1268</v>
      </c>
      <c r="E3" s="5" t="s">
        <v>46</v>
      </c>
      <c r="F3" s="5" t="s">
        <v>1278</v>
      </c>
      <c r="J3" s="102" t="s">
        <v>1315</v>
      </c>
      <c r="K3" s="96" t="s">
        <v>1315</v>
      </c>
      <c r="L3" s="96" t="s">
        <v>750</v>
      </c>
    </row>
    <row r="4" spans="1:12" x14ac:dyDescent="0.25">
      <c r="A4" s="3" t="s">
        <v>8</v>
      </c>
      <c r="B4" s="103" t="s">
        <v>2418</v>
      </c>
      <c r="C4" s="3" t="s">
        <v>11</v>
      </c>
      <c r="D4" s="3" t="s">
        <v>1269</v>
      </c>
      <c r="E4" s="5" t="s">
        <v>47</v>
      </c>
      <c r="F4" s="5" t="s">
        <v>1282</v>
      </c>
      <c r="J4" s="102" t="s">
        <v>1316</v>
      </c>
      <c r="K4" s="96" t="s">
        <v>1316</v>
      </c>
      <c r="L4" s="96" t="s">
        <v>1481</v>
      </c>
    </row>
    <row r="5" spans="1:12" x14ac:dyDescent="0.25">
      <c r="A5" s="3" t="s">
        <v>20</v>
      </c>
      <c r="B5" s="103" t="s">
        <v>2424</v>
      </c>
      <c r="C5" s="3" t="s">
        <v>13</v>
      </c>
      <c r="D5" s="3" t="s">
        <v>1270</v>
      </c>
      <c r="E5" s="5" t="s">
        <v>48</v>
      </c>
      <c r="J5" s="102" t="s">
        <v>1317</v>
      </c>
      <c r="K5" s="96" t="s">
        <v>1317</v>
      </c>
      <c r="L5" s="96" t="s">
        <v>1482</v>
      </c>
    </row>
    <row r="6" spans="1:12" ht="15" customHeight="1" x14ac:dyDescent="0.25">
      <c r="A6" s="3" t="s">
        <v>26</v>
      </c>
      <c r="B6" s="103" t="s">
        <v>2427</v>
      </c>
      <c r="C6" s="3" t="s">
        <v>15</v>
      </c>
      <c r="D6" s="3" t="s">
        <v>57</v>
      </c>
      <c r="E6" s="5" t="s">
        <v>1279</v>
      </c>
      <c r="J6" s="102" t="s">
        <v>1318</v>
      </c>
      <c r="K6" s="96" t="s">
        <v>1318</v>
      </c>
      <c r="L6" s="96" t="s">
        <v>1483</v>
      </c>
    </row>
    <row r="7" spans="1:12" ht="15" customHeight="1" x14ac:dyDescent="0.25">
      <c r="A7" s="3" t="s">
        <v>22</v>
      </c>
      <c r="B7" s="103" t="s">
        <v>2425</v>
      </c>
      <c r="C7" s="3" t="s">
        <v>17</v>
      </c>
      <c r="D7" s="5" t="s">
        <v>1275</v>
      </c>
      <c r="E7" s="5" t="s">
        <v>1280</v>
      </c>
      <c r="J7" s="102" t="s">
        <v>1319</v>
      </c>
      <c r="K7" s="96" t="s">
        <v>1319</v>
      </c>
      <c r="L7" s="96" t="s">
        <v>1484</v>
      </c>
    </row>
    <row r="8" spans="1:12" x14ac:dyDescent="0.25">
      <c r="A8" s="3" t="s">
        <v>10</v>
      </c>
      <c r="B8" s="103" t="s">
        <v>2419</v>
      </c>
      <c r="C8" s="3" t="s">
        <v>19</v>
      </c>
      <c r="D8" s="5" t="s">
        <v>1276</v>
      </c>
      <c r="J8" s="102" t="s">
        <v>1320</v>
      </c>
      <c r="K8" s="96" t="s">
        <v>1320</v>
      </c>
      <c r="L8" s="96" t="s">
        <v>1485</v>
      </c>
    </row>
    <row r="9" spans="1:12" x14ac:dyDescent="0.25">
      <c r="A9" s="3" t="s">
        <v>18</v>
      </c>
      <c r="B9" s="103" t="s">
        <v>2423</v>
      </c>
      <c r="C9" s="3" t="s">
        <v>21</v>
      </c>
      <c r="D9" s="5" t="s">
        <v>1277</v>
      </c>
      <c r="J9" s="102" t="s">
        <v>1321</v>
      </c>
      <c r="K9" s="96" t="s">
        <v>1321</v>
      </c>
      <c r="L9" s="96" t="s">
        <v>1486</v>
      </c>
    </row>
    <row r="10" spans="1:12" x14ac:dyDescent="0.25">
      <c r="A10" s="3" t="s">
        <v>28</v>
      </c>
      <c r="B10" s="103" t="s">
        <v>2428</v>
      </c>
      <c r="C10" s="3" t="s">
        <v>23</v>
      </c>
      <c r="D10" s="5" t="s">
        <v>1271</v>
      </c>
      <c r="J10" s="102" t="s">
        <v>1322</v>
      </c>
      <c r="K10" s="96" t="s">
        <v>1322</v>
      </c>
      <c r="L10" s="96" t="s">
        <v>1487</v>
      </c>
    </row>
    <row r="11" spans="1:12" x14ac:dyDescent="0.25">
      <c r="A11" s="3" t="s">
        <v>24</v>
      </c>
      <c r="B11" s="103" t="s">
        <v>2426</v>
      </c>
      <c r="C11" s="3" t="s">
        <v>25</v>
      </c>
      <c r="D11" s="5" t="s">
        <v>1236</v>
      </c>
      <c r="J11" s="102" t="s">
        <v>1342</v>
      </c>
      <c r="K11" s="96" t="s">
        <v>1342</v>
      </c>
      <c r="L11" s="96" t="s">
        <v>1323</v>
      </c>
    </row>
    <row r="12" spans="1:12" x14ac:dyDescent="0.25">
      <c r="A12" s="3" t="s">
        <v>6</v>
      </c>
      <c r="B12" s="103" t="s">
        <v>2417</v>
      </c>
      <c r="C12" s="3" t="s">
        <v>27</v>
      </c>
      <c r="D12" s="5" t="s">
        <v>2404</v>
      </c>
      <c r="J12" s="102" t="s">
        <v>1343</v>
      </c>
      <c r="K12" s="96" t="s">
        <v>1343</v>
      </c>
      <c r="L12" s="96" t="s">
        <v>1324</v>
      </c>
    </row>
    <row r="13" spans="1:12" x14ac:dyDescent="0.25">
      <c r="A13" s="3" t="s">
        <v>12</v>
      </c>
      <c r="B13" s="103" t="s">
        <v>2420</v>
      </c>
      <c r="C13" s="3" t="s">
        <v>29</v>
      </c>
      <c r="D13" s="4"/>
      <c r="J13" s="102" t="s">
        <v>1344</v>
      </c>
      <c r="K13" s="96" t="s">
        <v>1344</v>
      </c>
      <c r="L13" s="96" t="s">
        <v>1325</v>
      </c>
    </row>
    <row r="14" spans="1:12" x14ac:dyDescent="0.25">
      <c r="A14" s="8" t="s">
        <v>532</v>
      </c>
      <c r="B14" s="113" t="s">
        <v>533</v>
      </c>
      <c r="C14" s="3" t="s">
        <v>31</v>
      </c>
      <c r="D14" s="4"/>
      <c r="J14" s="102" t="s">
        <v>1345</v>
      </c>
      <c r="K14" s="96" t="s">
        <v>1345</v>
      </c>
      <c r="L14" s="96" t="s">
        <v>1326</v>
      </c>
    </row>
    <row r="15" spans="1:12" x14ac:dyDescent="0.25">
      <c r="A15" s="8" t="s">
        <v>535</v>
      </c>
      <c r="B15" s="113" t="s">
        <v>536</v>
      </c>
      <c r="C15" s="3" t="s">
        <v>32</v>
      </c>
      <c r="D15" s="4"/>
      <c r="J15" s="102" t="s">
        <v>1346</v>
      </c>
      <c r="K15" s="96" t="s">
        <v>1346</v>
      </c>
      <c r="L15" s="96" t="s">
        <v>1327</v>
      </c>
    </row>
    <row r="16" spans="1:12" ht="15" customHeight="1" x14ac:dyDescent="0.25">
      <c r="A16" s="8" t="s">
        <v>538</v>
      </c>
      <c r="B16" s="113" t="s">
        <v>539</v>
      </c>
      <c r="C16" s="3" t="s">
        <v>34</v>
      </c>
      <c r="D16" s="4"/>
      <c r="J16" s="102" t="s">
        <v>1347</v>
      </c>
      <c r="K16" s="96" t="s">
        <v>1347</v>
      </c>
      <c r="L16" s="96" t="s">
        <v>1328</v>
      </c>
    </row>
    <row r="17" spans="1:12" x14ac:dyDescent="0.25">
      <c r="A17" s="8" t="s">
        <v>541</v>
      </c>
      <c r="B17" s="113" t="s">
        <v>542</v>
      </c>
      <c r="C17" s="3" t="s">
        <v>36</v>
      </c>
      <c r="D17" s="4"/>
      <c r="J17" s="102" t="s">
        <v>1348</v>
      </c>
      <c r="K17" s="96" t="s">
        <v>1348</v>
      </c>
      <c r="L17" s="96" t="s">
        <v>1329</v>
      </c>
    </row>
    <row r="18" spans="1:12" ht="26.25" x14ac:dyDescent="0.25">
      <c r="A18" s="8" t="s">
        <v>544</v>
      </c>
      <c r="B18" s="113" t="s">
        <v>545</v>
      </c>
      <c r="C18" s="9" t="s">
        <v>531</v>
      </c>
      <c r="J18" s="102" t="s">
        <v>1349</v>
      </c>
      <c r="K18" s="96" t="s">
        <v>1349</v>
      </c>
      <c r="L18" s="96" t="s">
        <v>1330</v>
      </c>
    </row>
    <row r="19" spans="1:12" x14ac:dyDescent="0.25">
      <c r="A19" s="8" t="s">
        <v>547</v>
      </c>
      <c r="B19" s="113" t="s">
        <v>548</v>
      </c>
      <c r="C19" s="9" t="s">
        <v>534</v>
      </c>
      <c r="J19" s="102" t="s">
        <v>1350</v>
      </c>
      <c r="K19" s="96" t="s">
        <v>1350</v>
      </c>
      <c r="L19" s="96" t="s">
        <v>1331</v>
      </c>
    </row>
    <row r="20" spans="1:12" x14ac:dyDescent="0.25">
      <c r="A20" s="8" t="s">
        <v>550</v>
      </c>
      <c r="B20" s="113" t="s">
        <v>551</v>
      </c>
      <c r="C20" s="9" t="s">
        <v>537</v>
      </c>
      <c r="J20" s="102" t="s">
        <v>1351</v>
      </c>
      <c r="K20" s="96" t="s">
        <v>1351</v>
      </c>
      <c r="L20" s="96" t="s">
        <v>1332</v>
      </c>
    </row>
    <row r="21" spans="1:12" x14ac:dyDescent="0.25">
      <c r="A21" s="8" t="s">
        <v>556</v>
      </c>
      <c r="B21" s="113" t="s">
        <v>557</v>
      </c>
      <c r="C21" s="9" t="s">
        <v>540</v>
      </c>
      <c r="J21" s="102" t="s">
        <v>1352</v>
      </c>
      <c r="K21" s="96" t="s">
        <v>1352</v>
      </c>
      <c r="L21" s="96" t="s">
        <v>1333</v>
      </c>
    </row>
    <row r="22" spans="1:12" x14ac:dyDescent="0.25">
      <c r="A22" s="8" t="s">
        <v>559</v>
      </c>
      <c r="B22" s="113" t="s">
        <v>560</v>
      </c>
      <c r="C22" s="9" t="s">
        <v>543</v>
      </c>
      <c r="J22" s="102" t="s">
        <v>497</v>
      </c>
      <c r="K22" s="96" t="s">
        <v>497</v>
      </c>
      <c r="L22" s="96" t="s">
        <v>1334</v>
      </c>
    </row>
    <row r="23" spans="1:12" x14ac:dyDescent="0.25">
      <c r="A23" s="8" t="s">
        <v>553</v>
      </c>
      <c r="B23" s="113" t="s">
        <v>554</v>
      </c>
      <c r="C23" s="9" t="s">
        <v>546</v>
      </c>
      <c r="J23" s="102" t="s">
        <v>500</v>
      </c>
      <c r="K23" s="96" t="s">
        <v>500</v>
      </c>
      <c r="L23" s="96" t="s">
        <v>1335</v>
      </c>
    </row>
    <row r="24" spans="1:12" ht="26.25" x14ac:dyDescent="0.25">
      <c r="A24" s="3" t="s">
        <v>16</v>
      </c>
      <c r="B24" s="103" t="s">
        <v>2422</v>
      </c>
      <c r="C24" s="9" t="s">
        <v>549</v>
      </c>
      <c r="J24" s="102" t="s">
        <v>1353</v>
      </c>
      <c r="K24" s="96" t="s">
        <v>1353</v>
      </c>
      <c r="L24" s="96" t="s">
        <v>1336</v>
      </c>
    </row>
    <row r="25" spans="1:12" x14ac:dyDescent="0.25">
      <c r="A25" s="8" t="s">
        <v>562</v>
      </c>
      <c r="B25" s="113" t="s">
        <v>563</v>
      </c>
      <c r="C25" s="9" t="s">
        <v>552</v>
      </c>
      <c r="J25" s="102" t="s">
        <v>504</v>
      </c>
      <c r="K25" s="96" t="s">
        <v>504</v>
      </c>
      <c r="L25" s="96" t="s">
        <v>1337</v>
      </c>
    </row>
    <row r="26" spans="1:12" x14ac:dyDescent="0.25">
      <c r="A26" s="3" t="s">
        <v>14</v>
      </c>
      <c r="B26" s="103" t="s">
        <v>2421</v>
      </c>
      <c r="C26" s="9" t="s">
        <v>555</v>
      </c>
      <c r="J26" s="102" t="s">
        <v>1354</v>
      </c>
      <c r="K26" s="96" t="s">
        <v>1354</v>
      </c>
      <c r="L26" s="96" t="s">
        <v>1338</v>
      </c>
    </row>
    <row r="27" spans="1:12" x14ac:dyDescent="0.25">
      <c r="A27" s="8" t="s">
        <v>565</v>
      </c>
      <c r="B27" s="113" t="s">
        <v>566</v>
      </c>
      <c r="C27" s="9" t="s">
        <v>558</v>
      </c>
      <c r="J27" s="102" t="s">
        <v>519</v>
      </c>
      <c r="K27" s="96" t="s">
        <v>519</v>
      </c>
      <c r="L27" s="96" t="s">
        <v>1339</v>
      </c>
    </row>
    <row r="28" spans="1:12" x14ac:dyDescent="0.25">
      <c r="A28" s="3" t="s">
        <v>30</v>
      </c>
      <c r="B28" s="103" t="s">
        <v>2429</v>
      </c>
      <c r="C28" s="9" t="s">
        <v>561</v>
      </c>
      <c r="J28" s="102" t="s">
        <v>1355</v>
      </c>
      <c r="K28" s="96" t="s">
        <v>1355</v>
      </c>
      <c r="L28" s="96" t="s">
        <v>1340</v>
      </c>
    </row>
    <row r="29" spans="1:12" x14ac:dyDescent="0.25">
      <c r="A29" s="8" t="s">
        <v>568</v>
      </c>
      <c r="B29" s="113" t="s">
        <v>569</v>
      </c>
      <c r="C29" s="9" t="s">
        <v>564</v>
      </c>
      <c r="J29" s="102" t="s">
        <v>1356</v>
      </c>
      <c r="K29" s="96" t="s">
        <v>1356</v>
      </c>
      <c r="L29" s="96" t="s">
        <v>1341</v>
      </c>
    </row>
    <row r="30" spans="1:12" x14ac:dyDescent="0.25">
      <c r="A30" s="3" t="s">
        <v>33</v>
      </c>
      <c r="B30" s="103" t="s">
        <v>2431</v>
      </c>
      <c r="C30" s="9" t="s">
        <v>567</v>
      </c>
      <c r="J30" s="102" t="s">
        <v>498</v>
      </c>
      <c r="K30" s="96" t="s">
        <v>498</v>
      </c>
      <c r="L30" s="96" t="s">
        <v>1497</v>
      </c>
    </row>
    <row r="31" spans="1:12" ht="26.25" x14ac:dyDescent="0.25">
      <c r="A31" s="8" t="s">
        <v>571</v>
      </c>
      <c r="B31" s="113" t="s">
        <v>572</v>
      </c>
      <c r="C31" s="9" t="s">
        <v>570</v>
      </c>
      <c r="J31" s="102" t="s">
        <v>495</v>
      </c>
      <c r="K31" s="96" t="s">
        <v>495</v>
      </c>
      <c r="L31" s="96" t="s">
        <v>1498</v>
      </c>
    </row>
    <row r="32" spans="1:12" ht="26.25" x14ac:dyDescent="0.25">
      <c r="A32" s="8" t="s">
        <v>574</v>
      </c>
      <c r="B32" s="113" t="s">
        <v>575</v>
      </c>
      <c r="C32" s="9" t="s">
        <v>573</v>
      </c>
      <c r="J32" s="102" t="s">
        <v>494</v>
      </c>
      <c r="K32" s="96" t="s">
        <v>494</v>
      </c>
      <c r="L32" s="96" t="s">
        <v>1499</v>
      </c>
    </row>
    <row r="33" spans="1:12" x14ac:dyDescent="0.25">
      <c r="A33" s="3" t="s">
        <v>32</v>
      </c>
      <c r="B33" s="103" t="s">
        <v>2430</v>
      </c>
      <c r="C33" s="9" t="s">
        <v>574</v>
      </c>
      <c r="J33" s="102" t="s">
        <v>1357</v>
      </c>
      <c r="K33" s="96" t="s">
        <v>1357</v>
      </c>
      <c r="L33" s="96" t="s">
        <v>1500</v>
      </c>
    </row>
    <row r="34" spans="1:12" x14ac:dyDescent="0.25">
      <c r="J34" s="102" t="s">
        <v>1358</v>
      </c>
      <c r="K34" s="96" t="s">
        <v>1358</v>
      </c>
      <c r="L34" s="96" t="s">
        <v>1501</v>
      </c>
    </row>
    <row r="35" spans="1:12" x14ac:dyDescent="0.25">
      <c r="J35" s="102" t="s">
        <v>505</v>
      </c>
      <c r="K35" s="96" t="s">
        <v>505</v>
      </c>
      <c r="L35" s="96" t="s">
        <v>1502</v>
      </c>
    </row>
    <row r="36" spans="1:12" x14ac:dyDescent="0.25">
      <c r="J36" s="102" t="s">
        <v>1359</v>
      </c>
      <c r="K36" s="96" t="s">
        <v>1359</v>
      </c>
      <c r="L36" s="96" t="s">
        <v>1503</v>
      </c>
    </row>
    <row r="37" spans="1:12" x14ac:dyDescent="0.25">
      <c r="K37" s="96" t="s">
        <v>1360</v>
      </c>
      <c r="L37" s="96" t="s">
        <v>1504</v>
      </c>
    </row>
    <row r="38" spans="1:12" x14ac:dyDescent="0.25">
      <c r="K38" s="96" t="s">
        <v>1361</v>
      </c>
      <c r="L38" s="96" t="s">
        <v>1505</v>
      </c>
    </row>
    <row r="39" spans="1:12" x14ac:dyDescent="0.25">
      <c r="K39" s="96" t="s">
        <v>1362</v>
      </c>
      <c r="L39" s="96" t="s">
        <v>1506</v>
      </c>
    </row>
    <row r="40" spans="1:12" x14ac:dyDescent="0.25">
      <c r="K40" s="96" t="s">
        <v>1363</v>
      </c>
      <c r="L40" s="96" t="s">
        <v>1507</v>
      </c>
    </row>
    <row r="41" spans="1:12" x14ac:dyDescent="0.25">
      <c r="K41" s="96" t="s">
        <v>1364</v>
      </c>
      <c r="L41" s="96" t="s">
        <v>1508</v>
      </c>
    </row>
    <row r="42" spans="1:12" x14ac:dyDescent="0.25">
      <c r="K42" s="96" t="s">
        <v>1365</v>
      </c>
      <c r="L42" s="96" t="s">
        <v>1509</v>
      </c>
    </row>
    <row r="43" spans="1:12" x14ac:dyDescent="0.25">
      <c r="K43" s="96" t="s">
        <v>1366</v>
      </c>
      <c r="L43" s="96" t="s">
        <v>1510</v>
      </c>
    </row>
    <row r="44" spans="1:12" x14ac:dyDescent="0.25">
      <c r="K44" s="96" t="s">
        <v>1367</v>
      </c>
      <c r="L44" s="96" t="s">
        <v>1511</v>
      </c>
    </row>
    <row r="45" spans="1:12" x14ac:dyDescent="0.25">
      <c r="K45" s="96" t="s">
        <v>1368</v>
      </c>
      <c r="L45" s="96" t="s">
        <v>1512</v>
      </c>
    </row>
    <row r="46" spans="1:12" x14ac:dyDescent="0.25">
      <c r="K46" s="96" t="s">
        <v>1369</v>
      </c>
      <c r="L46" s="96" t="s">
        <v>1513</v>
      </c>
    </row>
    <row r="47" spans="1:12" x14ac:dyDescent="0.25">
      <c r="K47" s="96" t="s">
        <v>1370</v>
      </c>
      <c r="L47" s="96" t="s">
        <v>1514</v>
      </c>
    </row>
    <row r="48" spans="1:12" x14ac:dyDescent="0.25">
      <c r="K48" s="96" t="s">
        <v>1371</v>
      </c>
      <c r="L48" s="96" t="s">
        <v>1515</v>
      </c>
    </row>
    <row r="49" spans="11:12" x14ac:dyDescent="0.25">
      <c r="K49" s="96" t="s">
        <v>1372</v>
      </c>
      <c r="L49" s="96" t="s">
        <v>1516</v>
      </c>
    </row>
    <row r="50" spans="11:12" x14ac:dyDescent="0.25">
      <c r="K50" s="96" t="s">
        <v>1373</v>
      </c>
      <c r="L50" s="96" t="s">
        <v>1517</v>
      </c>
    </row>
    <row r="51" spans="11:12" x14ac:dyDescent="0.25">
      <c r="K51" s="96" t="s">
        <v>1374</v>
      </c>
      <c r="L51" s="96" t="s">
        <v>1518</v>
      </c>
    </row>
    <row r="52" spans="11:12" x14ac:dyDescent="0.25">
      <c r="K52" s="96" t="s">
        <v>1375</v>
      </c>
      <c r="L52" s="96" t="s">
        <v>1519</v>
      </c>
    </row>
    <row r="53" spans="11:12" x14ac:dyDescent="0.25">
      <c r="K53" s="96" t="s">
        <v>1376</v>
      </c>
      <c r="L53" s="96" t="s">
        <v>1520</v>
      </c>
    </row>
    <row r="54" spans="11:12" x14ac:dyDescent="0.25">
      <c r="K54" s="96" t="s">
        <v>1377</v>
      </c>
      <c r="L54" s="96" t="s">
        <v>1521</v>
      </c>
    </row>
    <row r="55" spans="11:12" x14ac:dyDescent="0.25">
      <c r="K55" s="96" t="s">
        <v>1378</v>
      </c>
      <c r="L55" s="96" t="s">
        <v>1522</v>
      </c>
    </row>
    <row r="56" spans="11:12" x14ac:dyDescent="0.25">
      <c r="K56" s="96" t="s">
        <v>1379</v>
      </c>
      <c r="L56" s="96" t="s">
        <v>1523</v>
      </c>
    </row>
    <row r="57" spans="11:12" x14ac:dyDescent="0.25">
      <c r="K57" s="96" t="s">
        <v>1380</v>
      </c>
      <c r="L57" s="96" t="s">
        <v>1524</v>
      </c>
    </row>
    <row r="58" spans="11:12" x14ac:dyDescent="0.25">
      <c r="K58" s="96" t="s">
        <v>1381</v>
      </c>
      <c r="L58" s="96" t="s">
        <v>1525</v>
      </c>
    </row>
    <row r="59" spans="11:12" x14ac:dyDescent="0.25">
      <c r="K59" s="96" t="s">
        <v>1382</v>
      </c>
      <c r="L59" s="96" t="s">
        <v>1526</v>
      </c>
    </row>
    <row r="60" spans="11:12" x14ac:dyDescent="0.25">
      <c r="K60" s="96" t="s">
        <v>1383</v>
      </c>
      <c r="L60" s="96" t="s">
        <v>1527</v>
      </c>
    </row>
    <row r="61" spans="11:12" x14ac:dyDescent="0.25">
      <c r="K61" s="96" t="s">
        <v>1384</v>
      </c>
      <c r="L61" s="96" t="s">
        <v>1528</v>
      </c>
    </row>
    <row r="62" spans="11:12" x14ac:dyDescent="0.25">
      <c r="K62" s="96" t="s">
        <v>1385</v>
      </c>
      <c r="L62" s="96" t="s">
        <v>1529</v>
      </c>
    </row>
    <row r="63" spans="11:12" x14ac:dyDescent="0.25">
      <c r="K63" s="96" t="s">
        <v>1386</v>
      </c>
      <c r="L63" s="96" t="s">
        <v>1530</v>
      </c>
    </row>
    <row r="64" spans="11:12" x14ac:dyDescent="0.25">
      <c r="K64" s="96" t="s">
        <v>1387</v>
      </c>
      <c r="L64" s="96" t="s">
        <v>1531</v>
      </c>
    </row>
    <row r="65" spans="11:12" x14ac:dyDescent="0.25">
      <c r="K65" s="96" t="s">
        <v>1388</v>
      </c>
      <c r="L65" s="96" t="s">
        <v>1532</v>
      </c>
    </row>
    <row r="66" spans="11:12" x14ac:dyDescent="0.25">
      <c r="K66" s="96" t="s">
        <v>1389</v>
      </c>
      <c r="L66" s="96" t="s">
        <v>1533</v>
      </c>
    </row>
    <row r="67" spans="11:12" x14ac:dyDescent="0.25">
      <c r="K67" s="96" t="s">
        <v>1390</v>
      </c>
      <c r="L67" s="96" t="s">
        <v>1534</v>
      </c>
    </row>
    <row r="68" spans="11:12" x14ac:dyDescent="0.25">
      <c r="K68" s="96" t="s">
        <v>1391</v>
      </c>
      <c r="L68" s="96" t="s">
        <v>1535</v>
      </c>
    </row>
    <row r="69" spans="11:12" x14ac:dyDescent="0.25">
      <c r="K69" s="96" t="s">
        <v>1392</v>
      </c>
      <c r="L69" s="96" t="s">
        <v>1536</v>
      </c>
    </row>
    <row r="70" spans="11:12" x14ac:dyDescent="0.25">
      <c r="K70" s="96" t="s">
        <v>1393</v>
      </c>
      <c r="L70" s="96" t="s">
        <v>1537</v>
      </c>
    </row>
    <row r="71" spans="11:12" x14ac:dyDescent="0.25">
      <c r="K71" s="96" t="s">
        <v>1394</v>
      </c>
      <c r="L71" s="96" t="s">
        <v>1538</v>
      </c>
    </row>
    <row r="72" spans="11:12" x14ac:dyDescent="0.25">
      <c r="K72" s="96" t="s">
        <v>1395</v>
      </c>
      <c r="L72" s="96" t="s">
        <v>1539</v>
      </c>
    </row>
    <row r="73" spans="11:12" x14ac:dyDescent="0.25">
      <c r="K73" s="96" t="s">
        <v>1396</v>
      </c>
      <c r="L73" s="96" t="s">
        <v>1540</v>
      </c>
    </row>
    <row r="74" spans="11:12" x14ac:dyDescent="0.25">
      <c r="K74" s="96" t="s">
        <v>1397</v>
      </c>
      <c r="L74" s="96" t="s">
        <v>1541</v>
      </c>
    </row>
    <row r="75" spans="11:12" x14ac:dyDescent="0.25">
      <c r="K75" s="96" t="s">
        <v>1398</v>
      </c>
      <c r="L75" s="96" t="s">
        <v>1542</v>
      </c>
    </row>
    <row r="76" spans="11:12" x14ac:dyDescent="0.25">
      <c r="K76" s="96" t="s">
        <v>1399</v>
      </c>
      <c r="L76" s="96" t="s">
        <v>1543</v>
      </c>
    </row>
    <row r="77" spans="11:12" x14ac:dyDescent="0.25">
      <c r="K77" s="96" t="s">
        <v>1400</v>
      </c>
      <c r="L77" s="96" t="s">
        <v>1544</v>
      </c>
    </row>
    <row r="78" spans="11:12" x14ac:dyDescent="0.25">
      <c r="K78" s="96" t="s">
        <v>1401</v>
      </c>
      <c r="L78" s="96" t="s">
        <v>1545</v>
      </c>
    </row>
    <row r="79" spans="11:12" x14ac:dyDescent="0.25">
      <c r="K79" s="96" t="s">
        <v>1402</v>
      </c>
      <c r="L79" s="96" t="s">
        <v>1546</v>
      </c>
    </row>
    <row r="80" spans="11:12" x14ac:dyDescent="0.25">
      <c r="K80" s="96" t="s">
        <v>1403</v>
      </c>
      <c r="L80" s="96" t="s">
        <v>1547</v>
      </c>
    </row>
    <row r="81" spans="11:12" x14ac:dyDescent="0.25">
      <c r="K81" s="96" t="s">
        <v>1404</v>
      </c>
      <c r="L81" s="96" t="s">
        <v>1548</v>
      </c>
    </row>
    <row r="82" spans="11:12" x14ac:dyDescent="0.25">
      <c r="K82" s="96" t="s">
        <v>1405</v>
      </c>
      <c r="L82" s="96" t="s">
        <v>1549</v>
      </c>
    </row>
    <row r="83" spans="11:12" x14ac:dyDescent="0.25">
      <c r="K83" s="96" t="s">
        <v>1406</v>
      </c>
      <c r="L83" s="96" t="s">
        <v>1550</v>
      </c>
    </row>
    <row r="84" spans="11:12" x14ac:dyDescent="0.25">
      <c r="K84" s="96" t="s">
        <v>1407</v>
      </c>
      <c r="L84" s="96" t="s">
        <v>1551</v>
      </c>
    </row>
    <row r="85" spans="11:12" x14ac:dyDescent="0.25">
      <c r="K85" s="96" t="s">
        <v>1408</v>
      </c>
      <c r="L85" s="96" t="s">
        <v>1552</v>
      </c>
    </row>
    <row r="86" spans="11:12" x14ac:dyDescent="0.25">
      <c r="K86" s="96" t="s">
        <v>1409</v>
      </c>
      <c r="L86" s="96" t="s">
        <v>1553</v>
      </c>
    </row>
    <row r="87" spans="11:12" x14ac:dyDescent="0.25">
      <c r="K87" s="96" t="s">
        <v>1410</v>
      </c>
      <c r="L87" s="96" t="s">
        <v>1554</v>
      </c>
    </row>
    <row r="88" spans="11:12" x14ac:dyDescent="0.25">
      <c r="K88" s="96" t="s">
        <v>1411</v>
      </c>
      <c r="L88" s="96" t="s">
        <v>1555</v>
      </c>
    </row>
    <row r="89" spans="11:12" x14ac:dyDescent="0.25">
      <c r="K89" s="96" t="s">
        <v>1412</v>
      </c>
      <c r="L89" s="96" t="s">
        <v>1556</v>
      </c>
    </row>
    <row r="90" spans="11:12" x14ac:dyDescent="0.25">
      <c r="K90" s="96" t="s">
        <v>1413</v>
      </c>
      <c r="L90" s="96" t="s">
        <v>1557</v>
      </c>
    </row>
    <row r="91" spans="11:12" x14ac:dyDescent="0.25">
      <c r="K91" s="96" t="s">
        <v>1414</v>
      </c>
      <c r="L91" s="96" t="s">
        <v>1558</v>
      </c>
    </row>
    <row r="92" spans="11:12" x14ac:dyDescent="0.25">
      <c r="K92" s="96" t="s">
        <v>1415</v>
      </c>
      <c r="L92" s="96" t="s">
        <v>1559</v>
      </c>
    </row>
    <row r="93" spans="11:12" x14ac:dyDescent="0.25">
      <c r="K93" s="96" t="s">
        <v>1416</v>
      </c>
      <c r="L93" s="96" t="s">
        <v>1560</v>
      </c>
    </row>
    <row r="94" spans="11:12" x14ac:dyDescent="0.25">
      <c r="K94" s="96" t="s">
        <v>1417</v>
      </c>
      <c r="L94" s="96" t="s">
        <v>1561</v>
      </c>
    </row>
    <row r="95" spans="11:12" x14ac:dyDescent="0.25">
      <c r="K95" s="96" t="s">
        <v>1418</v>
      </c>
      <c r="L95" s="96" t="s">
        <v>1562</v>
      </c>
    </row>
    <row r="96" spans="11:12" x14ac:dyDescent="0.25">
      <c r="K96" s="96" t="s">
        <v>1419</v>
      </c>
      <c r="L96" s="96" t="s">
        <v>1563</v>
      </c>
    </row>
    <row r="97" spans="11:12" x14ac:dyDescent="0.25">
      <c r="K97" s="96" t="s">
        <v>1420</v>
      </c>
      <c r="L97" s="96" t="s">
        <v>1564</v>
      </c>
    </row>
    <row r="98" spans="11:12" x14ac:dyDescent="0.25">
      <c r="K98" s="96" t="s">
        <v>1421</v>
      </c>
      <c r="L98" s="96" t="s">
        <v>1565</v>
      </c>
    </row>
    <row r="99" spans="11:12" x14ac:dyDescent="0.25">
      <c r="K99" s="96" t="s">
        <v>1422</v>
      </c>
      <c r="L99" s="96" t="s">
        <v>1566</v>
      </c>
    </row>
    <row r="100" spans="11:12" x14ac:dyDescent="0.25">
      <c r="K100" s="96" t="s">
        <v>1423</v>
      </c>
      <c r="L100" s="96" t="s">
        <v>1567</v>
      </c>
    </row>
    <row r="101" spans="11:12" x14ac:dyDescent="0.25">
      <c r="L101" s="96" t="s">
        <v>1424</v>
      </c>
    </row>
    <row r="102" spans="11:12" x14ac:dyDescent="0.25">
      <c r="L102" s="96" t="s">
        <v>1425</v>
      </c>
    </row>
    <row r="103" spans="11:12" x14ac:dyDescent="0.25">
      <c r="L103" s="96" t="s">
        <v>1426</v>
      </c>
    </row>
    <row r="104" spans="11:12" x14ac:dyDescent="0.25">
      <c r="L104" s="96" t="s">
        <v>1427</v>
      </c>
    </row>
    <row r="105" spans="11:12" x14ac:dyDescent="0.25">
      <c r="L105" s="96" t="s">
        <v>1428</v>
      </c>
    </row>
    <row r="106" spans="11:12" x14ac:dyDescent="0.25">
      <c r="L106" s="96" t="s">
        <v>1429</v>
      </c>
    </row>
    <row r="107" spans="11:12" x14ac:dyDescent="0.25">
      <c r="L107" s="96" t="s">
        <v>1430</v>
      </c>
    </row>
    <row r="108" spans="11:12" x14ac:dyDescent="0.25">
      <c r="L108" s="96" t="s">
        <v>1431</v>
      </c>
    </row>
    <row r="109" spans="11:12" x14ac:dyDescent="0.25">
      <c r="L109" s="96" t="s">
        <v>1432</v>
      </c>
    </row>
    <row r="110" spans="11:12" x14ac:dyDescent="0.25">
      <c r="L110" s="96" t="s">
        <v>1433</v>
      </c>
    </row>
    <row r="111" spans="11:12" x14ac:dyDescent="0.25">
      <c r="L111" s="96" t="s">
        <v>1434</v>
      </c>
    </row>
    <row r="112" spans="11:12" x14ac:dyDescent="0.25">
      <c r="L112" s="96" t="s">
        <v>1435</v>
      </c>
    </row>
    <row r="113" spans="12:12" x14ac:dyDescent="0.25">
      <c r="L113" s="96" t="s">
        <v>1436</v>
      </c>
    </row>
    <row r="114" spans="12:12" x14ac:dyDescent="0.25">
      <c r="L114" s="96" t="s">
        <v>1437</v>
      </c>
    </row>
    <row r="115" spans="12:12" x14ac:dyDescent="0.25">
      <c r="L115" s="96" t="s">
        <v>1438</v>
      </c>
    </row>
    <row r="116" spans="12:12" x14ac:dyDescent="0.25">
      <c r="L116" s="96" t="s">
        <v>1439</v>
      </c>
    </row>
    <row r="117" spans="12:12" x14ac:dyDescent="0.25">
      <c r="L117" s="96" t="s">
        <v>1440</v>
      </c>
    </row>
    <row r="118" spans="12:12" x14ac:dyDescent="0.25">
      <c r="L118" s="96" t="s">
        <v>1441</v>
      </c>
    </row>
    <row r="119" spans="12:12" x14ac:dyDescent="0.25">
      <c r="L119" s="96" t="s">
        <v>1442</v>
      </c>
    </row>
    <row r="120" spans="12:12" x14ac:dyDescent="0.25">
      <c r="L120" s="96" t="s">
        <v>1443</v>
      </c>
    </row>
    <row r="121" spans="12:12" x14ac:dyDescent="0.25">
      <c r="L121" s="96" t="s">
        <v>1444</v>
      </c>
    </row>
    <row r="122" spans="12:12" x14ac:dyDescent="0.25">
      <c r="L122" s="96" t="s">
        <v>1445</v>
      </c>
    </row>
    <row r="123" spans="12:12" x14ac:dyDescent="0.25">
      <c r="L123" s="96" t="s">
        <v>1446</v>
      </c>
    </row>
    <row r="124" spans="12:12" x14ac:dyDescent="0.25">
      <c r="L124" s="96" t="s">
        <v>1447</v>
      </c>
    </row>
    <row r="125" spans="12:12" x14ac:dyDescent="0.25">
      <c r="L125" s="96" t="s">
        <v>1448</v>
      </c>
    </row>
    <row r="126" spans="12:12" x14ac:dyDescent="0.25">
      <c r="L126" s="96" t="s">
        <v>1449</v>
      </c>
    </row>
    <row r="127" spans="12:12" x14ac:dyDescent="0.25">
      <c r="L127" s="96" t="s">
        <v>1450</v>
      </c>
    </row>
    <row r="128" spans="12:12" x14ac:dyDescent="0.25">
      <c r="L128" s="96" t="s">
        <v>1451</v>
      </c>
    </row>
    <row r="129" spans="12:12" x14ac:dyDescent="0.25">
      <c r="L129" s="96" t="s">
        <v>1452</v>
      </c>
    </row>
    <row r="130" spans="12:12" x14ac:dyDescent="0.25">
      <c r="L130" s="96" t="s">
        <v>1453</v>
      </c>
    </row>
    <row r="131" spans="12:12" x14ac:dyDescent="0.25">
      <c r="L131" s="96" t="s">
        <v>1454</v>
      </c>
    </row>
    <row r="132" spans="12:12" x14ac:dyDescent="0.25">
      <c r="L132" s="96" t="s">
        <v>1455</v>
      </c>
    </row>
    <row r="133" spans="12:12" x14ac:dyDescent="0.25">
      <c r="L133" s="96" t="s">
        <v>1456</v>
      </c>
    </row>
    <row r="134" spans="12:12" x14ac:dyDescent="0.25">
      <c r="L134" s="96" t="s">
        <v>1457</v>
      </c>
    </row>
    <row r="135" spans="12:12" x14ac:dyDescent="0.25">
      <c r="L135" s="96" t="s">
        <v>1458</v>
      </c>
    </row>
    <row r="136" spans="12:12" x14ac:dyDescent="0.25">
      <c r="L136" s="96" t="s">
        <v>1459</v>
      </c>
    </row>
    <row r="137" spans="12:12" x14ac:dyDescent="0.25">
      <c r="L137" s="96" t="s">
        <v>1460</v>
      </c>
    </row>
    <row r="138" spans="12:12" x14ac:dyDescent="0.25">
      <c r="L138" s="96" t="s">
        <v>1461</v>
      </c>
    </row>
    <row r="139" spans="12:12" x14ac:dyDescent="0.25">
      <c r="L139" s="96" t="s">
        <v>1462</v>
      </c>
    </row>
    <row r="140" spans="12:12" x14ac:dyDescent="0.25">
      <c r="L140" s="96" t="s">
        <v>1463</v>
      </c>
    </row>
    <row r="141" spans="12:12" x14ac:dyDescent="0.25">
      <c r="L141" s="96" t="s">
        <v>1464</v>
      </c>
    </row>
    <row r="142" spans="12:12" x14ac:dyDescent="0.25">
      <c r="L142" s="96" t="s">
        <v>1465</v>
      </c>
    </row>
    <row r="143" spans="12:12" x14ac:dyDescent="0.25">
      <c r="L143" s="96" t="s">
        <v>1466</v>
      </c>
    </row>
    <row r="144" spans="12:12" x14ac:dyDescent="0.25">
      <c r="L144" s="96" t="s">
        <v>1467</v>
      </c>
    </row>
    <row r="145" spans="12:12" x14ac:dyDescent="0.25">
      <c r="L145" s="96" t="s">
        <v>1468</v>
      </c>
    </row>
    <row r="146" spans="12:12" x14ac:dyDescent="0.25">
      <c r="L146" s="96" t="s">
        <v>1469</v>
      </c>
    </row>
    <row r="147" spans="12:12" x14ac:dyDescent="0.25">
      <c r="L147" s="96" t="s">
        <v>1470</v>
      </c>
    </row>
    <row r="148" spans="12:12" x14ac:dyDescent="0.25">
      <c r="L148" s="96" t="s">
        <v>1471</v>
      </c>
    </row>
    <row r="149" spans="12:12" x14ac:dyDescent="0.25">
      <c r="L149" s="96" t="s">
        <v>1472</v>
      </c>
    </row>
    <row r="150" spans="12:12" x14ac:dyDescent="0.25">
      <c r="L150" s="96" t="s">
        <v>1473</v>
      </c>
    </row>
    <row r="151" spans="12:12" x14ac:dyDescent="0.25">
      <c r="L151" s="96" t="s">
        <v>1474</v>
      </c>
    </row>
    <row r="152" spans="12:12" x14ac:dyDescent="0.25">
      <c r="L152" s="96" t="s">
        <v>1475</v>
      </c>
    </row>
    <row r="153" spans="12:12" x14ac:dyDescent="0.25">
      <c r="L153" s="96" t="s">
        <v>1476</v>
      </c>
    </row>
    <row r="154" spans="12:12" x14ac:dyDescent="0.25">
      <c r="L154" s="96" t="s">
        <v>1477</v>
      </c>
    </row>
    <row r="155" spans="12:12" x14ac:dyDescent="0.25">
      <c r="L155" s="96" t="s">
        <v>1478</v>
      </c>
    </row>
    <row r="156" spans="12:12" x14ac:dyDescent="0.25">
      <c r="L156" s="96" t="s">
        <v>1479</v>
      </c>
    </row>
    <row r="157" spans="12:12" x14ac:dyDescent="0.25">
      <c r="L157" s="96" t="s">
        <v>1480</v>
      </c>
    </row>
    <row r="158" spans="12:12" x14ac:dyDescent="0.25">
      <c r="L158" s="96" t="s">
        <v>1568</v>
      </c>
    </row>
    <row r="159" spans="12:12" x14ac:dyDescent="0.25">
      <c r="L159" s="96" t="s">
        <v>1569</v>
      </c>
    </row>
    <row r="160" spans="12:12" x14ac:dyDescent="0.25">
      <c r="L160" s="96" t="s">
        <v>1570</v>
      </c>
    </row>
    <row r="161" spans="12:12" x14ac:dyDescent="0.25">
      <c r="L161" s="96" t="s">
        <v>1571</v>
      </c>
    </row>
    <row r="162" spans="12:12" x14ac:dyDescent="0.25">
      <c r="L162" s="96" t="s">
        <v>1572</v>
      </c>
    </row>
    <row r="163" spans="12:12" x14ac:dyDescent="0.25">
      <c r="L163" s="96" t="s">
        <v>1573</v>
      </c>
    </row>
    <row r="164" spans="12:12" x14ac:dyDescent="0.25">
      <c r="L164" s="96" t="s">
        <v>1574</v>
      </c>
    </row>
    <row r="165" spans="12:12" x14ac:dyDescent="0.25">
      <c r="L165" s="96" t="s">
        <v>1575</v>
      </c>
    </row>
    <row r="166" spans="12:12" x14ac:dyDescent="0.25">
      <c r="L166" s="96" t="s">
        <v>1576</v>
      </c>
    </row>
    <row r="167" spans="12:12" x14ac:dyDescent="0.25">
      <c r="L167" s="96" t="s">
        <v>1577</v>
      </c>
    </row>
    <row r="168" spans="12:12" x14ac:dyDescent="0.25">
      <c r="L168" s="96" t="s">
        <v>1578</v>
      </c>
    </row>
    <row r="169" spans="12:12" x14ac:dyDescent="0.25">
      <c r="L169" s="96" t="s">
        <v>1579</v>
      </c>
    </row>
    <row r="170" spans="12:12" x14ac:dyDescent="0.25">
      <c r="L170" s="96" t="s">
        <v>1580</v>
      </c>
    </row>
    <row r="171" spans="12:12" x14ac:dyDescent="0.25">
      <c r="L171" s="96" t="s">
        <v>1581</v>
      </c>
    </row>
    <row r="172" spans="12:12" x14ac:dyDescent="0.25">
      <c r="L172" s="96" t="s">
        <v>1582</v>
      </c>
    </row>
    <row r="173" spans="12:12" x14ac:dyDescent="0.25">
      <c r="L173" s="96" t="s">
        <v>1583</v>
      </c>
    </row>
    <row r="174" spans="12:12" x14ac:dyDescent="0.25">
      <c r="L174" s="96" t="s">
        <v>1584</v>
      </c>
    </row>
    <row r="175" spans="12:12" x14ac:dyDescent="0.25">
      <c r="L175" s="96" t="s">
        <v>1585</v>
      </c>
    </row>
    <row r="176" spans="12:12" x14ac:dyDescent="0.25">
      <c r="L176" s="96" t="s">
        <v>1586</v>
      </c>
    </row>
    <row r="177" spans="12:12" x14ac:dyDescent="0.25">
      <c r="L177" s="96" t="s">
        <v>1587</v>
      </c>
    </row>
    <row r="178" spans="12:12" x14ac:dyDescent="0.25">
      <c r="L178" s="96" t="s">
        <v>1588</v>
      </c>
    </row>
    <row r="179" spans="12:12" x14ac:dyDescent="0.25">
      <c r="L179" s="96" t="s">
        <v>1589</v>
      </c>
    </row>
    <row r="180" spans="12:12" x14ac:dyDescent="0.25">
      <c r="L180" s="96" t="s">
        <v>1590</v>
      </c>
    </row>
    <row r="181" spans="12:12" x14ac:dyDescent="0.25">
      <c r="L181" s="96" t="s">
        <v>1591</v>
      </c>
    </row>
    <row r="182" spans="12:12" x14ac:dyDescent="0.25">
      <c r="L182" s="96" t="s">
        <v>1592</v>
      </c>
    </row>
    <row r="183" spans="12:12" x14ac:dyDescent="0.25">
      <c r="L183" s="96" t="s">
        <v>1593</v>
      </c>
    </row>
    <row r="184" spans="12:12" x14ac:dyDescent="0.25">
      <c r="L184" s="96" t="s">
        <v>1594</v>
      </c>
    </row>
    <row r="185" spans="12:12" x14ac:dyDescent="0.25">
      <c r="L185" s="96" t="s">
        <v>1595</v>
      </c>
    </row>
    <row r="186" spans="12:12" x14ac:dyDescent="0.25">
      <c r="L186" s="96" t="s">
        <v>1596</v>
      </c>
    </row>
    <row r="187" spans="12:12" x14ac:dyDescent="0.25">
      <c r="L187" s="96" t="s">
        <v>1597</v>
      </c>
    </row>
    <row r="188" spans="12:12" x14ac:dyDescent="0.25">
      <c r="L188" s="96" t="s">
        <v>1598</v>
      </c>
    </row>
    <row r="189" spans="12:12" x14ac:dyDescent="0.25">
      <c r="L189" s="96" t="s">
        <v>1599</v>
      </c>
    </row>
    <row r="190" spans="12:12" x14ac:dyDescent="0.25">
      <c r="L190" s="96" t="s">
        <v>1600</v>
      </c>
    </row>
    <row r="191" spans="12:12" x14ac:dyDescent="0.25">
      <c r="L191" s="96" t="s">
        <v>1601</v>
      </c>
    </row>
    <row r="192" spans="12:12" x14ac:dyDescent="0.25">
      <c r="L192" s="96" t="s">
        <v>1602</v>
      </c>
    </row>
    <row r="193" spans="12:12" x14ac:dyDescent="0.25">
      <c r="L193" s="96" t="s">
        <v>1603</v>
      </c>
    </row>
    <row r="194" spans="12:12" x14ac:dyDescent="0.25">
      <c r="L194" s="96" t="s">
        <v>1604</v>
      </c>
    </row>
    <row r="195" spans="12:12" x14ac:dyDescent="0.25">
      <c r="L195" s="96" t="s">
        <v>1605</v>
      </c>
    </row>
    <row r="196" spans="12:12" x14ac:dyDescent="0.25">
      <c r="L196" s="96" t="s">
        <v>1606</v>
      </c>
    </row>
    <row r="197" spans="12:12" x14ac:dyDescent="0.25">
      <c r="L197" s="96" t="s">
        <v>1607</v>
      </c>
    </row>
    <row r="198" spans="12:12" x14ac:dyDescent="0.25">
      <c r="L198" s="96" t="s">
        <v>1608</v>
      </c>
    </row>
    <row r="199" spans="12:12" x14ac:dyDescent="0.25">
      <c r="L199" s="96" t="s">
        <v>1609</v>
      </c>
    </row>
    <row r="200" spans="12:12" x14ac:dyDescent="0.25">
      <c r="L200" s="96" t="s">
        <v>1610</v>
      </c>
    </row>
    <row r="201" spans="12:12" x14ac:dyDescent="0.25">
      <c r="L201" s="96" t="s">
        <v>1611</v>
      </c>
    </row>
    <row r="202" spans="12:12" x14ac:dyDescent="0.25">
      <c r="L202" s="96" t="s">
        <v>1612</v>
      </c>
    </row>
    <row r="203" spans="12:12" x14ac:dyDescent="0.25">
      <c r="L203" s="96" t="s">
        <v>1613</v>
      </c>
    </row>
    <row r="204" spans="12:12" x14ac:dyDescent="0.25">
      <c r="L204" s="96" t="s">
        <v>1614</v>
      </c>
    </row>
    <row r="205" spans="12:12" x14ac:dyDescent="0.25">
      <c r="L205" s="96" t="s">
        <v>1615</v>
      </c>
    </row>
    <row r="206" spans="12:12" x14ac:dyDescent="0.25">
      <c r="L206" s="96" t="s">
        <v>1616</v>
      </c>
    </row>
    <row r="207" spans="12:12" x14ac:dyDescent="0.25">
      <c r="L207" s="96" t="s">
        <v>1617</v>
      </c>
    </row>
    <row r="208" spans="12:12" x14ac:dyDescent="0.25">
      <c r="L208" s="96" t="s">
        <v>1618</v>
      </c>
    </row>
    <row r="209" spans="12:12" x14ac:dyDescent="0.25">
      <c r="L209" s="96" t="s">
        <v>1619</v>
      </c>
    </row>
    <row r="210" spans="12:12" x14ac:dyDescent="0.25">
      <c r="L210" s="96" t="s">
        <v>1620</v>
      </c>
    </row>
    <row r="211" spans="12:12" x14ac:dyDescent="0.25">
      <c r="L211" s="96" t="s">
        <v>1621</v>
      </c>
    </row>
    <row r="212" spans="12:12" x14ac:dyDescent="0.25">
      <c r="L212" s="96" t="s">
        <v>1622</v>
      </c>
    </row>
    <row r="213" spans="12:12" x14ac:dyDescent="0.25">
      <c r="L213" s="96" t="s">
        <v>1623</v>
      </c>
    </row>
    <row r="214" spans="12:12" x14ac:dyDescent="0.25">
      <c r="L214" s="96" t="s">
        <v>1624</v>
      </c>
    </row>
    <row r="215" spans="12:12" x14ac:dyDescent="0.25">
      <c r="L215" s="96" t="s">
        <v>1625</v>
      </c>
    </row>
    <row r="216" spans="12:12" x14ac:dyDescent="0.25">
      <c r="L216" s="96" t="s">
        <v>1626</v>
      </c>
    </row>
    <row r="217" spans="12:12" x14ac:dyDescent="0.25">
      <c r="L217" s="96" t="s">
        <v>1627</v>
      </c>
    </row>
    <row r="218" spans="12:12" x14ac:dyDescent="0.25">
      <c r="L218" s="96" t="s">
        <v>1628</v>
      </c>
    </row>
    <row r="219" spans="12:12" x14ac:dyDescent="0.25">
      <c r="L219" s="96" t="s">
        <v>1629</v>
      </c>
    </row>
    <row r="220" spans="12:12" x14ac:dyDescent="0.25">
      <c r="L220" s="96" t="s">
        <v>1630</v>
      </c>
    </row>
    <row r="221" spans="12:12" x14ac:dyDescent="0.25">
      <c r="L221" s="96" t="s">
        <v>1488</v>
      </c>
    </row>
    <row r="222" spans="12:12" x14ac:dyDescent="0.25">
      <c r="L222" s="96" t="s">
        <v>1489</v>
      </c>
    </row>
    <row r="223" spans="12:12" x14ac:dyDescent="0.25">
      <c r="L223" s="96" t="s">
        <v>1490</v>
      </c>
    </row>
    <row r="224" spans="12:12" x14ac:dyDescent="0.25">
      <c r="L224" s="96" t="s">
        <v>1491</v>
      </c>
    </row>
    <row r="225" spans="12:12" x14ac:dyDescent="0.25">
      <c r="L225" s="96" t="s">
        <v>1492</v>
      </c>
    </row>
    <row r="226" spans="12:12" x14ac:dyDescent="0.25">
      <c r="L226" s="96" t="s">
        <v>1493</v>
      </c>
    </row>
    <row r="227" spans="12:12" x14ac:dyDescent="0.25">
      <c r="L227" s="96" t="s">
        <v>1494</v>
      </c>
    </row>
    <row r="228" spans="12:12" x14ac:dyDescent="0.25">
      <c r="L228" s="96" t="s">
        <v>1495</v>
      </c>
    </row>
    <row r="229" spans="12:12" x14ac:dyDescent="0.25">
      <c r="L229" s="96" t="s">
        <v>1496</v>
      </c>
    </row>
    <row r="230" spans="12:12" x14ac:dyDescent="0.25">
      <c r="L230" s="96" t="s">
        <v>1631</v>
      </c>
    </row>
    <row r="231" spans="12:12" x14ac:dyDescent="0.25">
      <c r="L231" s="96" t="s">
        <v>1632</v>
      </c>
    </row>
    <row r="232" spans="12:12" x14ac:dyDescent="0.25">
      <c r="L232" s="96" t="s">
        <v>1633</v>
      </c>
    </row>
    <row r="233" spans="12:12" x14ac:dyDescent="0.25">
      <c r="L233" s="96" t="s">
        <v>1634</v>
      </c>
    </row>
    <row r="234" spans="12:12" x14ac:dyDescent="0.25">
      <c r="L234" s="96" t="s">
        <v>1635</v>
      </c>
    </row>
    <row r="235" spans="12:12" x14ac:dyDescent="0.25">
      <c r="L235" s="96" t="s">
        <v>1636</v>
      </c>
    </row>
    <row r="236" spans="12:12" x14ac:dyDescent="0.25">
      <c r="L236" s="96" t="s">
        <v>1637</v>
      </c>
    </row>
    <row r="237" spans="12:12" x14ac:dyDescent="0.25">
      <c r="L237" s="96" t="s">
        <v>1638</v>
      </c>
    </row>
    <row r="238" spans="12:12" x14ac:dyDescent="0.25">
      <c r="L238" s="96" t="s">
        <v>1639</v>
      </c>
    </row>
    <row r="239" spans="12:12" x14ac:dyDescent="0.25">
      <c r="L239" s="96" t="s">
        <v>1640</v>
      </c>
    </row>
    <row r="240" spans="12:12" x14ac:dyDescent="0.25">
      <c r="L240" s="96" t="s">
        <v>1641</v>
      </c>
    </row>
    <row r="241" spans="12:12" x14ac:dyDescent="0.25">
      <c r="L241" s="96" t="s">
        <v>1642</v>
      </c>
    </row>
    <row r="242" spans="12:12" x14ac:dyDescent="0.25">
      <c r="L242" s="96" t="s">
        <v>1643</v>
      </c>
    </row>
    <row r="243" spans="12:12" x14ac:dyDescent="0.25">
      <c r="L243" s="96" t="s">
        <v>1644</v>
      </c>
    </row>
    <row r="244" spans="12:12" x14ac:dyDescent="0.25">
      <c r="L244" s="96" t="s">
        <v>1645</v>
      </c>
    </row>
    <row r="245" spans="12:12" x14ac:dyDescent="0.25">
      <c r="L245" s="96" t="s">
        <v>1646</v>
      </c>
    </row>
    <row r="246" spans="12:12" x14ac:dyDescent="0.25">
      <c r="L246" s="96" t="s">
        <v>1647</v>
      </c>
    </row>
    <row r="247" spans="12:12" x14ac:dyDescent="0.25">
      <c r="L247" s="96" t="s">
        <v>1648</v>
      </c>
    </row>
    <row r="248" spans="12:12" x14ac:dyDescent="0.25">
      <c r="L248" s="96" t="s">
        <v>1649</v>
      </c>
    </row>
    <row r="249" spans="12:12" x14ac:dyDescent="0.25">
      <c r="L249" s="96" t="s">
        <v>1650</v>
      </c>
    </row>
    <row r="250" spans="12:12" x14ac:dyDescent="0.25">
      <c r="L250" s="96" t="s">
        <v>1651</v>
      </c>
    </row>
    <row r="251" spans="12:12" x14ac:dyDescent="0.25">
      <c r="L251" s="96" t="s">
        <v>1652</v>
      </c>
    </row>
    <row r="252" spans="12:12" x14ac:dyDescent="0.25">
      <c r="L252" s="96" t="s">
        <v>1653</v>
      </c>
    </row>
    <row r="253" spans="12:12" x14ac:dyDescent="0.25">
      <c r="L253" s="96" t="s">
        <v>1654</v>
      </c>
    </row>
    <row r="254" spans="12:12" x14ac:dyDescent="0.25">
      <c r="L254" s="96" t="s">
        <v>1655</v>
      </c>
    </row>
    <row r="255" spans="12:12" x14ac:dyDescent="0.25">
      <c r="L255" s="96" t="s">
        <v>1656</v>
      </c>
    </row>
    <row r="256" spans="12:12" x14ac:dyDescent="0.25">
      <c r="L256" s="96" t="s">
        <v>1657</v>
      </c>
    </row>
    <row r="257" spans="12:12" x14ac:dyDescent="0.25">
      <c r="L257" s="96" t="s">
        <v>1658</v>
      </c>
    </row>
    <row r="258" spans="12:12" x14ac:dyDescent="0.25">
      <c r="L258" s="96" t="s">
        <v>1659</v>
      </c>
    </row>
    <row r="259" spans="12:12" x14ac:dyDescent="0.25">
      <c r="L259" s="96" t="s">
        <v>1660</v>
      </c>
    </row>
    <row r="260" spans="12:12" x14ac:dyDescent="0.25">
      <c r="L260" s="96" t="s">
        <v>1661</v>
      </c>
    </row>
    <row r="261" spans="12:12" x14ac:dyDescent="0.25">
      <c r="L261" s="96" t="s">
        <v>1662</v>
      </c>
    </row>
    <row r="262" spans="12:12" x14ac:dyDescent="0.25">
      <c r="L262" s="96" t="s">
        <v>1663</v>
      </c>
    </row>
    <row r="263" spans="12:12" x14ac:dyDescent="0.25">
      <c r="L263" s="96" t="s">
        <v>1664</v>
      </c>
    </row>
    <row r="264" spans="12:12" x14ac:dyDescent="0.25">
      <c r="L264" s="96" t="s">
        <v>1665</v>
      </c>
    </row>
    <row r="265" spans="12:12" x14ac:dyDescent="0.25">
      <c r="L265" s="96" t="s">
        <v>1666</v>
      </c>
    </row>
    <row r="266" spans="12:12" x14ac:dyDescent="0.25">
      <c r="L266" s="96" t="s">
        <v>1667</v>
      </c>
    </row>
    <row r="267" spans="12:12" x14ac:dyDescent="0.25">
      <c r="L267" s="96" t="s">
        <v>1668</v>
      </c>
    </row>
    <row r="268" spans="12:12" x14ac:dyDescent="0.25">
      <c r="L268" s="96" t="s">
        <v>1669</v>
      </c>
    </row>
    <row r="269" spans="12:12" x14ac:dyDescent="0.25">
      <c r="L269" s="96" t="s">
        <v>1670</v>
      </c>
    </row>
    <row r="270" spans="12:12" x14ac:dyDescent="0.25">
      <c r="L270" s="96" t="s">
        <v>1671</v>
      </c>
    </row>
    <row r="271" spans="12:12" x14ac:dyDescent="0.25">
      <c r="L271" s="96" t="s">
        <v>1672</v>
      </c>
    </row>
    <row r="272" spans="12:12" x14ac:dyDescent="0.25">
      <c r="L272" s="96" t="s">
        <v>1673</v>
      </c>
    </row>
    <row r="273" spans="12:12" x14ac:dyDescent="0.25">
      <c r="L273" s="96" t="s">
        <v>1674</v>
      </c>
    </row>
    <row r="274" spans="12:12" x14ac:dyDescent="0.25">
      <c r="L274" s="96" t="s">
        <v>1675</v>
      </c>
    </row>
    <row r="275" spans="12:12" x14ac:dyDescent="0.25">
      <c r="L275" s="96" t="s">
        <v>1676</v>
      </c>
    </row>
    <row r="276" spans="12:12" x14ac:dyDescent="0.25">
      <c r="L276" s="96" t="s">
        <v>1677</v>
      </c>
    </row>
    <row r="277" spans="12:12" x14ac:dyDescent="0.25">
      <c r="L277" s="96" t="s">
        <v>1678</v>
      </c>
    </row>
    <row r="278" spans="12:12" x14ac:dyDescent="0.25">
      <c r="L278" s="96" t="s">
        <v>1679</v>
      </c>
    </row>
    <row r="279" spans="12:12" x14ac:dyDescent="0.25">
      <c r="L279" s="96" t="s">
        <v>1680</v>
      </c>
    </row>
    <row r="280" spans="12:12" x14ac:dyDescent="0.25">
      <c r="L280" s="96" t="s">
        <v>1681</v>
      </c>
    </row>
    <row r="281" spans="12:12" x14ac:dyDescent="0.25">
      <c r="L281" s="96" t="s">
        <v>1682</v>
      </c>
    </row>
    <row r="282" spans="12:12" x14ac:dyDescent="0.25">
      <c r="L282" s="96" t="s">
        <v>1683</v>
      </c>
    </row>
    <row r="283" spans="12:12" x14ac:dyDescent="0.25">
      <c r="L283" s="96" t="s">
        <v>1684</v>
      </c>
    </row>
    <row r="284" spans="12:12" x14ac:dyDescent="0.25">
      <c r="L284" s="96" t="s">
        <v>1685</v>
      </c>
    </row>
    <row r="285" spans="12:12" x14ac:dyDescent="0.25">
      <c r="L285" s="96" t="s">
        <v>1686</v>
      </c>
    </row>
    <row r="286" spans="12:12" x14ac:dyDescent="0.25">
      <c r="L286" s="96" t="s">
        <v>1687</v>
      </c>
    </row>
    <row r="287" spans="12:12" x14ac:dyDescent="0.25">
      <c r="L287" s="96" t="s">
        <v>1688</v>
      </c>
    </row>
    <row r="288" spans="12:12" x14ac:dyDescent="0.25">
      <c r="L288" s="96" t="s">
        <v>1689</v>
      </c>
    </row>
    <row r="289" spans="12:12" x14ac:dyDescent="0.25">
      <c r="L289" s="96" t="s">
        <v>1690</v>
      </c>
    </row>
    <row r="290" spans="12:12" x14ac:dyDescent="0.25">
      <c r="L290" s="96" t="s">
        <v>1691</v>
      </c>
    </row>
    <row r="291" spans="12:12" x14ac:dyDescent="0.25">
      <c r="L291" s="96" t="s">
        <v>1692</v>
      </c>
    </row>
    <row r="292" spans="12:12" x14ac:dyDescent="0.25">
      <c r="L292" s="96" t="s">
        <v>1693</v>
      </c>
    </row>
    <row r="293" spans="12:12" x14ac:dyDescent="0.25">
      <c r="L293" s="96" t="s">
        <v>1694</v>
      </c>
    </row>
    <row r="294" spans="12:12" x14ac:dyDescent="0.25">
      <c r="L294" s="96" t="s">
        <v>1695</v>
      </c>
    </row>
    <row r="295" spans="12:12" x14ac:dyDescent="0.25">
      <c r="L295" s="96" t="s">
        <v>1696</v>
      </c>
    </row>
    <row r="296" spans="12:12" x14ac:dyDescent="0.25">
      <c r="L296" s="96" t="s">
        <v>1697</v>
      </c>
    </row>
    <row r="297" spans="12:12" x14ac:dyDescent="0.25">
      <c r="L297" s="96" t="s">
        <v>1698</v>
      </c>
    </row>
    <row r="298" spans="12:12" x14ac:dyDescent="0.25">
      <c r="L298" s="96" t="s">
        <v>1699</v>
      </c>
    </row>
    <row r="299" spans="12:12" x14ac:dyDescent="0.25">
      <c r="L299" s="96" t="s">
        <v>1700</v>
      </c>
    </row>
    <row r="300" spans="12:12" x14ac:dyDescent="0.25">
      <c r="L300" s="96" t="s">
        <v>1701</v>
      </c>
    </row>
    <row r="301" spans="12:12" x14ac:dyDescent="0.25">
      <c r="L301" s="96" t="s">
        <v>1702</v>
      </c>
    </row>
    <row r="302" spans="12:12" x14ac:dyDescent="0.25">
      <c r="L302" s="96" t="s">
        <v>1703</v>
      </c>
    </row>
    <row r="303" spans="12:12" x14ac:dyDescent="0.25">
      <c r="L303" s="96" t="s">
        <v>1704</v>
      </c>
    </row>
    <row r="304" spans="12:12" x14ac:dyDescent="0.25">
      <c r="L304" s="96" t="s">
        <v>1705</v>
      </c>
    </row>
    <row r="305" spans="12:12" x14ac:dyDescent="0.25">
      <c r="L305" s="96" t="s">
        <v>1706</v>
      </c>
    </row>
    <row r="306" spans="12:12" x14ac:dyDescent="0.25">
      <c r="L306" s="96" t="s">
        <v>1707</v>
      </c>
    </row>
    <row r="307" spans="12:12" x14ac:dyDescent="0.25">
      <c r="L307" s="96" t="s">
        <v>1708</v>
      </c>
    </row>
    <row r="308" spans="12:12" x14ac:dyDescent="0.25">
      <c r="L308" s="96" t="s">
        <v>1709</v>
      </c>
    </row>
    <row r="309" spans="12:12" x14ac:dyDescent="0.25">
      <c r="L309" s="96" t="s">
        <v>1710</v>
      </c>
    </row>
    <row r="310" spans="12:12" x14ac:dyDescent="0.25">
      <c r="L310" s="96" t="s">
        <v>1711</v>
      </c>
    </row>
    <row r="311" spans="12:12" x14ac:dyDescent="0.25">
      <c r="L311" s="96" t="s">
        <v>1712</v>
      </c>
    </row>
    <row r="312" spans="12:12" x14ac:dyDescent="0.25">
      <c r="L312" s="96" t="s">
        <v>1713</v>
      </c>
    </row>
    <row r="313" spans="12:12" x14ac:dyDescent="0.25">
      <c r="L313" s="96" t="s">
        <v>1714</v>
      </c>
    </row>
    <row r="314" spans="12:12" x14ac:dyDescent="0.25">
      <c r="L314" s="96" t="s">
        <v>1715</v>
      </c>
    </row>
    <row r="315" spans="12:12" x14ac:dyDescent="0.25">
      <c r="L315" s="96" t="s">
        <v>1716</v>
      </c>
    </row>
    <row r="316" spans="12:12" x14ac:dyDescent="0.25">
      <c r="L316" s="96" t="s">
        <v>1717</v>
      </c>
    </row>
    <row r="317" spans="12:12" x14ac:dyDescent="0.25">
      <c r="L317" s="96" t="s">
        <v>1718</v>
      </c>
    </row>
    <row r="318" spans="12:12" x14ac:dyDescent="0.25">
      <c r="L318" s="96" t="s">
        <v>1719</v>
      </c>
    </row>
    <row r="319" spans="12:12" x14ac:dyDescent="0.25">
      <c r="L319" s="96" t="s">
        <v>1720</v>
      </c>
    </row>
    <row r="320" spans="12:12" x14ac:dyDescent="0.25">
      <c r="L320" s="96" t="s">
        <v>1721</v>
      </c>
    </row>
    <row r="321" spans="12:12" x14ac:dyDescent="0.25">
      <c r="L321" s="96" t="s">
        <v>1722</v>
      </c>
    </row>
    <row r="322" spans="12:12" x14ac:dyDescent="0.25">
      <c r="L322" s="96" t="s">
        <v>1723</v>
      </c>
    </row>
    <row r="323" spans="12:12" x14ac:dyDescent="0.25">
      <c r="L323" s="96" t="s">
        <v>1724</v>
      </c>
    </row>
    <row r="324" spans="12:12" x14ac:dyDescent="0.25">
      <c r="L324" s="96" t="s">
        <v>1725</v>
      </c>
    </row>
    <row r="325" spans="12:12" x14ac:dyDescent="0.25">
      <c r="L325" s="96" t="s">
        <v>1726</v>
      </c>
    </row>
    <row r="326" spans="12:12" x14ac:dyDescent="0.25">
      <c r="L326" s="96" t="s">
        <v>1727</v>
      </c>
    </row>
    <row r="327" spans="12:12" x14ac:dyDescent="0.25">
      <c r="L327" s="96" t="s">
        <v>1728</v>
      </c>
    </row>
    <row r="328" spans="12:12" x14ac:dyDescent="0.25">
      <c r="L328" s="96" t="s">
        <v>1729</v>
      </c>
    </row>
    <row r="329" spans="12:12" x14ac:dyDescent="0.25">
      <c r="L329" s="96" t="s">
        <v>1730</v>
      </c>
    </row>
    <row r="330" spans="12:12" x14ac:dyDescent="0.25">
      <c r="L330" s="96" t="s">
        <v>1731</v>
      </c>
    </row>
    <row r="331" spans="12:12" x14ac:dyDescent="0.25">
      <c r="L331" s="96" t="s">
        <v>1732</v>
      </c>
    </row>
    <row r="332" spans="12:12" x14ac:dyDescent="0.25">
      <c r="L332" s="96" t="s">
        <v>1733</v>
      </c>
    </row>
    <row r="333" spans="12:12" x14ac:dyDescent="0.25">
      <c r="L333" s="96" t="s">
        <v>1734</v>
      </c>
    </row>
    <row r="334" spans="12:12" x14ac:dyDescent="0.25">
      <c r="L334" s="96" t="s">
        <v>1735</v>
      </c>
    </row>
    <row r="335" spans="12:12" x14ac:dyDescent="0.25">
      <c r="L335" s="96" t="s">
        <v>1736</v>
      </c>
    </row>
    <row r="336" spans="12:12" x14ac:dyDescent="0.25">
      <c r="L336" s="96" t="s">
        <v>1737</v>
      </c>
    </row>
    <row r="337" spans="12:12" x14ac:dyDescent="0.25">
      <c r="L337" s="96" t="s">
        <v>1738</v>
      </c>
    </row>
    <row r="338" spans="12:12" x14ac:dyDescent="0.25">
      <c r="L338" s="96" t="s">
        <v>1739</v>
      </c>
    </row>
    <row r="339" spans="12:12" x14ac:dyDescent="0.25">
      <c r="L339" s="96" t="s">
        <v>1740</v>
      </c>
    </row>
    <row r="340" spans="12:12" x14ac:dyDescent="0.25">
      <c r="L340" s="96" t="s">
        <v>1741</v>
      </c>
    </row>
    <row r="341" spans="12:12" x14ac:dyDescent="0.25">
      <c r="L341" s="96" t="s">
        <v>1742</v>
      </c>
    </row>
    <row r="342" spans="12:12" x14ac:dyDescent="0.25">
      <c r="L342" s="96" t="s">
        <v>1743</v>
      </c>
    </row>
    <row r="343" spans="12:12" x14ac:dyDescent="0.25">
      <c r="L343" s="96" t="s">
        <v>1744</v>
      </c>
    </row>
    <row r="344" spans="12:12" x14ac:dyDescent="0.25">
      <c r="L344" s="96" t="s">
        <v>1745</v>
      </c>
    </row>
    <row r="345" spans="12:12" x14ac:dyDescent="0.25">
      <c r="L345" s="96" t="s">
        <v>1746</v>
      </c>
    </row>
    <row r="346" spans="12:12" x14ac:dyDescent="0.25">
      <c r="L346" s="96" t="s">
        <v>1747</v>
      </c>
    </row>
    <row r="347" spans="12:12" x14ac:dyDescent="0.25">
      <c r="L347" s="96" t="s">
        <v>1748</v>
      </c>
    </row>
    <row r="348" spans="12:12" x14ac:dyDescent="0.25">
      <c r="L348" s="96" t="s">
        <v>1749</v>
      </c>
    </row>
    <row r="349" spans="12:12" x14ac:dyDescent="0.25">
      <c r="L349" s="96" t="s">
        <v>1750</v>
      </c>
    </row>
    <row r="350" spans="12:12" x14ac:dyDescent="0.25">
      <c r="L350" s="96" t="s">
        <v>1751</v>
      </c>
    </row>
    <row r="351" spans="12:12" x14ac:dyDescent="0.25">
      <c r="L351" s="96" t="s">
        <v>1752</v>
      </c>
    </row>
    <row r="352" spans="12:12" x14ac:dyDescent="0.25">
      <c r="L352" s="96" t="s">
        <v>1753</v>
      </c>
    </row>
    <row r="353" spans="12:12" x14ac:dyDescent="0.25">
      <c r="L353" s="96" t="s">
        <v>1754</v>
      </c>
    </row>
    <row r="354" spans="12:12" x14ac:dyDescent="0.25">
      <c r="L354" s="96" t="s">
        <v>1755</v>
      </c>
    </row>
    <row r="355" spans="12:12" x14ac:dyDescent="0.25">
      <c r="L355" s="96" t="s">
        <v>1756</v>
      </c>
    </row>
    <row r="356" spans="12:12" x14ac:dyDescent="0.25">
      <c r="L356" s="96" t="s">
        <v>1757</v>
      </c>
    </row>
    <row r="357" spans="12:12" x14ac:dyDescent="0.25">
      <c r="L357" s="96" t="s">
        <v>1758</v>
      </c>
    </row>
    <row r="358" spans="12:12" x14ac:dyDescent="0.25">
      <c r="L358" s="96" t="s">
        <v>1759</v>
      </c>
    </row>
    <row r="359" spans="12:12" x14ac:dyDescent="0.25">
      <c r="L359" s="96" t="s">
        <v>1760</v>
      </c>
    </row>
    <row r="360" spans="12:12" x14ac:dyDescent="0.25">
      <c r="L360" s="96" t="s">
        <v>1761</v>
      </c>
    </row>
    <row r="361" spans="12:12" x14ac:dyDescent="0.25">
      <c r="L361" s="96" t="s">
        <v>1762</v>
      </c>
    </row>
    <row r="362" spans="12:12" x14ac:dyDescent="0.25">
      <c r="L362" s="96" t="s">
        <v>1763</v>
      </c>
    </row>
    <row r="363" spans="12:12" x14ac:dyDescent="0.25">
      <c r="L363" s="96" t="s">
        <v>1764</v>
      </c>
    </row>
    <row r="364" spans="12:12" x14ac:dyDescent="0.25">
      <c r="L364" s="96" t="s">
        <v>1765</v>
      </c>
    </row>
    <row r="365" spans="12:12" x14ac:dyDescent="0.25">
      <c r="L365" s="96" t="s">
        <v>1766</v>
      </c>
    </row>
    <row r="366" spans="12:12" x14ac:dyDescent="0.25">
      <c r="L366" s="96" t="s">
        <v>1767</v>
      </c>
    </row>
    <row r="367" spans="12:12" x14ac:dyDescent="0.25">
      <c r="L367" s="96" t="s">
        <v>1768</v>
      </c>
    </row>
    <row r="368" spans="12:12" x14ac:dyDescent="0.25">
      <c r="L368" s="96" t="s">
        <v>1769</v>
      </c>
    </row>
    <row r="369" spans="12:12" x14ac:dyDescent="0.25">
      <c r="L369" s="96" t="s">
        <v>1770</v>
      </c>
    </row>
    <row r="370" spans="12:12" x14ac:dyDescent="0.25">
      <c r="L370" s="96" t="s">
        <v>1771</v>
      </c>
    </row>
    <row r="371" spans="12:12" x14ac:dyDescent="0.25">
      <c r="L371" s="96" t="s">
        <v>1772</v>
      </c>
    </row>
    <row r="372" spans="12:12" x14ac:dyDescent="0.25">
      <c r="L372" s="96" t="s">
        <v>1773</v>
      </c>
    </row>
    <row r="373" spans="12:12" x14ac:dyDescent="0.25">
      <c r="L373" s="96" t="s">
        <v>1774</v>
      </c>
    </row>
    <row r="374" spans="12:12" x14ac:dyDescent="0.25">
      <c r="L374" s="96" t="s">
        <v>1775</v>
      </c>
    </row>
    <row r="375" spans="12:12" x14ac:dyDescent="0.25">
      <c r="L375" s="96" t="s">
        <v>1776</v>
      </c>
    </row>
    <row r="376" spans="12:12" x14ac:dyDescent="0.25">
      <c r="L376" s="96" t="s">
        <v>1777</v>
      </c>
    </row>
    <row r="377" spans="12:12" x14ac:dyDescent="0.25">
      <c r="L377" s="96" t="s">
        <v>1778</v>
      </c>
    </row>
    <row r="378" spans="12:12" x14ac:dyDescent="0.25">
      <c r="L378" s="96" t="s">
        <v>1779</v>
      </c>
    </row>
    <row r="379" spans="12:12" x14ac:dyDescent="0.25">
      <c r="L379" s="96" t="s">
        <v>1780</v>
      </c>
    </row>
    <row r="380" spans="12:12" x14ac:dyDescent="0.25">
      <c r="L380" s="96" t="s">
        <v>1781</v>
      </c>
    </row>
    <row r="381" spans="12:12" x14ac:dyDescent="0.25">
      <c r="L381" s="96" t="s">
        <v>1782</v>
      </c>
    </row>
    <row r="382" spans="12:12" x14ac:dyDescent="0.25">
      <c r="L382" s="96" t="s">
        <v>1783</v>
      </c>
    </row>
    <row r="383" spans="12:12" x14ac:dyDescent="0.25">
      <c r="L383" s="96" t="s">
        <v>1784</v>
      </c>
    </row>
    <row r="384" spans="12:12" x14ac:dyDescent="0.25">
      <c r="L384" s="96" t="s">
        <v>1785</v>
      </c>
    </row>
    <row r="385" spans="12:12" x14ac:dyDescent="0.25">
      <c r="L385" s="96" t="s">
        <v>1786</v>
      </c>
    </row>
    <row r="386" spans="12:12" x14ac:dyDescent="0.25">
      <c r="L386" s="96" t="s">
        <v>1787</v>
      </c>
    </row>
    <row r="387" spans="12:12" x14ac:dyDescent="0.25">
      <c r="L387" s="96" t="s">
        <v>1788</v>
      </c>
    </row>
    <row r="388" spans="12:12" x14ac:dyDescent="0.25">
      <c r="L388" s="96" t="s">
        <v>1789</v>
      </c>
    </row>
    <row r="389" spans="12:12" x14ac:dyDescent="0.25">
      <c r="L389" s="96" t="s">
        <v>1790</v>
      </c>
    </row>
    <row r="390" spans="12:12" x14ac:dyDescent="0.25">
      <c r="L390" s="96" t="s">
        <v>1791</v>
      </c>
    </row>
    <row r="391" spans="12:12" x14ac:dyDescent="0.25">
      <c r="L391" s="96" t="s">
        <v>1792</v>
      </c>
    </row>
    <row r="392" spans="12:12" x14ac:dyDescent="0.25">
      <c r="L392" s="96" t="s">
        <v>1793</v>
      </c>
    </row>
    <row r="393" spans="12:12" x14ac:dyDescent="0.25">
      <c r="L393" s="96" t="s">
        <v>1794</v>
      </c>
    </row>
    <row r="394" spans="12:12" x14ac:dyDescent="0.25">
      <c r="L394" s="96" t="s">
        <v>1795</v>
      </c>
    </row>
    <row r="395" spans="12:12" x14ac:dyDescent="0.25">
      <c r="L395" s="96" t="s">
        <v>1796</v>
      </c>
    </row>
    <row r="396" spans="12:12" x14ac:dyDescent="0.25">
      <c r="L396" s="96" t="s">
        <v>1797</v>
      </c>
    </row>
    <row r="397" spans="12:12" x14ac:dyDescent="0.25">
      <c r="L397" s="96" t="s">
        <v>1798</v>
      </c>
    </row>
    <row r="398" spans="12:12" x14ac:dyDescent="0.25">
      <c r="L398" s="96" t="s">
        <v>1799</v>
      </c>
    </row>
    <row r="399" spans="12:12" x14ac:dyDescent="0.25">
      <c r="L399" s="96" t="s">
        <v>1800</v>
      </c>
    </row>
    <row r="400" spans="12:12" x14ac:dyDescent="0.25">
      <c r="L400" s="96" t="s">
        <v>1801</v>
      </c>
    </row>
    <row r="401" spans="12:12" x14ac:dyDescent="0.25">
      <c r="L401" s="96" t="s">
        <v>1802</v>
      </c>
    </row>
    <row r="402" spans="12:12" x14ac:dyDescent="0.25">
      <c r="L402" s="96" t="s">
        <v>1803</v>
      </c>
    </row>
    <row r="403" spans="12:12" x14ac:dyDescent="0.25">
      <c r="L403" s="96" t="s">
        <v>1804</v>
      </c>
    </row>
    <row r="404" spans="12:12" x14ac:dyDescent="0.25">
      <c r="L404" s="96" t="s">
        <v>1805</v>
      </c>
    </row>
    <row r="405" spans="12:12" x14ac:dyDescent="0.25">
      <c r="L405" s="96" t="s">
        <v>1806</v>
      </c>
    </row>
    <row r="406" spans="12:12" x14ac:dyDescent="0.25">
      <c r="L406" s="96" t="s">
        <v>1807</v>
      </c>
    </row>
    <row r="407" spans="12:12" x14ac:dyDescent="0.25">
      <c r="L407" s="96" t="s">
        <v>1808</v>
      </c>
    </row>
    <row r="408" spans="12:12" x14ac:dyDescent="0.25">
      <c r="L408" s="96" t="s">
        <v>1809</v>
      </c>
    </row>
    <row r="409" spans="12:12" x14ac:dyDescent="0.25">
      <c r="L409" s="96" t="s">
        <v>1810</v>
      </c>
    </row>
    <row r="410" spans="12:12" x14ac:dyDescent="0.25">
      <c r="L410" s="96" t="s">
        <v>1811</v>
      </c>
    </row>
    <row r="411" spans="12:12" x14ac:dyDescent="0.25">
      <c r="L411" s="96" t="s">
        <v>1812</v>
      </c>
    </row>
    <row r="412" spans="12:12" x14ac:dyDescent="0.25">
      <c r="L412" s="96" t="s">
        <v>1813</v>
      </c>
    </row>
    <row r="413" spans="12:12" x14ac:dyDescent="0.25">
      <c r="L413" s="96" t="s">
        <v>1814</v>
      </c>
    </row>
    <row r="414" spans="12:12" x14ac:dyDescent="0.25">
      <c r="L414" s="96" t="s">
        <v>1815</v>
      </c>
    </row>
    <row r="415" spans="12:12" x14ac:dyDescent="0.25">
      <c r="L415" s="96" t="s">
        <v>1816</v>
      </c>
    </row>
    <row r="416" spans="12:12" x14ac:dyDescent="0.25">
      <c r="L416" s="96" t="s">
        <v>1817</v>
      </c>
    </row>
    <row r="417" spans="12:12" x14ac:dyDescent="0.25">
      <c r="L417" s="96" t="s">
        <v>1818</v>
      </c>
    </row>
    <row r="418" spans="12:12" x14ac:dyDescent="0.25">
      <c r="L418" s="96" t="s">
        <v>1819</v>
      </c>
    </row>
    <row r="419" spans="12:12" x14ac:dyDescent="0.25">
      <c r="L419" s="96" t="s">
        <v>1820</v>
      </c>
    </row>
    <row r="420" spans="12:12" x14ac:dyDescent="0.25">
      <c r="L420" s="96" t="s">
        <v>1821</v>
      </c>
    </row>
    <row r="421" spans="12:12" x14ac:dyDescent="0.25">
      <c r="L421" s="96" t="s">
        <v>1822</v>
      </c>
    </row>
    <row r="422" spans="12:12" x14ac:dyDescent="0.25">
      <c r="L422" s="96" t="s">
        <v>1823</v>
      </c>
    </row>
    <row r="423" spans="12:12" x14ac:dyDescent="0.25">
      <c r="L423" s="96" t="s">
        <v>1824</v>
      </c>
    </row>
    <row r="424" spans="12:12" x14ac:dyDescent="0.25">
      <c r="L424" s="96" t="s">
        <v>1825</v>
      </c>
    </row>
    <row r="425" spans="12:12" x14ac:dyDescent="0.25">
      <c r="L425" s="96" t="s">
        <v>1826</v>
      </c>
    </row>
    <row r="426" spans="12:12" x14ac:dyDescent="0.25">
      <c r="L426" s="96" t="s">
        <v>1827</v>
      </c>
    </row>
    <row r="427" spans="12:12" x14ac:dyDescent="0.25">
      <c r="L427" s="96" t="s">
        <v>1828</v>
      </c>
    </row>
    <row r="428" spans="12:12" x14ac:dyDescent="0.25">
      <c r="L428" s="96" t="s">
        <v>1829</v>
      </c>
    </row>
    <row r="429" spans="12:12" x14ac:dyDescent="0.25">
      <c r="L429" s="96" t="s">
        <v>1830</v>
      </c>
    </row>
    <row r="430" spans="12:12" x14ac:dyDescent="0.25">
      <c r="L430" s="96" t="s">
        <v>1831</v>
      </c>
    </row>
    <row r="431" spans="12:12" x14ac:dyDescent="0.25">
      <c r="L431" s="96" t="s">
        <v>1832</v>
      </c>
    </row>
    <row r="432" spans="12:12" x14ac:dyDescent="0.25">
      <c r="L432" s="96" t="s">
        <v>1833</v>
      </c>
    </row>
    <row r="433" spans="12:12" x14ac:dyDescent="0.25">
      <c r="L433" s="96" t="s">
        <v>1834</v>
      </c>
    </row>
    <row r="434" spans="12:12" x14ac:dyDescent="0.25">
      <c r="L434" s="96" t="s">
        <v>1835</v>
      </c>
    </row>
    <row r="435" spans="12:12" x14ac:dyDescent="0.25">
      <c r="L435" s="96" t="s">
        <v>1836</v>
      </c>
    </row>
    <row r="436" spans="12:12" x14ac:dyDescent="0.25">
      <c r="L436" s="96" t="s">
        <v>1837</v>
      </c>
    </row>
    <row r="437" spans="12:12" x14ac:dyDescent="0.25">
      <c r="L437" s="96" t="s">
        <v>1838</v>
      </c>
    </row>
    <row r="438" spans="12:12" x14ac:dyDescent="0.25">
      <c r="L438" s="96" t="s">
        <v>1839</v>
      </c>
    </row>
    <row r="439" spans="12:12" x14ac:dyDescent="0.25">
      <c r="L439" s="96" t="s">
        <v>1840</v>
      </c>
    </row>
    <row r="440" spans="12:12" x14ac:dyDescent="0.25">
      <c r="L440" s="96" t="s">
        <v>1841</v>
      </c>
    </row>
    <row r="441" spans="12:12" x14ac:dyDescent="0.25">
      <c r="L441" s="96" t="s">
        <v>1842</v>
      </c>
    </row>
    <row r="442" spans="12:12" x14ac:dyDescent="0.25">
      <c r="L442" s="96" t="s">
        <v>1843</v>
      </c>
    </row>
    <row r="443" spans="12:12" x14ac:dyDescent="0.25">
      <c r="L443" s="96" t="s">
        <v>1844</v>
      </c>
    </row>
    <row r="444" spans="12:12" x14ac:dyDescent="0.25">
      <c r="L444" s="96" t="s">
        <v>1845</v>
      </c>
    </row>
    <row r="445" spans="12:12" x14ac:dyDescent="0.25">
      <c r="L445" s="96" t="s">
        <v>1846</v>
      </c>
    </row>
    <row r="446" spans="12:12" x14ac:dyDescent="0.25">
      <c r="L446" s="96" t="s">
        <v>1847</v>
      </c>
    </row>
    <row r="447" spans="12:12" x14ac:dyDescent="0.25">
      <c r="L447" s="96" t="s">
        <v>1848</v>
      </c>
    </row>
    <row r="448" spans="12:12" x14ac:dyDescent="0.25">
      <c r="L448" s="96" t="s">
        <v>1849</v>
      </c>
    </row>
    <row r="449" spans="12:12" x14ac:dyDescent="0.25">
      <c r="L449" s="96" t="s">
        <v>1850</v>
      </c>
    </row>
    <row r="450" spans="12:12" x14ac:dyDescent="0.25">
      <c r="L450" s="96" t="s">
        <v>1851</v>
      </c>
    </row>
    <row r="451" spans="12:12" x14ac:dyDescent="0.25">
      <c r="L451" s="96" t="s">
        <v>1852</v>
      </c>
    </row>
    <row r="452" spans="12:12" x14ac:dyDescent="0.25">
      <c r="L452" s="96" t="s">
        <v>1853</v>
      </c>
    </row>
    <row r="453" spans="12:12" x14ac:dyDescent="0.25">
      <c r="L453" s="96" t="s">
        <v>1854</v>
      </c>
    </row>
    <row r="454" spans="12:12" x14ac:dyDescent="0.25">
      <c r="L454" s="96" t="s">
        <v>1855</v>
      </c>
    </row>
    <row r="455" spans="12:12" x14ac:dyDescent="0.25">
      <c r="L455" s="96" t="s">
        <v>1856</v>
      </c>
    </row>
    <row r="456" spans="12:12" x14ac:dyDescent="0.25">
      <c r="L456" s="96" t="s">
        <v>1857</v>
      </c>
    </row>
    <row r="457" spans="12:12" x14ac:dyDescent="0.25">
      <c r="L457" s="96" t="s">
        <v>1858</v>
      </c>
    </row>
    <row r="458" spans="12:12" x14ac:dyDescent="0.25">
      <c r="L458" s="96" t="s">
        <v>1859</v>
      </c>
    </row>
    <row r="459" spans="12:12" x14ac:dyDescent="0.25">
      <c r="L459" s="96" t="s">
        <v>1860</v>
      </c>
    </row>
    <row r="460" spans="12:12" x14ac:dyDescent="0.25">
      <c r="L460" s="96" t="s">
        <v>1861</v>
      </c>
    </row>
    <row r="461" spans="12:12" x14ac:dyDescent="0.25">
      <c r="L461" s="96" t="s">
        <v>1862</v>
      </c>
    </row>
    <row r="462" spans="12:12" x14ac:dyDescent="0.25">
      <c r="L462" s="96" t="s">
        <v>1863</v>
      </c>
    </row>
    <row r="463" spans="12:12" x14ac:dyDescent="0.25">
      <c r="L463" s="96" t="s">
        <v>1864</v>
      </c>
    </row>
    <row r="464" spans="12:12" x14ac:dyDescent="0.25">
      <c r="L464" s="96" t="s">
        <v>1865</v>
      </c>
    </row>
    <row r="465" spans="12:12" x14ac:dyDescent="0.25">
      <c r="L465" s="96" t="s">
        <v>1866</v>
      </c>
    </row>
    <row r="466" spans="12:12" x14ac:dyDescent="0.25">
      <c r="L466" s="96" t="s">
        <v>1867</v>
      </c>
    </row>
    <row r="467" spans="12:12" x14ac:dyDescent="0.25">
      <c r="L467" s="96" t="s">
        <v>1868</v>
      </c>
    </row>
    <row r="468" spans="12:12" x14ac:dyDescent="0.25">
      <c r="L468" s="96" t="s">
        <v>1869</v>
      </c>
    </row>
    <row r="469" spans="12:12" x14ac:dyDescent="0.25">
      <c r="L469" s="96" t="s">
        <v>1870</v>
      </c>
    </row>
    <row r="470" spans="12:12" x14ac:dyDescent="0.25">
      <c r="L470" s="96" t="s">
        <v>1871</v>
      </c>
    </row>
    <row r="471" spans="12:12" x14ac:dyDescent="0.25">
      <c r="L471" s="96" t="s">
        <v>1872</v>
      </c>
    </row>
    <row r="472" spans="12:12" x14ac:dyDescent="0.25">
      <c r="L472" s="96" t="s">
        <v>1873</v>
      </c>
    </row>
    <row r="473" spans="12:12" x14ac:dyDescent="0.25">
      <c r="L473" s="96" t="s">
        <v>1874</v>
      </c>
    </row>
    <row r="474" spans="12:12" x14ac:dyDescent="0.25">
      <c r="L474" s="96" t="s">
        <v>1875</v>
      </c>
    </row>
    <row r="475" spans="12:12" x14ac:dyDescent="0.25">
      <c r="L475" s="96" t="s">
        <v>1876</v>
      </c>
    </row>
    <row r="476" spans="12:12" x14ac:dyDescent="0.25">
      <c r="L476" s="96" t="s">
        <v>1877</v>
      </c>
    </row>
    <row r="477" spans="12:12" x14ac:dyDescent="0.25">
      <c r="L477" s="96" t="s">
        <v>1878</v>
      </c>
    </row>
    <row r="478" spans="12:12" x14ac:dyDescent="0.25">
      <c r="L478" s="96" t="s">
        <v>1879</v>
      </c>
    </row>
    <row r="479" spans="12:12" x14ac:dyDescent="0.25">
      <c r="L479" s="96" t="s">
        <v>1880</v>
      </c>
    </row>
    <row r="480" spans="12:12" x14ac:dyDescent="0.25">
      <c r="L480" s="96" t="s">
        <v>1881</v>
      </c>
    </row>
    <row r="481" spans="12:12" x14ac:dyDescent="0.25">
      <c r="L481" s="96" t="s">
        <v>1882</v>
      </c>
    </row>
    <row r="482" spans="12:12" x14ac:dyDescent="0.25">
      <c r="L482" s="96" t="s">
        <v>1883</v>
      </c>
    </row>
    <row r="483" spans="12:12" x14ac:dyDescent="0.25">
      <c r="L483" s="96" t="s">
        <v>1884</v>
      </c>
    </row>
    <row r="484" spans="12:12" x14ac:dyDescent="0.25">
      <c r="L484" s="96" t="s">
        <v>1885</v>
      </c>
    </row>
    <row r="485" spans="12:12" x14ac:dyDescent="0.25">
      <c r="L485" s="96" t="s">
        <v>1886</v>
      </c>
    </row>
    <row r="486" spans="12:12" x14ac:dyDescent="0.25">
      <c r="L486" s="96" t="s">
        <v>1887</v>
      </c>
    </row>
    <row r="487" spans="12:12" x14ac:dyDescent="0.25">
      <c r="L487" s="96" t="s">
        <v>1888</v>
      </c>
    </row>
    <row r="488" spans="12:12" x14ac:dyDescent="0.25">
      <c r="L488" s="96" t="s">
        <v>1889</v>
      </c>
    </row>
    <row r="489" spans="12:12" x14ac:dyDescent="0.25">
      <c r="L489" s="96" t="s">
        <v>1890</v>
      </c>
    </row>
    <row r="490" spans="12:12" x14ac:dyDescent="0.25">
      <c r="L490" s="96" t="s">
        <v>1891</v>
      </c>
    </row>
    <row r="491" spans="12:12" x14ac:dyDescent="0.25">
      <c r="L491" s="96" t="s">
        <v>1892</v>
      </c>
    </row>
    <row r="492" spans="12:12" x14ac:dyDescent="0.25">
      <c r="L492" s="96" t="s">
        <v>1893</v>
      </c>
    </row>
    <row r="493" spans="12:12" x14ac:dyDescent="0.25">
      <c r="L493" s="96" t="s">
        <v>1894</v>
      </c>
    </row>
    <row r="494" spans="12:12" x14ac:dyDescent="0.25">
      <c r="L494" s="96" t="s">
        <v>1895</v>
      </c>
    </row>
    <row r="495" spans="12:12" x14ac:dyDescent="0.25">
      <c r="L495" s="96" t="s">
        <v>1896</v>
      </c>
    </row>
    <row r="496" spans="12:12" x14ac:dyDescent="0.25">
      <c r="L496" s="96" t="s">
        <v>1897</v>
      </c>
    </row>
    <row r="497" spans="12:12" x14ac:dyDescent="0.25">
      <c r="L497" s="96" t="s">
        <v>1898</v>
      </c>
    </row>
    <row r="498" spans="12:12" x14ac:dyDescent="0.25">
      <c r="L498" s="96" t="s">
        <v>1899</v>
      </c>
    </row>
    <row r="499" spans="12:12" x14ac:dyDescent="0.25">
      <c r="L499" s="96" t="s">
        <v>1900</v>
      </c>
    </row>
    <row r="500" spans="12:12" x14ac:dyDescent="0.25">
      <c r="L500" s="96" t="s">
        <v>1901</v>
      </c>
    </row>
    <row r="501" spans="12:12" x14ac:dyDescent="0.25">
      <c r="L501" s="96" t="s">
        <v>1902</v>
      </c>
    </row>
    <row r="502" spans="12:12" x14ac:dyDescent="0.25">
      <c r="L502" s="96" t="s">
        <v>1903</v>
      </c>
    </row>
    <row r="503" spans="12:12" x14ac:dyDescent="0.25">
      <c r="L503" s="96" t="s">
        <v>1904</v>
      </c>
    </row>
    <row r="504" spans="12:12" x14ac:dyDescent="0.25">
      <c r="L504" s="96" t="s">
        <v>1905</v>
      </c>
    </row>
    <row r="505" spans="12:12" x14ac:dyDescent="0.25">
      <c r="L505" s="96" t="s">
        <v>1906</v>
      </c>
    </row>
    <row r="506" spans="12:12" x14ac:dyDescent="0.25">
      <c r="L506" s="96" t="s">
        <v>1907</v>
      </c>
    </row>
    <row r="507" spans="12:12" x14ac:dyDescent="0.25">
      <c r="L507" s="96" t="s">
        <v>1908</v>
      </c>
    </row>
    <row r="508" spans="12:12" x14ac:dyDescent="0.25">
      <c r="L508" s="96" t="s">
        <v>1909</v>
      </c>
    </row>
    <row r="509" spans="12:12" x14ac:dyDescent="0.25">
      <c r="L509" s="96" t="s">
        <v>1910</v>
      </c>
    </row>
    <row r="510" spans="12:12" x14ac:dyDescent="0.25">
      <c r="L510" s="96" t="s">
        <v>1911</v>
      </c>
    </row>
    <row r="511" spans="12:12" x14ac:dyDescent="0.25">
      <c r="L511" s="96" t="s">
        <v>1912</v>
      </c>
    </row>
    <row r="512" spans="12:12" x14ac:dyDescent="0.25">
      <c r="L512" s="96" t="s">
        <v>1913</v>
      </c>
    </row>
    <row r="513" spans="12:12" x14ac:dyDescent="0.25">
      <c r="L513" s="96" t="s">
        <v>1914</v>
      </c>
    </row>
    <row r="514" spans="12:12" x14ac:dyDescent="0.25">
      <c r="L514" s="96" t="s">
        <v>1915</v>
      </c>
    </row>
    <row r="515" spans="12:12" x14ac:dyDescent="0.25">
      <c r="L515" s="96" t="s">
        <v>1916</v>
      </c>
    </row>
    <row r="516" spans="12:12" x14ac:dyDescent="0.25">
      <c r="L516" s="96" t="s">
        <v>1917</v>
      </c>
    </row>
    <row r="517" spans="12:12" x14ac:dyDescent="0.25">
      <c r="L517" s="96" t="s">
        <v>1918</v>
      </c>
    </row>
    <row r="518" spans="12:12" x14ac:dyDescent="0.25">
      <c r="L518" s="96" t="s">
        <v>1919</v>
      </c>
    </row>
    <row r="519" spans="12:12" x14ac:dyDescent="0.25">
      <c r="L519" s="96" t="s">
        <v>1920</v>
      </c>
    </row>
    <row r="520" spans="12:12" x14ac:dyDescent="0.25">
      <c r="L520" s="96" t="s">
        <v>1921</v>
      </c>
    </row>
    <row r="521" spans="12:12" x14ac:dyDescent="0.25">
      <c r="L521" s="96" t="s">
        <v>1922</v>
      </c>
    </row>
    <row r="522" spans="12:12" x14ac:dyDescent="0.25">
      <c r="L522" s="96" t="s">
        <v>1923</v>
      </c>
    </row>
    <row r="523" spans="12:12" x14ac:dyDescent="0.25">
      <c r="L523" s="96" t="s">
        <v>1924</v>
      </c>
    </row>
    <row r="524" spans="12:12" x14ac:dyDescent="0.25">
      <c r="L524" s="96" t="s">
        <v>1925</v>
      </c>
    </row>
    <row r="525" spans="12:12" x14ac:dyDescent="0.25">
      <c r="L525" s="96" t="s">
        <v>1926</v>
      </c>
    </row>
    <row r="526" spans="12:12" x14ac:dyDescent="0.25">
      <c r="L526" s="96" t="s">
        <v>1927</v>
      </c>
    </row>
    <row r="527" spans="12:12" x14ac:dyDescent="0.25">
      <c r="L527" s="96" t="s">
        <v>1928</v>
      </c>
    </row>
    <row r="528" spans="12:12" x14ac:dyDescent="0.25">
      <c r="L528" s="96" t="s">
        <v>1929</v>
      </c>
    </row>
    <row r="529" spans="12:12" x14ac:dyDescent="0.25">
      <c r="L529" s="96" t="s">
        <v>1930</v>
      </c>
    </row>
    <row r="530" spans="12:12" x14ac:dyDescent="0.25">
      <c r="L530" s="96" t="s">
        <v>1931</v>
      </c>
    </row>
    <row r="531" spans="12:12" x14ac:dyDescent="0.25">
      <c r="L531" s="96" t="s">
        <v>1932</v>
      </c>
    </row>
    <row r="532" spans="12:12" x14ac:dyDescent="0.25">
      <c r="L532" s="96" t="s">
        <v>1933</v>
      </c>
    </row>
    <row r="533" spans="12:12" x14ac:dyDescent="0.25">
      <c r="L533" s="96" t="s">
        <v>1934</v>
      </c>
    </row>
    <row r="534" spans="12:12" x14ac:dyDescent="0.25">
      <c r="L534" s="96" t="s">
        <v>1935</v>
      </c>
    </row>
    <row r="535" spans="12:12" x14ac:dyDescent="0.25">
      <c r="L535" s="96" t="s">
        <v>1936</v>
      </c>
    </row>
    <row r="536" spans="12:12" x14ac:dyDescent="0.25">
      <c r="L536" s="96" t="s">
        <v>1937</v>
      </c>
    </row>
    <row r="537" spans="12:12" x14ac:dyDescent="0.25">
      <c r="L537" s="96" t="s">
        <v>1938</v>
      </c>
    </row>
    <row r="538" spans="12:12" x14ac:dyDescent="0.25">
      <c r="L538" s="96" t="s">
        <v>1939</v>
      </c>
    </row>
    <row r="539" spans="12:12" x14ac:dyDescent="0.25">
      <c r="L539" s="96" t="s">
        <v>1940</v>
      </c>
    </row>
    <row r="540" spans="12:12" x14ac:dyDescent="0.25">
      <c r="L540" s="96" t="s">
        <v>1941</v>
      </c>
    </row>
    <row r="541" spans="12:12" x14ac:dyDescent="0.25">
      <c r="L541" s="96" t="s">
        <v>1942</v>
      </c>
    </row>
    <row r="542" spans="12:12" x14ac:dyDescent="0.25">
      <c r="L542" s="96" t="s">
        <v>1943</v>
      </c>
    </row>
    <row r="543" spans="12:12" x14ac:dyDescent="0.25">
      <c r="L543" s="96" t="s">
        <v>1944</v>
      </c>
    </row>
    <row r="544" spans="12:12" x14ac:dyDescent="0.25">
      <c r="L544" s="96" t="s">
        <v>1945</v>
      </c>
    </row>
    <row r="545" spans="12:12" x14ac:dyDescent="0.25">
      <c r="L545" s="96" t="s">
        <v>1946</v>
      </c>
    </row>
    <row r="546" spans="12:12" x14ac:dyDescent="0.25">
      <c r="L546" s="96" t="s">
        <v>1947</v>
      </c>
    </row>
    <row r="547" spans="12:12" x14ac:dyDescent="0.25">
      <c r="L547" s="96" t="s">
        <v>1948</v>
      </c>
    </row>
    <row r="548" spans="12:12" x14ac:dyDescent="0.25">
      <c r="L548" s="96" t="s">
        <v>1949</v>
      </c>
    </row>
    <row r="549" spans="12:12" x14ac:dyDescent="0.25">
      <c r="L549" s="96" t="s">
        <v>1950</v>
      </c>
    </row>
    <row r="550" spans="12:12" x14ac:dyDescent="0.25">
      <c r="L550" s="96" t="s">
        <v>1951</v>
      </c>
    </row>
    <row r="551" spans="12:12" x14ac:dyDescent="0.25">
      <c r="L551" s="96" t="s">
        <v>1952</v>
      </c>
    </row>
    <row r="552" spans="12:12" x14ac:dyDescent="0.25">
      <c r="L552" s="96" t="s">
        <v>1953</v>
      </c>
    </row>
    <row r="553" spans="12:12" x14ac:dyDescent="0.25">
      <c r="L553" s="96" t="s">
        <v>1954</v>
      </c>
    </row>
    <row r="554" spans="12:12" x14ac:dyDescent="0.25">
      <c r="L554" s="96" t="s">
        <v>1955</v>
      </c>
    </row>
    <row r="555" spans="12:12" x14ac:dyDescent="0.25">
      <c r="L555" s="96" t="s">
        <v>1956</v>
      </c>
    </row>
    <row r="556" spans="12:12" x14ac:dyDescent="0.25">
      <c r="L556" s="96" t="s">
        <v>1957</v>
      </c>
    </row>
    <row r="557" spans="12:12" x14ac:dyDescent="0.25">
      <c r="L557" s="96" t="s">
        <v>1958</v>
      </c>
    </row>
    <row r="558" spans="12:12" x14ac:dyDescent="0.25">
      <c r="L558" s="96" t="s">
        <v>1959</v>
      </c>
    </row>
    <row r="559" spans="12:12" x14ac:dyDescent="0.25">
      <c r="L559" s="96" t="s">
        <v>1960</v>
      </c>
    </row>
    <row r="560" spans="12:12" x14ac:dyDescent="0.25">
      <c r="L560" s="96" t="s">
        <v>1961</v>
      </c>
    </row>
    <row r="561" spans="12:12" x14ac:dyDescent="0.25">
      <c r="L561" s="96" t="s">
        <v>1962</v>
      </c>
    </row>
    <row r="562" spans="12:12" x14ac:dyDescent="0.25">
      <c r="L562" s="96" t="s">
        <v>1963</v>
      </c>
    </row>
    <row r="563" spans="12:12" x14ac:dyDescent="0.25">
      <c r="L563" s="96" t="s">
        <v>1964</v>
      </c>
    </row>
    <row r="564" spans="12:12" x14ac:dyDescent="0.25">
      <c r="L564" s="96" t="s">
        <v>1965</v>
      </c>
    </row>
    <row r="565" spans="12:12" x14ac:dyDescent="0.25">
      <c r="L565" s="96" t="s">
        <v>1966</v>
      </c>
    </row>
    <row r="566" spans="12:12" x14ac:dyDescent="0.25">
      <c r="L566" s="96" t="s">
        <v>1967</v>
      </c>
    </row>
    <row r="567" spans="12:12" x14ac:dyDescent="0.25">
      <c r="L567" s="96" t="s">
        <v>1968</v>
      </c>
    </row>
    <row r="568" spans="12:12" x14ac:dyDescent="0.25">
      <c r="L568" s="96" t="s">
        <v>1969</v>
      </c>
    </row>
    <row r="569" spans="12:12" x14ac:dyDescent="0.25">
      <c r="L569" s="96" t="s">
        <v>1970</v>
      </c>
    </row>
    <row r="570" spans="12:12" x14ac:dyDescent="0.25">
      <c r="L570" s="96" t="s">
        <v>1971</v>
      </c>
    </row>
    <row r="571" spans="12:12" x14ac:dyDescent="0.25">
      <c r="L571" s="96" t="s">
        <v>1972</v>
      </c>
    </row>
    <row r="572" spans="12:12" x14ac:dyDescent="0.25">
      <c r="L572" s="96" t="s">
        <v>1973</v>
      </c>
    </row>
    <row r="573" spans="12:12" x14ac:dyDescent="0.25">
      <c r="L573" s="96" t="s">
        <v>1974</v>
      </c>
    </row>
    <row r="574" spans="12:12" x14ac:dyDescent="0.25">
      <c r="L574" s="96" t="s">
        <v>1975</v>
      </c>
    </row>
    <row r="575" spans="12:12" x14ac:dyDescent="0.25">
      <c r="L575" s="96" t="s">
        <v>1976</v>
      </c>
    </row>
    <row r="576" spans="12:12" x14ac:dyDescent="0.25">
      <c r="L576" s="96" t="s">
        <v>1977</v>
      </c>
    </row>
    <row r="577" spans="12:12" x14ac:dyDescent="0.25">
      <c r="L577" s="96" t="s">
        <v>1978</v>
      </c>
    </row>
    <row r="578" spans="12:12" x14ac:dyDescent="0.25">
      <c r="L578" s="96" t="s">
        <v>1979</v>
      </c>
    </row>
    <row r="579" spans="12:12" x14ac:dyDescent="0.25">
      <c r="L579" s="96" t="s">
        <v>1980</v>
      </c>
    </row>
    <row r="580" spans="12:12" x14ac:dyDescent="0.25">
      <c r="L580" s="96" t="s">
        <v>1981</v>
      </c>
    </row>
    <row r="581" spans="12:12" x14ac:dyDescent="0.25">
      <c r="L581" s="96" t="s">
        <v>1982</v>
      </c>
    </row>
    <row r="582" spans="12:12" x14ac:dyDescent="0.25">
      <c r="L582" s="96" t="s">
        <v>1983</v>
      </c>
    </row>
    <row r="583" spans="12:12" x14ac:dyDescent="0.25">
      <c r="L583" s="96" t="s">
        <v>1984</v>
      </c>
    </row>
    <row r="584" spans="12:12" x14ac:dyDescent="0.25">
      <c r="L584" s="96" t="s">
        <v>1985</v>
      </c>
    </row>
    <row r="585" spans="12:12" x14ac:dyDescent="0.25">
      <c r="L585" s="96" t="s">
        <v>1986</v>
      </c>
    </row>
    <row r="586" spans="12:12" x14ac:dyDescent="0.25">
      <c r="L586" s="96" t="s">
        <v>1987</v>
      </c>
    </row>
    <row r="587" spans="12:12" x14ac:dyDescent="0.25">
      <c r="L587" s="96" t="s">
        <v>1988</v>
      </c>
    </row>
    <row r="588" spans="12:12" x14ac:dyDescent="0.25">
      <c r="L588" s="96" t="s">
        <v>1989</v>
      </c>
    </row>
    <row r="589" spans="12:12" x14ac:dyDescent="0.25">
      <c r="L589" s="96" t="s">
        <v>1990</v>
      </c>
    </row>
    <row r="590" spans="12:12" x14ac:dyDescent="0.25">
      <c r="L590" s="96" t="s">
        <v>1991</v>
      </c>
    </row>
    <row r="591" spans="12:12" x14ac:dyDescent="0.25">
      <c r="L591" s="96" t="s">
        <v>1992</v>
      </c>
    </row>
    <row r="592" spans="12:12" x14ac:dyDescent="0.25">
      <c r="L592" s="96" t="s">
        <v>1993</v>
      </c>
    </row>
    <row r="593" spans="12:12" x14ac:dyDescent="0.25">
      <c r="L593" s="96" t="s">
        <v>1994</v>
      </c>
    </row>
    <row r="594" spans="12:12" x14ac:dyDescent="0.25">
      <c r="L594" s="96" t="s">
        <v>1995</v>
      </c>
    </row>
    <row r="595" spans="12:12" x14ac:dyDescent="0.25">
      <c r="L595" s="96" t="s">
        <v>1996</v>
      </c>
    </row>
    <row r="596" spans="12:12" x14ac:dyDescent="0.25">
      <c r="L596" s="96" t="s">
        <v>1997</v>
      </c>
    </row>
    <row r="597" spans="12:12" x14ac:dyDescent="0.25">
      <c r="L597" s="96" t="s">
        <v>1998</v>
      </c>
    </row>
    <row r="598" spans="12:12" x14ac:dyDescent="0.25">
      <c r="L598" s="96" t="s">
        <v>1999</v>
      </c>
    </row>
    <row r="599" spans="12:12" x14ac:dyDescent="0.25">
      <c r="L599" s="96" t="s">
        <v>2000</v>
      </c>
    </row>
    <row r="600" spans="12:12" x14ac:dyDescent="0.25">
      <c r="L600" s="96" t="s">
        <v>2001</v>
      </c>
    </row>
    <row r="601" spans="12:12" x14ac:dyDescent="0.25">
      <c r="L601" s="96" t="s">
        <v>2002</v>
      </c>
    </row>
    <row r="602" spans="12:12" x14ac:dyDescent="0.25">
      <c r="L602" s="96" t="s">
        <v>2003</v>
      </c>
    </row>
    <row r="603" spans="12:12" x14ac:dyDescent="0.25">
      <c r="L603" s="96" t="s">
        <v>2004</v>
      </c>
    </row>
    <row r="604" spans="12:12" x14ac:dyDescent="0.25">
      <c r="L604" s="96" t="s">
        <v>2005</v>
      </c>
    </row>
    <row r="605" spans="12:12" x14ac:dyDescent="0.25">
      <c r="L605" s="96" t="s">
        <v>2006</v>
      </c>
    </row>
    <row r="606" spans="12:12" x14ac:dyDescent="0.25">
      <c r="L606" s="96" t="s">
        <v>2007</v>
      </c>
    </row>
    <row r="607" spans="12:12" x14ac:dyDescent="0.25">
      <c r="L607" s="96" t="s">
        <v>2008</v>
      </c>
    </row>
    <row r="608" spans="12:12" x14ac:dyDescent="0.25">
      <c r="L608" s="96" t="s">
        <v>2009</v>
      </c>
    </row>
    <row r="609" spans="12:12" x14ac:dyDescent="0.25">
      <c r="L609" s="96" t="s">
        <v>2010</v>
      </c>
    </row>
    <row r="610" spans="12:12" x14ac:dyDescent="0.25">
      <c r="L610" s="96" t="s">
        <v>2011</v>
      </c>
    </row>
    <row r="611" spans="12:12" x14ac:dyDescent="0.25">
      <c r="L611" s="96" t="s">
        <v>2012</v>
      </c>
    </row>
    <row r="612" spans="12:12" x14ac:dyDescent="0.25">
      <c r="L612" s="96" t="s">
        <v>2013</v>
      </c>
    </row>
    <row r="613" spans="12:12" x14ac:dyDescent="0.25">
      <c r="L613" s="96" t="s">
        <v>2014</v>
      </c>
    </row>
    <row r="614" spans="12:12" x14ac:dyDescent="0.25">
      <c r="L614" s="96" t="s">
        <v>2015</v>
      </c>
    </row>
    <row r="615" spans="12:12" x14ac:dyDescent="0.25">
      <c r="L615" s="96" t="s">
        <v>2016</v>
      </c>
    </row>
    <row r="616" spans="12:12" x14ac:dyDescent="0.25">
      <c r="L616" s="96" t="s">
        <v>2017</v>
      </c>
    </row>
    <row r="617" spans="12:12" x14ac:dyDescent="0.25">
      <c r="L617" s="96" t="s">
        <v>2018</v>
      </c>
    </row>
    <row r="618" spans="12:12" x14ac:dyDescent="0.25">
      <c r="L618" s="96" t="s">
        <v>2019</v>
      </c>
    </row>
    <row r="619" spans="12:12" x14ac:dyDescent="0.25">
      <c r="L619" s="96" t="s">
        <v>2020</v>
      </c>
    </row>
    <row r="620" spans="12:12" x14ac:dyDescent="0.25">
      <c r="L620" s="96" t="s">
        <v>2021</v>
      </c>
    </row>
    <row r="621" spans="12:12" x14ac:dyDescent="0.25">
      <c r="L621" s="96" t="s">
        <v>2022</v>
      </c>
    </row>
    <row r="622" spans="12:12" x14ac:dyDescent="0.25">
      <c r="L622" s="96" t="s">
        <v>2023</v>
      </c>
    </row>
    <row r="623" spans="12:12" x14ac:dyDescent="0.25">
      <c r="L623" s="96" t="s">
        <v>2024</v>
      </c>
    </row>
    <row r="624" spans="12:12" x14ac:dyDescent="0.25">
      <c r="L624" s="96" t="s">
        <v>2025</v>
      </c>
    </row>
    <row r="625" spans="12:12" x14ac:dyDescent="0.25">
      <c r="L625" s="96" t="s">
        <v>2026</v>
      </c>
    </row>
    <row r="626" spans="12:12" x14ac:dyDescent="0.25">
      <c r="L626" s="96" t="s">
        <v>2027</v>
      </c>
    </row>
    <row r="627" spans="12:12" x14ac:dyDescent="0.25">
      <c r="L627" s="96" t="s">
        <v>2028</v>
      </c>
    </row>
    <row r="628" spans="12:12" x14ac:dyDescent="0.25">
      <c r="L628" s="96" t="s">
        <v>2029</v>
      </c>
    </row>
    <row r="629" spans="12:12" x14ac:dyDescent="0.25">
      <c r="L629" s="96" t="s">
        <v>2030</v>
      </c>
    </row>
    <row r="630" spans="12:12" x14ac:dyDescent="0.25">
      <c r="L630" s="96" t="s">
        <v>2031</v>
      </c>
    </row>
    <row r="631" spans="12:12" x14ac:dyDescent="0.25">
      <c r="L631" s="96" t="s">
        <v>2032</v>
      </c>
    </row>
    <row r="632" spans="12:12" x14ac:dyDescent="0.25">
      <c r="L632" s="96" t="s">
        <v>2033</v>
      </c>
    </row>
    <row r="633" spans="12:12" x14ac:dyDescent="0.25">
      <c r="L633" s="96" t="s">
        <v>2034</v>
      </c>
    </row>
    <row r="634" spans="12:12" x14ac:dyDescent="0.25">
      <c r="L634" s="96" t="s">
        <v>2035</v>
      </c>
    </row>
    <row r="635" spans="12:12" x14ac:dyDescent="0.25">
      <c r="L635" s="96" t="s">
        <v>2036</v>
      </c>
    </row>
    <row r="636" spans="12:12" x14ac:dyDescent="0.25">
      <c r="L636" s="96" t="s">
        <v>2037</v>
      </c>
    </row>
    <row r="637" spans="12:12" x14ac:dyDescent="0.25">
      <c r="L637" s="96" t="s">
        <v>2038</v>
      </c>
    </row>
    <row r="638" spans="12:12" x14ac:dyDescent="0.25">
      <c r="L638" s="96" t="s">
        <v>2039</v>
      </c>
    </row>
    <row r="639" spans="12:12" x14ac:dyDescent="0.25">
      <c r="L639" s="96" t="s">
        <v>2040</v>
      </c>
    </row>
    <row r="640" spans="12:12" x14ac:dyDescent="0.25">
      <c r="L640" s="96" t="s">
        <v>2041</v>
      </c>
    </row>
    <row r="641" spans="12:12" x14ac:dyDescent="0.25">
      <c r="L641" s="96" t="s">
        <v>2042</v>
      </c>
    </row>
    <row r="642" spans="12:12" x14ac:dyDescent="0.25">
      <c r="L642" s="96" t="s">
        <v>2043</v>
      </c>
    </row>
    <row r="643" spans="12:12" x14ac:dyDescent="0.25">
      <c r="L643" s="96" t="s">
        <v>2044</v>
      </c>
    </row>
    <row r="644" spans="12:12" x14ac:dyDescent="0.25">
      <c r="L644" s="96" t="s">
        <v>2045</v>
      </c>
    </row>
    <row r="645" spans="12:12" x14ac:dyDescent="0.25">
      <c r="L645" s="96" t="s">
        <v>2046</v>
      </c>
    </row>
    <row r="646" spans="12:12" x14ac:dyDescent="0.25">
      <c r="L646" s="96" t="s">
        <v>2047</v>
      </c>
    </row>
    <row r="647" spans="12:12" x14ac:dyDescent="0.25">
      <c r="L647" s="96" t="s">
        <v>2048</v>
      </c>
    </row>
    <row r="648" spans="12:12" x14ac:dyDescent="0.25">
      <c r="L648" s="96" t="s">
        <v>2049</v>
      </c>
    </row>
    <row r="649" spans="12:12" x14ac:dyDescent="0.25">
      <c r="L649" s="96" t="s">
        <v>2050</v>
      </c>
    </row>
    <row r="650" spans="12:12" x14ac:dyDescent="0.25">
      <c r="L650" s="96" t="s">
        <v>2051</v>
      </c>
    </row>
    <row r="651" spans="12:12" x14ac:dyDescent="0.25">
      <c r="L651" s="96" t="s">
        <v>2052</v>
      </c>
    </row>
    <row r="652" spans="12:12" x14ac:dyDescent="0.25">
      <c r="L652" s="96" t="s">
        <v>2053</v>
      </c>
    </row>
    <row r="653" spans="12:12" x14ac:dyDescent="0.25">
      <c r="L653" s="96" t="s">
        <v>2054</v>
      </c>
    </row>
    <row r="654" spans="12:12" x14ac:dyDescent="0.25">
      <c r="L654" s="96" t="s">
        <v>2055</v>
      </c>
    </row>
    <row r="655" spans="12:12" x14ac:dyDescent="0.25">
      <c r="L655" s="96" t="s">
        <v>2056</v>
      </c>
    </row>
    <row r="656" spans="12:12" x14ac:dyDescent="0.25">
      <c r="L656" s="96" t="s">
        <v>2057</v>
      </c>
    </row>
    <row r="657" spans="12:12" x14ac:dyDescent="0.25">
      <c r="L657" s="96" t="s">
        <v>2058</v>
      </c>
    </row>
    <row r="658" spans="12:12" x14ac:dyDescent="0.25">
      <c r="L658" s="96" t="s">
        <v>2059</v>
      </c>
    </row>
    <row r="659" spans="12:12" x14ac:dyDescent="0.25">
      <c r="L659" s="96" t="s">
        <v>2060</v>
      </c>
    </row>
    <row r="660" spans="12:12" x14ac:dyDescent="0.25">
      <c r="L660" s="96" t="s">
        <v>2061</v>
      </c>
    </row>
    <row r="661" spans="12:12" x14ac:dyDescent="0.25">
      <c r="L661" s="96" t="s">
        <v>2062</v>
      </c>
    </row>
    <row r="662" spans="12:12" x14ac:dyDescent="0.25">
      <c r="L662" s="96" t="s">
        <v>2063</v>
      </c>
    </row>
    <row r="663" spans="12:12" x14ac:dyDescent="0.25">
      <c r="L663" s="96" t="s">
        <v>2064</v>
      </c>
    </row>
    <row r="664" spans="12:12" x14ac:dyDescent="0.25">
      <c r="L664" s="96" t="s">
        <v>2065</v>
      </c>
    </row>
    <row r="665" spans="12:12" x14ac:dyDescent="0.25">
      <c r="L665" s="96" t="s">
        <v>2066</v>
      </c>
    </row>
    <row r="666" spans="12:12" x14ac:dyDescent="0.25">
      <c r="L666" s="96" t="s">
        <v>2067</v>
      </c>
    </row>
    <row r="667" spans="12:12" x14ac:dyDescent="0.25">
      <c r="L667" s="96" t="s">
        <v>2068</v>
      </c>
    </row>
    <row r="668" spans="12:12" x14ac:dyDescent="0.25">
      <c r="L668" s="96" t="s">
        <v>2069</v>
      </c>
    </row>
    <row r="669" spans="12:12" x14ac:dyDescent="0.25">
      <c r="L669" s="96" t="s">
        <v>2070</v>
      </c>
    </row>
    <row r="670" spans="12:12" x14ac:dyDescent="0.25">
      <c r="L670" s="96" t="s">
        <v>2071</v>
      </c>
    </row>
    <row r="671" spans="12:12" x14ac:dyDescent="0.25">
      <c r="L671" s="96" t="s">
        <v>2072</v>
      </c>
    </row>
    <row r="672" spans="12:12" x14ac:dyDescent="0.25">
      <c r="L672" s="96" t="s">
        <v>2073</v>
      </c>
    </row>
    <row r="673" spans="12:12" x14ac:dyDescent="0.25">
      <c r="L673" s="96" t="s">
        <v>2074</v>
      </c>
    </row>
    <row r="674" spans="12:12" x14ac:dyDescent="0.25">
      <c r="L674" s="96" t="s">
        <v>2075</v>
      </c>
    </row>
    <row r="675" spans="12:12" x14ac:dyDescent="0.25">
      <c r="L675" s="96" t="s">
        <v>2076</v>
      </c>
    </row>
    <row r="676" spans="12:12" x14ac:dyDescent="0.25">
      <c r="L676" s="96" t="s">
        <v>2077</v>
      </c>
    </row>
    <row r="677" spans="12:12" x14ac:dyDescent="0.25">
      <c r="L677" s="96" t="s">
        <v>2078</v>
      </c>
    </row>
    <row r="678" spans="12:12" x14ac:dyDescent="0.25">
      <c r="L678" s="96" t="s">
        <v>2079</v>
      </c>
    </row>
    <row r="679" spans="12:12" x14ac:dyDescent="0.25">
      <c r="L679" s="96" t="s">
        <v>2080</v>
      </c>
    </row>
    <row r="680" spans="12:12" x14ac:dyDescent="0.25">
      <c r="L680" s="96" t="s">
        <v>2081</v>
      </c>
    </row>
    <row r="681" spans="12:12" x14ac:dyDescent="0.25">
      <c r="L681" s="96" t="s">
        <v>2082</v>
      </c>
    </row>
    <row r="682" spans="12:12" x14ac:dyDescent="0.25">
      <c r="L682" s="96" t="s">
        <v>2083</v>
      </c>
    </row>
    <row r="683" spans="12:12" x14ac:dyDescent="0.25">
      <c r="L683" s="96" t="s">
        <v>2084</v>
      </c>
    </row>
    <row r="684" spans="12:12" x14ac:dyDescent="0.25">
      <c r="L684" s="96" t="s">
        <v>2085</v>
      </c>
    </row>
    <row r="685" spans="12:12" x14ac:dyDescent="0.25">
      <c r="L685" s="96" t="s">
        <v>2086</v>
      </c>
    </row>
    <row r="686" spans="12:12" x14ac:dyDescent="0.25">
      <c r="L686" s="96" t="s">
        <v>2087</v>
      </c>
    </row>
    <row r="687" spans="12:12" x14ac:dyDescent="0.25">
      <c r="L687" s="96" t="s">
        <v>2088</v>
      </c>
    </row>
    <row r="688" spans="12:12" x14ac:dyDescent="0.25">
      <c r="L688" s="96" t="s">
        <v>2089</v>
      </c>
    </row>
    <row r="689" spans="12:12" x14ac:dyDescent="0.25">
      <c r="L689" s="96" t="s">
        <v>2090</v>
      </c>
    </row>
    <row r="690" spans="12:12" x14ac:dyDescent="0.25">
      <c r="L690" s="96" t="s">
        <v>2091</v>
      </c>
    </row>
    <row r="691" spans="12:12" x14ac:dyDescent="0.25">
      <c r="L691" s="96" t="s">
        <v>2092</v>
      </c>
    </row>
    <row r="692" spans="12:12" x14ac:dyDescent="0.25">
      <c r="L692" s="96" t="s">
        <v>2093</v>
      </c>
    </row>
    <row r="693" spans="12:12" x14ac:dyDescent="0.25">
      <c r="L693" s="96" t="s">
        <v>2094</v>
      </c>
    </row>
    <row r="694" spans="12:12" x14ac:dyDescent="0.25">
      <c r="L694" s="96" t="s">
        <v>2095</v>
      </c>
    </row>
    <row r="695" spans="12:12" x14ac:dyDescent="0.25">
      <c r="L695" s="96" t="s">
        <v>2096</v>
      </c>
    </row>
    <row r="696" spans="12:12" x14ac:dyDescent="0.25">
      <c r="L696" s="96" t="s">
        <v>2097</v>
      </c>
    </row>
    <row r="697" spans="12:12" x14ac:dyDescent="0.25">
      <c r="L697" s="96" t="s">
        <v>2098</v>
      </c>
    </row>
    <row r="698" spans="12:12" x14ac:dyDescent="0.25">
      <c r="L698" s="96" t="s">
        <v>2099</v>
      </c>
    </row>
    <row r="699" spans="12:12" x14ac:dyDescent="0.25">
      <c r="L699" s="96" t="s">
        <v>2100</v>
      </c>
    </row>
    <row r="700" spans="12:12" x14ac:dyDescent="0.25">
      <c r="L700" s="96" t="s">
        <v>2101</v>
      </c>
    </row>
    <row r="701" spans="12:12" x14ac:dyDescent="0.25">
      <c r="L701" s="96" t="s">
        <v>2102</v>
      </c>
    </row>
    <row r="702" spans="12:12" x14ac:dyDescent="0.25">
      <c r="L702" s="96" t="s">
        <v>2103</v>
      </c>
    </row>
    <row r="703" spans="12:12" x14ac:dyDescent="0.25">
      <c r="L703" s="96" t="s">
        <v>2104</v>
      </c>
    </row>
    <row r="704" spans="12:12" x14ac:dyDescent="0.25">
      <c r="L704" s="96" t="s">
        <v>2105</v>
      </c>
    </row>
    <row r="705" spans="12:12" x14ac:dyDescent="0.25">
      <c r="L705" s="96" t="s">
        <v>2106</v>
      </c>
    </row>
    <row r="706" spans="12:12" x14ac:dyDescent="0.25">
      <c r="L706" s="96" t="s">
        <v>2107</v>
      </c>
    </row>
    <row r="707" spans="12:12" x14ac:dyDescent="0.25">
      <c r="L707" s="96" t="s">
        <v>2108</v>
      </c>
    </row>
    <row r="708" spans="12:12" x14ac:dyDescent="0.25">
      <c r="L708" s="96" t="s">
        <v>2109</v>
      </c>
    </row>
    <row r="709" spans="12:12" x14ac:dyDescent="0.25">
      <c r="L709" s="96" t="s">
        <v>2110</v>
      </c>
    </row>
    <row r="710" spans="12:12" x14ac:dyDescent="0.25">
      <c r="L710" s="96" t="s">
        <v>2111</v>
      </c>
    </row>
    <row r="711" spans="12:12" x14ac:dyDescent="0.25">
      <c r="L711" s="96" t="s">
        <v>2112</v>
      </c>
    </row>
    <row r="712" spans="12:12" x14ac:dyDescent="0.25">
      <c r="L712" s="96" t="s">
        <v>2113</v>
      </c>
    </row>
    <row r="713" spans="12:12" x14ac:dyDescent="0.25">
      <c r="L713" s="96" t="s">
        <v>2114</v>
      </c>
    </row>
    <row r="714" spans="12:12" x14ac:dyDescent="0.25">
      <c r="L714" s="96" t="s">
        <v>2115</v>
      </c>
    </row>
    <row r="715" spans="12:12" x14ac:dyDescent="0.25">
      <c r="L715" s="96" t="s">
        <v>2116</v>
      </c>
    </row>
    <row r="716" spans="12:12" x14ac:dyDescent="0.25">
      <c r="L716" s="96" t="s">
        <v>2117</v>
      </c>
    </row>
    <row r="717" spans="12:12" x14ac:dyDescent="0.25">
      <c r="L717" s="96" t="s">
        <v>2118</v>
      </c>
    </row>
    <row r="718" spans="12:12" x14ac:dyDescent="0.25">
      <c r="L718" s="96" t="s">
        <v>2119</v>
      </c>
    </row>
    <row r="719" spans="12:12" x14ac:dyDescent="0.25">
      <c r="L719" s="96" t="s">
        <v>2120</v>
      </c>
    </row>
    <row r="720" spans="12:12" x14ac:dyDescent="0.25">
      <c r="L720" s="96" t="s">
        <v>2121</v>
      </c>
    </row>
    <row r="721" spans="12:12" x14ac:dyDescent="0.25">
      <c r="L721" s="96" t="s">
        <v>2122</v>
      </c>
    </row>
    <row r="722" spans="12:12" x14ac:dyDescent="0.25">
      <c r="L722" s="96" t="s">
        <v>2123</v>
      </c>
    </row>
    <row r="723" spans="12:12" x14ac:dyDescent="0.25">
      <c r="L723" s="96" t="s">
        <v>2124</v>
      </c>
    </row>
    <row r="724" spans="12:12" x14ac:dyDescent="0.25">
      <c r="L724" s="96" t="s">
        <v>2125</v>
      </c>
    </row>
    <row r="725" spans="12:12" x14ac:dyDescent="0.25">
      <c r="L725" s="96" t="s">
        <v>2126</v>
      </c>
    </row>
    <row r="726" spans="12:12" x14ac:dyDescent="0.25">
      <c r="L726" s="96" t="s">
        <v>2127</v>
      </c>
    </row>
    <row r="727" spans="12:12" x14ac:dyDescent="0.25">
      <c r="L727" s="96" t="s">
        <v>2128</v>
      </c>
    </row>
    <row r="728" spans="12:12" x14ac:dyDescent="0.25">
      <c r="L728" s="96" t="s">
        <v>2129</v>
      </c>
    </row>
    <row r="729" spans="12:12" x14ac:dyDescent="0.25">
      <c r="L729" s="96" t="s">
        <v>2130</v>
      </c>
    </row>
    <row r="730" spans="12:12" x14ac:dyDescent="0.25">
      <c r="L730" s="96" t="s">
        <v>2131</v>
      </c>
    </row>
    <row r="731" spans="12:12" x14ac:dyDescent="0.25">
      <c r="L731" s="96" t="s">
        <v>2132</v>
      </c>
    </row>
    <row r="732" spans="12:12" x14ac:dyDescent="0.25">
      <c r="L732" s="96" t="s">
        <v>2133</v>
      </c>
    </row>
    <row r="733" spans="12:12" x14ac:dyDescent="0.25">
      <c r="L733" s="96" t="s">
        <v>2134</v>
      </c>
    </row>
    <row r="734" spans="12:12" x14ac:dyDescent="0.25">
      <c r="L734" s="96" t="s">
        <v>2135</v>
      </c>
    </row>
    <row r="735" spans="12:12" x14ac:dyDescent="0.25">
      <c r="L735" s="96" t="s">
        <v>2136</v>
      </c>
    </row>
    <row r="736" spans="12:12" x14ac:dyDescent="0.25">
      <c r="L736" s="96" t="s">
        <v>2137</v>
      </c>
    </row>
    <row r="737" spans="12:12" x14ac:dyDescent="0.25">
      <c r="L737" s="96" t="s">
        <v>2138</v>
      </c>
    </row>
    <row r="738" spans="12:12" x14ac:dyDescent="0.25">
      <c r="L738" s="96" t="s">
        <v>2139</v>
      </c>
    </row>
    <row r="739" spans="12:12" x14ac:dyDescent="0.25">
      <c r="L739" s="96" t="s">
        <v>2140</v>
      </c>
    </row>
    <row r="740" spans="12:12" x14ac:dyDescent="0.25">
      <c r="L740" s="96" t="s">
        <v>2141</v>
      </c>
    </row>
    <row r="741" spans="12:12" x14ac:dyDescent="0.25">
      <c r="L741" s="96" t="s">
        <v>2142</v>
      </c>
    </row>
    <row r="742" spans="12:12" x14ac:dyDescent="0.25">
      <c r="L742" s="96" t="s">
        <v>2143</v>
      </c>
    </row>
    <row r="743" spans="12:12" x14ac:dyDescent="0.25">
      <c r="L743" s="96" t="s">
        <v>2144</v>
      </c>
    </row>
    <row r="744" spans="12:12" x14ac:dyDescent="0.25">
      <c r="L744" s="96" t="s">
        <v>2145</v>
      </c>
    </row>
    <row r="745" spans="12:12" x14ac:dyDescent="0.25">
      <c r="L745" s="96" t="s">
        <v>2146</v>
      </c>
    </row>
    <row r="746" spans="12:12" x14ac:dyDescent="0.25">
      <c r="L746" s="96" t="s">
        <v>2147</v>
      </c>
    </row>
    <row r="747" spans="12:12" x14ac:dyDescent="0.25">
      <c r="L747" s="96" t="s">
        <v>2148</v>
      </c>
    </row>
    <row r="748" spans="12:12" x14ac:dyDescent="0.25">
      <c r="L748" s="96" t="s">
        <v>2149</v>
      </c>
    </row>
    <row r="749" spans="12:12" x14ac:dyDescent="0.25">
      <c r="L749" s="96" t="s">
        <v>2150</v>
      </c>
    </row>
    <row r="750" spans="12:12" x14ac:dyDescent="0.25">
      <c r="L750" s="96" t="s">
        <v>2151</v>
      </c>
    </row>
    <row r="751" spans="12:12" x14ac:dyDescent="0.25">
      <c r="L751" s="96" t="s">
        <v>2152</v>
      </c>
    </row>
    <row r="752" spans="12:12" x14ac:dyDescent="0.25">
      <c r="L752" s="96" t="s">
        <v>2153</v>
      </c>
    </row>
    <row r="753" spans="12:12" x14ac:dyDescent="0.25">
      <c r="L753" s="96" t="s">
        <v>2154</v>
      </c>
    </row>
    <row r="754" spans="12:12" x14ac:dyDescent="0.25">
      <c r="L754" s="96" t="s">
        <v>2155</v>
      </c>
    </row>
    <row r="755" spans="12:12" x14ac:dyDescent="0.25">
      <c r="L755" s="96" t="s">
        <v>2156</v>
      </c>
    </row>
    <row r="756" spans="12:12" x14ac:dyDescent="0.25">
      <c r="L756" s="96" t="s">
        <v>2157</v>
      </c>
    </row>
    <row r="757" spans="12:12" x14ac:dyDescent="0.25">
      <c r="L757" s="96" t="s">
        <v>2158</v>
      </c>
    </row>
    <row r="758" spans="12:12" x14ac:dyDescent="0.25">
      <c r="L758" s="96" t="s">
        <v>2159</v>
      </c>
    </row>
    <row r="759" spans="12:12" x14ac:dyDescent="0.25">
      <c r="L759" s="96" t="s">
        <v>2160</v>
      </c>
    </row>
    <row r="760" spans="12:12" x14ac:dyDescent="0.25">
      <c r="L760" s="96" t="s">
        <v>2161</v>
      </c>
    </row>
    <row r="761" spans="12:12" x14ac:dyDescent="0.25">
      <c r="L761" s="96" t="s">
        <v>2162</v>
      </c>
    </row>
    <row r="762" spans="12:12" x14ac:dyDescent="0.25">
      <c r="L762" s="96" t="s">
        <v>2163</v>
      </c>
    </row>
    <row r="763" spans="12:12" x14ac:dyDescent="0.25">
      <c r="L763" s="96" t="s">
        <v>2164</v>
      </c>
    </row>
    <row r="764" spans="12:12" x14ac:dyDescent="0.25">
      <c r="L764" s="96" t="s">
        <v>2165</v>
      </c>
    </row>
    <row r="765" spans="12:12" x14ac:dyDescent="0.25">
      <c r="L765" s="96" t="s">
        <v>2166</v>
      </c>
    </row>
    <row r="766" spans="12:12" x14ac:dyDescent="0.25">
      <c r="L766" s="96" t="s">
        <v>2167</v>
      </c>
    </row>
    <row r="767" spans="12:12" x14ac:dyDescent="0.25">
      <c r="L767" s="96" t="s">
        <v>2168</v>
      </c>
    </row>
    <row r="768" spans="12:12" x14ac:dyDescent="0.25">
      <c r="L768" s="96" t="s">
        <v>2169</v>
      </c>
    </row>
    <row r="769" spans="12:12" x14ac:dyDescent="0.25">
      <c r="L769" s="96" t="s">
        <v>2170</v>
      </c>
    </row>
    <row r="770" spans="12:12" x14ac:dyDescent="0.25">
      <c r="L770" s="96" t="s">
        <v>2171</v>
      </c>
    </row>
    <row r="771" spans="12:12" x14ac:dyDescent="0.25">
      <c r="L771" s="96" t="s">
        <v>2172</v>
      </c>
    </row>
    <row r="772" spans="12:12" x14ac:dyDescent="0.25">
      <c r="L772" s="96" t="s">
        <v>2173</v>
      </c>
    </row>
    <row r="773" spans="12:12" x14ac:dyDescent="0.25">
      <c r="L773" s="96" t="s">
        <v>2174</v>
      </c>
    </row>
    <row r="774" spans="12:12" x14ac:dyDescent="0.25">
      <c r="L774" s="96" t="s">
        <v>2175</v>
      </c>
    </row>
    <row r="775" spans="12:12" x14ac:dyDescent="0.25">
      <c r="L775" s="96" t="s">
        <v>2176</v>
      </c>
    </row>
    <row r="776" spans="12:12" x14ac:dyDescent="0.25">
      <c r="L776" s="96" t="s">
        <v>2177</v>
      </c>
    </row>
    <row r="777" spans="12:12" x14ac:dyDescent="0.25">
      <c r="L777" s="96" t="s">
        <v>2178</v>
      </c>
    </row>
    <row r="778" spans="12:12" x14ac:dyDescent="0.25">
      <c r="L778" s="96" t="s">
        <v>2179</v>
      </c>
    </row>
    <row r="779" spans="12:12" x14ac:dyDescent="0.25">
      <c r="L779" s="96" t="s">
        <v>2180</v>
      </c>
    </row>
    <row r="780" spans="12:12" x14ac:dyDescent="0.25">
      <c r="L780" s="96" t="s">
        <v>2181</v>
      </c>
    </row>
    <row r="781" spans="12:12" x14ac:dyDescent="0.25">
      <c r="L781" s="96" t="s">
        <v>2182</v>
      </c>
    </row>
    <row r="782" spans="12:12" x14ac:dyDescent="0.25">
      <c r="L782" s="96" t="s">
        <v>2183</v>
      </c>
    </row>
    <row r="783" spans="12:12" x14ac:dyDescent="0.25">
      <c r="L783" s="96" t="s">
        <v>2184</v>
      </c>
    </row>
    <row r="784" spans="12:12" x14ac:dyDescent="0.25">
      <c r="L784" s="96" t="s">
        <v>2185</v>
      </c>
    </row>
    <row r="785" spans="12:12" x14ac:dyDescent="0.25">
      <c r="L785" s="96" t="s">
        <v>2186</v>
      </c>
    </row>
    <row r="786" spans="12:12" x14ac:dyDescent="0.25">
      <c r="L786" s="96" t="s">
        <v>2187</v>
      </c>
    </row>
    <row r="787" spans="12:12" x14ac:dyDescent="0.25">
      <c r="L787" s="96" t="s">
        <v>2188</v>
      </c>
    </row>
    <row r="788" spans="12:12" x14ac:dyDescent="0.25">
      <c r="L788" s="96" t="s">
        <v>2189</v>
      </c>
    </row>
    <row r="789" spans="12:12" x14ac:dyDescent="0.25">
      <c r="L789" s="96" t="s">
        <v>2190</v>
      </c>
    </row>
    <row r="790" spans="12:12" x14ac:dyDescent="0.25">
      <c r="L790" s="96" t="s">
        <v>2191</v>
      </c>
    </row>
    <row r="791" spans="12:12" x14ac:dyDescent="0.25">
      <c r="L791" s="96" t="s">
        <v>2192</v>
      </c>
    </row>
    <row r="792" spans="12:12" x14ac:dyDescent="0.25">
      <c r="L792" s="96" t="s">
        <v>2193</v>
      </c>
    </row>
    <row r="793" spans="12:12" x14ac:dyDescent="0.25">
      <c r="L793" s="96" t="s">
        <v>2194</v>
      </c>
    </row>
    <row r="794" spans="12:12" x14ac:dyDescent="0.25">
      <c r="L794" s="96" t="s">
        <v>2195</v>
      </c>
    </row>
    <row r="795" spans="12:12" x14ac:dyDescent="0.25">
      <c r="L795" s="96" t="s">
        <v>2196</v>
      </c>
    </row>
    <row r="796" spans="12:12" x14ac:dyDescent="0.25">
      <c r="L796" s="96" t="s">
        <v>2197</v>
      </c>
    </row>
    <row r="797" spans="12:12" x14ac:dyDescent="0.25">
      <c r="L797" s="96" t="s">
        <v>2198</v>
      </c>
    </row>
    <row r="798" spans="12:12" x14ac:dyDescent="0.25">
      <c r="L798" s="96" t="s">
        <v>2199</v>
      </c>
    </row>
    <row r="799" spans="12:12" x14ac:dyDescent="0.25">
      <c r="L799" s="96" t="s">
        <v>2200</v>
      </c>
    </row>
    <row r="800" spans="12:12" x14ac:dyDescent="0.25">
      <c r="L800" s="96" t="s">
        <v>2201</v>
      </c>
    </row>
    <row r="801" spans="12:12" x14ac:dyDescent="0.25">
      <c r="L801" s="96" t="s">
        <v>2202</v>
      </c>
    </row>
    <row r="802" spans="12:12" x14ac:dyDescent="0.25">
      <c r="L802" s="96" t="s">
        <v>2203</v>
      </c>
    </row>
    <row r="803" spans="12:12" x14ac:dyDescent="0.25">
      <c r="L803" s="96" t="s">
        <v>2204</v>
      </c>
    </row>
    <row r="804" spans="12:12" x14ac:dyDescent="0.25">
      <c r="L804" s="96" t="s">
        <v>2205</v>
      </c>
    </row>
    <row r="805" spans="12:12" x14ac:dyDescent="0.25">
      <c r="L805" s="96" t="s">
        <v>2206</v>
      </c>
    </row>
    <row r="806" spans="12:12" x14ac:dyDescent="0.25">
      <c r="L806" s="96" t="s">
        <v>2207</v>
      </c>
    </row>
    <row r="807" spans="12:12" x14ac:dyDescent="0.25">
      <c r="L807" s="96" t="s">
        <v>2208</v>
      </c>
    </row>
    <row r="808" spans="12:12" x14ac:dyDescent="0.25">
      <c r="L808" s="96" t="s">
        <v>2209</v>
      </c>
    </row>
    <row r="809" spans="12:12" x14ac:dyDescent="0.25">
      <c r="L809" s="96" t="s">
        <v>2210</v>
      </c>
    </row>
    <row r="810" spans="12:12" x14ac:dyDescent="0.25">
      <c r="L810" s="96" t="s">
        <v>2211</v>
      </c>
    </row>
    <row r="811" spans="12:12" x14ac:dyDescent="0.25">
      <c r="L811" s="96" t="s">
        <v>2212</v>
      </c>
    </row>
    <row r="812" spans="12:12" x14ac:dyDescent="0.25">
      <c r="L812" s="96" t="s">
        <v>2213</v>
      </c>
    </row>
    <row r="813" spans="12:12" x14ac:dyDescent="0.25">
      <c r="L813" s="96" t="s">
        <v>2214</v>
      </c>
    </row>
    <row r="814" spans="12:12" x14ac:dyDescent="0.25">
      <c r="L814" s="96" t="s">
        <v>2215</v>
      </c>
    </row>
    <row r="815" spans="12:12" x14ac:dyDescent="0.25">
      <c r="L815" s="96" t="s">
        <v>2216</v>
      </c>
    </row>
    <row r="816" spans="12:12" x14ac:dyDescent="0.25">
      <c r="L816" s="96" t="s">
        <v>2217</v>
      </c>
    </row>
    <row r="817" spans="12:12" x14ac:dyDescent="0.25">
      <c r="L817" s="96" t="s">
        <v>2218</v>
      </c>
    </row>
    <row r="818" spans="12:12" x14ac:dyDescent="0.25">
      <c r="L818" s="96" t="s">
        <v>2219</v>
      </c>
    </row>
    <row r="819" spans="12:12" x14ac:dyDescent="0.25">
      <c r="L819" s="96" t="s">
        <v>2220</v>
      </c>
    </row>
    <row r="820" spans="12:12" x14ac:dyDescent="0.25">
      <c r="L820" s="96" t="s">
        <v>2221</v>
      </c>
    </row>
    <row r="821" spans="12:12" x14ac:dyDescent="0.25">
      <c r="L821" s="96" t="s">
        <v>2222</v>
      </c>
    </row>
    <row r="822" spans="12:12" x14ac:dyDescent="0.25">
      <c r="L822" s="96" t="s">
        <v>2223</v>
      </c>
    </row>
    <row r="823" spans="12:12" x14ac:dyDescent="0.25">
      <c r="L823" s="96" t="s">
        <v>2224</v>
      </c>
    </row>
    <row r="824" spans="12:12" x14ac:dyDescent="0.25">
      <c r="L824" s="96" t="s">
        <v>2225</v>
      </c>
    </row>
    <row r="825" spans="12:12" x14ac:dyDescent="0.25">
      <c r="L825" s="96" t="s">
        <v>2226</v>
      </c>
    </row>
    <row r="826" spans="12:12" x14ac:dyDescent="0.25">
      <c r="L826" s="96" t="s">
        <v>2227</v>
      </c>
    </row>
    <row r="827" spans="12:12" x14ac:dyDescent="0.25">
      <c r="L827" s="96" t="s">
        <v>2228</v>
      </c>
    </row>
    <row r="828" spans="12:12" x14ac:dyDescent="0.25">
      <c r="L828" s="96" t="s">
        <v>2229</v>
      </c>
    </row>
    <row r="829" spans="12:12" x14ac:dyDescent="0.25">
      <c r="L829" s="96" t="s">
        <v>2230</v>
      </c>
    </row>
    <row r="830" spans="12:12" x14ac:dyDescent="0.25">
      <c r="L830" s="96" t="s">
        <v>2231</v>
      </c>
    </row>
    <row r="831" spans="12:12" x14ac:dyDescent="0.25">
      <c r="L831" s="96" t="s">
        <v>2232</v>
      </c>
    </row>
    <row r="832" spans="12:12" x14ac:dyDescent="0.25">
      <c r="L832" s="96" t="s">
        <v>2233</v>
      </c>
    </row>
    <row r="833" spans="12:12" x14ac:dyDescent="0.25">
      <c r="L833" s="96" t="s">
        <v>2234</v>
      </c>
    </row>
    <row r="834" spans="12:12" x14ac:dyDescent="0.25">
      <c r="L834" s="96" t="s">
        <v>2235</v>
      </c>
    </row>
    <row r="835" spans="12:12" x14ac:dyDescent="0.25">
      <c r="L835" s="96" t="s">
        <v>2236</v>
      </c>
    </row>
    <row r="836" spans="12:12" x14ac:dyDescent="0.25">
      <c r="L836" s="96" t="s">
        <v>2237</v>
      </c>
    </row>
    <row r="837" spans="12:12" x14ac:dyDescent="0.25">
      <c r="L837" s="96" t="s">
        <v>2238</v>
      </c>
    </row>
    <row r="838" spans="12:12" x14ac:dyDescent="0.25">
      <c r="L838" s="96" t="s">
        <v>2239</v>
      </c>
    </row>
    <row r="839" spans="12:12" x14ac:dyDescent="0.25">
      <c r="L839" s="96" t="s">
        <v>2240</v>
      </c>
    </row>
    <row r="840" spans="12:12" x14ac:dyDescent="0.25">
      <c r="L840" s="96" t="s">
        <v>2241</v>
      </c>
    </row>
    <row r="841" spans="12:12" x14ac:dyDescent="0.25">
      <c r="L841" s="96" t="s">
        <v>2242</v>
      </c>
    </row>
    <row r="842" spans="12:12" x14ac:dyDescent="0.25">
      <c r="L842" s="96" t="s">
        <v>2243</v>
      </c>
    </row>
    <row r="843" spans="12:12" x14ac:dyDescent="0.25">
      <c r="L843" s="96" t="s">
        <v>2244</v>
      </c>
    </row>
    <row r="844" spans="12:12" x14ac:dyDescent="0.25">
      <c r="L844" s="96" t="s">
        <v>2245</v>
      </c>
    </row>
    <row r="845" spans="12:12" x14ac:dyDescent="0.25">
      <c r="L845" s="96" t="s">
        <v>2246</v>
      </c>
    </row>
    <row r="846" spans="12:12" x14ac:dyDescent="0.25">
      <c r="L846" s="96" t="s">
        <v>2247</v>
      </c>
    </row>
    <row r="847" spans="12:12" x14ac:dyDescent="0.25">
      <c r="L847" s="96" t="s">
        <v>2248</v>
      </c>
    </row>
    <row r="848" spans="12:12" x14ac:dyDescent="0.25">
      <c r="L848" s="96" t="s">
        <v>2249</v>
      </c>
    </row>
    <row r="849" spans="12:12" x14ac:dyDescent="0.25">
      <c r="L849" s="96" t="s">
        <v>2250</v>
      </c>
    </row>
    <row r="850" spans="12:12" x14ac:dyDescent="0.25">
      <c r="L850" s="96" t="s">
        <v>2251</v>
      </c>
    </row>
    <row r="851" spans="12:12" x14ac:dyDescent="0.25">
      <c r="L851" s="96" t="s">
        <v>2252</v>
      </c>
    </row>
    <row r="852" spans="12:12" x14ac:dyDescent="0.25">
      <c r="L852" s="96" t="s">
        <v>2253</v>
      </c>
    </row>
    <row r="853" spans="12:12" x14ac:dyDescent="0.25">
      <c r="L853" s="96" t="s">
        <v>2254</v>
      </c>
    </row>
    <row r="854" spans="12:12" x14ac:dyDescent="0.25">
      <c r="L854" s="96" t="s">
        <v>2255</v>
      </c>
    </row>
    <row r="855" spans="12:12" x14ac:dyDescent="0.25">
      <c r="L855" s="96" t="s">
        <v>2256</v>
      </c>
    </row>
    <row r="856" spans="12:12" x14ac:dyDescent="0.25">
      <c r="L856" s="96" t="s">
        <v>2257</v>
      </c>
    </row>
    <row r="857" spans="12:12" x14ac:dyDescent="0.25">
      <c r="L857" s="96" t="s">
        <v>2258</v>
      </c>
    </row>
    <row r="858" spans="12:12" x14ac:dyDescent="0.25">
      <c r="L858" s="96" t="s">
        <v>2259</v>
      </c>
    </row>
    <row r="859" spans="12:12" x14ac:dyDescent="0.25">
      <c r="L859" s="96" t="s">
        <v>2260</v>
      </c>
    </row>
    <row r="860" spans="12:12" x14ac:dyDescent="0.25">
      <c r="L860" s="96" t="s">
        <v>2261</v>
      </c>
    </row>
    <row r="861" spans="12:12" x14ac:dyDescent="0.25">
      <c r="L861" s="96" t="s">
        <v>2262</v>
      </c>
    </row>
    <row r="862" spans="12:12" x14ac:dyDescent="0.25">
      <c r="L862" s="96" t="s">
        <v>2263</v>
      </c>
    </row>
    <row r="863" spans="12:12" x14ac:dyDescent="0.25">
      <c r="L863" s="96" t="s">
        <v>2264</v>
      </c>
    </row>
    <row r="864" spans="12:12" x14ac:dyDescent="0.25">
      <c r="L864" s="96" t="s">
        <v>2265</v>
      </c>
    </row>
    <row r="865" spans="12:12" x14ac:dyDescent="0.25">
      <c r="L865" s="96" t="s">
        <v>2266</v>
      </c>
    </row>
    <row r="866" spans="12:12" x14ac:dyDescent="0.25">
      <c r="L866" s="96" t="s">
        <v>2267</v>
      </c>
    </row>
    <row r="867" spans="12:12" x14ac:dyDescent="0.25">
      <c r="L867" s="96" t="s">
        <v>2268</v>
      </c>
    </row>
    <row r="868" spans="12:12" x14ac:dyDescent="0.25">
      <c r="L868" s="96" t="s">
        <v>2269</v>
      </c>
    </row>
    <row r="869" spans="12:12" x14ac:dyDescent="0.25">
      <c r="L869" s="96" t="s">
        <v>2270</v>
      </c>
    </row>
    <row r="870" spans="12:12" x14ac:dyDescent="0.25">
      <c r="L870" s="96" t="s">
        <v>2271</v>
      </c>
    </row>
    <row r="871" spans="12:12" x14ac:dyDescent="0.25">
      <c r="L871" s="96" t="s">
        <v>2272</v>
      </c>
    </row>
    <row r="872" spans="12:12" x14ac:dyDescent="0.25">
      <c r="L872" s="96" t="s">
        <v>2273</v>
      </c>
    </row>
    <row r="873" spans="12:12" x14ac:dyDescent="0.25">
      <c r="L873" s="96" t="s">
        <v>2274</v>
      </c>
    </row>
    <row r="874" spans="12:12" x14ac:dyDescent="0.25">
      <c r="L874" s="96" t="s">
        <v>2275</v>
      </c>
    </row>
    <row r="875" spans="12:12" x14ac:dyDescent="0.25">
      <c r="L875" s="96" t="s">
        <v>2276</v>
      </c>
    </row>
    <row r="876" spans="12:12" x14ac:dyDescent="0.25">
      <c r="L876" s="96" t="s">
        <v>2277</v>
      </c>
    </row>
    <row r="877" spans="12:12" x14ac:dyDescent="0.25">
      <c r="L877" s="96" t="s">
        <v>2278</v>
      </c>
    </row>
    <row r="878" spans="12:12" x14ac:dyDescent="0.25">
      <c r="L878" s="96" t="s">
        <v>2279</v>
      </c>
    </row>
    <row r="879" spans="12:12" x14ac:dyDescent="0.25">
      <c r="L879" s="96" t="s">
        <v>2280</v>
      </c>
    </row>
    <row r="880" spans="12:12" x14ac:dyDescent="0.25">
      <c r="L880" s="96" t="s">
        <v>2281</v>
      </c>
    </row>
    <row r="881" spans="12:12" x14ac:dyDescent="0.25">
      <c r="L881" s="96" t="s">
        <v>2282</v>
      </c>
    </row>
    <row r="882" spans="12:12" x14ac:dyDescent="0.25">
      <c r="L882" s="96" t="s">
        <v>2283</v>
      </c>
    </row>
    <row r="883" spans="12:12" x14ac:dyDescent="0.25">
      <c r="L883" s="96" t="s">
        <v>2284</v>
      </c>
    </row>
    <row r="884" spans="12:12" x14ac:dyDescent="0.25">
      <c r="L884" s="96" t="s">
        <v>2285</v>
      </c>
    </row>
    <row r="885" spans="12:12" x14ac:dyDescent="0.25">
      <c r="L885" s="96" t="s">
        <v>2286</v>
      </c>
    </row>
    <row r="886" spans="12:12" x14ac:dyDescent="0.25">
      <c r="L886" s="96" t="s">
        <v>2287</v>
      </c>
    </row>
    <row r="887" spans="12:12" x14ac:dyDescent="0.25">
      <c r="L887" s="96" t="s">
        <v>2288</v>
      </c>
    </row>
    <row r="888" spans="12:12" x14ac:dyDescent="0.25">
      <c r="L888" s="96" t="s">
        <v>2289</v>
      </c>
    </row>
    <row r="889" spans="12:12" x14ac:dyDescent="0.25">
      <c r="L889" s="96" t="s">
        <v>2290</v>
      </c>
    </row>
    <row r="890" spans="12:12" x14ac:dyDescent="0.25">
      <c r="L890" s="96" t="s">
        <v>2291</v>
      </c>
    </row>
    <row r="891" spans="12:12" x14ac:dyDescent="0.25">
      <c r="L891" s="96" t="s">
        <v>2292</v>
      </c>
    </row>
    <row r="892" spans="12:12" x14ac:dyDescent="0.25">
      <c r="L892" s="96" t="s">
        <v>2293</v>
      </c>
    </row>
    <row r="893" spans="12:12" x14ac:dyDescent="0.25">
      <c r="L893" s="96" t="s">
        <v>2294</v>
      </c>
    </row>
    <row r="894" spans="12:12" x14ac:dyDescent="0.25">
      <c r="L894" s="96" t="s">
        <v>2295</v>
      </c>
    </row>
    <row r="895" spans="12:12" x14ac:dyDescent="0.25">
      <c r="L895" s="96" t="s">
        <v>2296</v>
      </c>
    </row>
    <row r="896" spans="12:12" x14ac:dyDescent="0.25">
      <c r="L896" s="96" t="s">
        <v>2297</v>
      </c>
    </row>
    <row r="897" spans="12:12" x14ac:dyDescent="0.25">
      <c r="L897" s="96" t="s">
        <v>2298</v>
      </c>
    </row>
    <row r="898" spans="12:12" x14ac:dyDescent="0.25">
      <c r="L898" s="96" t="s">
        <v>2299</v>
      </c>
    </row>
    <row r="899" spans="12:12" x14ac:dyDescent="0.25">
      <c r="L899" s="96" t="s">
        <v>2300</v>
      </c>
    </row>
    <row r="900" spans="12:12" x14ac:dyDescent="0.25">
      <c r="L900" s="96" t="s">
        <v>2301</v>
      </c>
    </row>
    <row r="901" spans="12:12" x14ac:dyDescent="0.25">
      <c r="L901" s="96" t="s">
        <v>2302</v>
      </c>
    </row>
    <row r="902" spans="12:12" x14ac:dyDescent="0.25">
      <c r="L902" s="96" t="s">
        <v>2303</v>
      </c>
    </row>
    <row r="903" spans="12:12" x14ac:dyDescent="0.25">
      <c r="L903" s="96" t="s">
        <v>2304</v>
      </c>
    </row>
    <row r="904" spans="12:12" x14ac:dyDescent="0.25">
      <c r="L904" s="96" t="s">
        <v>2305</v>
      </c>
    </row>
    <row r="905" spans="12:12" x14ac:dyDescent="0.25">
      <c r="L905" s="96" t="s">
        <v>2306</v>
      </c>
    </row>
    <row r="906" spans="12:12" x14ac:dyDescent="0.25">
      <c r="L906" s="96" t="s">
        <v>2307</v>
      </c>
    </row>
    <row r="907" spans="12:12" x14ac:dyDescent="0.25">
      <c r="L907" s="96" t="s">
        <v>2308</v>
      </c>
    </row>
    <row r="908" spans="12:12" x14ac:dyDescent="0.25">
      <c r="L908" s="96" t="s">
        <v>2309</v>
      </c>
    </row>
    <row r="909" spans="12:12" x14ac:dyDescent="0.25">
      <c r="L909" s="96" t="s">
        <v>2310</v>
      </c>
    </row>
    <row r="910" spans="12:12" x14ac:dyDescent="0.25">
      <c r="L910" s="96" t="s">
        <v>2311</v>
      </c>
    </row>
    <row r="911" spans="12:12" x14ac:dyDescent="0.25">
      <c r="L911" s="96" t="s">
        <v>2312</v>
      </c>
    </row>
    <row r="912" spans="12:12" x14ac:dyDescent="0.25">
      <c r="L912" s="96" t="s">
        <v>2313</v>
      </c>
    </row>
    <row r="913" spans="12:12" x14ac:dyDescent="0.25">
      <c r="L913" s="96" t="s">
        <v>2314</v>
      </c>
    </row>
    <row r="914" spans="12:12" x14ac:dyDescent="0.25">
      <c r="L914" s="96" t="s">
        <v>2315</v>
      </c>
    </row>
    <row r="915" spans="12:12" x14ac:dyDescent="0.25">
      <c r="L915" s="96" t="s">
        <v>2316</v>
      </c>
    </row>
    <row r="916" spans="12:12" x14ac:dyDescent="0.25">
      <c r="L916" s="96" t="s">
        <v>2317</v>
      </c>
    </row>
    <row r="917" spans="12:12" x14ac:dyDescent="0.25">
      <c r="L917" s="96" t="s">
        <v>2318</v>
      </c>
    </row>
    <row r="918" spans="12:12" x14ac:dyDescent="0.25">
      <c r="L918" s="96" t="s">
        <v>2319</v>
      </c>
    </row>
    <row r="919" spans="12:12" x14ac:dyDescent="0.25">
      <c r="L919" s="96" t="s">
        <v>2320</v>
      </c>
    </row>
    <row r="920" spans="12:12" x14ac:dyDescent="0.25">
      <c r="L920" s="96" t="s">
        <v>2321</v>
      </c>
    </row>
    <row r="921" spans="12:12" x14ac:dyDescent="0.25">
      <c r="L921" s="96" t="s">
        <v>2322</v>
      </c>
    </row>
    <row r="922" spans="12:12" x14ac:dyDescent="0.25">
      <c r="L922" s="96" t="s">
        <v>2323</v>
      </c>
    </row>
    <row r="923" spans="12:12" x14ac:dyDescent="0.25">
      <c r="L923" s="96" t="s">
        <v>2324</v>
      </c>
    </row>
    <row r="924" spans="12:12" x14ac:dyDescent="0.25">
      <c r="L924" s="96" t="s">
        <v>2325</v>
      </c>
    </row>
    <row r="925" spans="12:12" x14ac:dyDescent="0.25">
      <c r="L925" s="96" t="s">
        <v>2326</v>
      </c>
    </row>
    <row r="926" spans="12:12" x14ac:dyDescent="0.25">
      <c r="L926" s="96" t="s">
        <v>2327</v>
      </c>
    </row>
    <row r="927" spans="12:12" x14ac:dyDescent="0.25">
      <c r="L927" s="96" t="s">
        <v>2328</v>
      </c>
    </row>
    <row r="928" spans="12:12" x14ac:dyDescent="0.25">
      <c r="L928" s="96" t="s">
        <v>2329</v>
      </c>
    </row>
    <row r="929" spans="12:12" x14ac:dyDescent="0.25">
      <c r="L929" s="96" t="s">
        <v>2330</v>
      </c>
    </row>
    <row r="930" spans="12:12" x14ac:dyDescent="0.25">
      <c r="L930" s="96" t="s">
        <v>2331</v>
      </c>
    </row>
    <row r="931" spans="12:12" x14ac:dyDescent="0.25">
      <c r="L931" s="96" t="s">
        <v>2332</v>
      </c>
    </row>
    <row r="932" spans="12:12" x14ac:dyDescent="0.25">
      <c r="L932" s="96" t="s">
        <v>2333</v>
      </c>
    </row>
    <row r="933" spans="12:12" x14ac:dyDescent="0.25">
      <c r="L933" s="96" t="s">
        <v>2334</v>
      </c>
    </row>
    <row r="934" spans="12:12" x14ac:dyDescent="0.25">
      <c r="L934" s="96" t="s">
        <v>2335</v>
      </c>
    </row>
    <row r="935" spans="12:12" x14ac:dyDescent="0.25">
      <c r="L935" s="96" t="s">
        <v>2336</v>
      </c>
    </row>
    <row r="936" spans="12:12" x14ac:dyDescent="0.25">
      <c r="L936" s="96" t="s">
        <v>2337</v>
      </c>
    </row>
    <row r="937" spans="12:12" x14ac:dyDescent="0.25">
      <c r="L937" s="96" t="s">
        <v>2338</v>
      </c>
    </row>
    <row r="938" spans="12:12" x14ac:dyDescent="0.25">
      <c r="L938" s="96" t="s">
        <v>2339</v>
      </c>
    </row>
    <row r="939" spans="12:12" x14ac:dyDescent="0.25">
      <c r="L939" s="96" t="s">
        <v>2340</v>
      </c>
    </row>
    <row r="940" spans="12:12" x14ac:dyDescent="0.25">
      <c r="L940" s="96" t="s">
        <v>2341</v>
      </c>
    </row>
    <row r="941" spans="12:12" x14ac:dyDescent="0.25">
      <c r="L941" s="96" t="s">
        <v>2342</v>
      </c>
    </row>
    <row r="942" spans="12:12" x14ac:dyDescent="0.25">
      <c r="L942" s="96" t="s">
        <v>2343</v>
      </c>
    </row>
    <row r="943" spans="12:12" x14ac:dyDescent="0.25">
      <c r="L943" s="96" t="s">
        <v>2344</v>
      </c>
    </row>
    <row r="944" spans="12:12" x14ac:dyDescent="0.25">
      <c r="L944" s="96" t="s">
        <v>2345</v>
      </c>
    </row>
    <row r="945" spans="12:12" x14ac:dyDescent="0.25">
      <c r="L945" s="96" t="s">
        <v>2346</v>
      </c>
    </row>
    <row r="946" spans="12:12" x14ac:dyDescent="0.25">
      <c r="L946" s="96" t="s">
        <v>2347</v>
      </c>
    </row>
    <row r="947" spans="12:12" x14ac:dyDescent="0.25">
      <c r="L947" s="96" t="s">
        <v>2348</v>
      </c>
    </row>
    <row r="948" spans="12:12" x14ac:dyDescent="0.25">
      <c r="L948" s="96" t="s">
        <v>2349</v>
      </c>
    </row>
    <row r="949" spans="12:12" x14ac:dyDescent="0.25">
      <c r="L949" s="96" t="s">
        <v>2350</v>
      </c>
    </row>
    <row r="950" spans="12:12" x14ac:dyDescent="0.25">
      <c r="L950" s="96" t="s">
        <v>2351</v>
      </c>
    </row>
    <row r="951" spans="12:12" x14ac:dyDescent="0.25">
      <c r="L951" s="96" t="s">
        <v>2352</v>
      </c>
    </row>
    <row r="952" spans="12:12" x14ac:dyDescent="0.25">
      <c r="L952" s="96" t="s">
        <v>2353</v>
      </c>
    </row>
    <row r="953" spans="12:12" x14ac:dyDescent="0.25">
      <c r="L953" s="96" t="s">
        <v>2354</v>
      </c>
    </row>
    <row r="954" spans="12:12" x14ac:dyDescent="0.25">
      <c r="L954" s="96" t="s">
        <v>2355</v>
      </c>
    </row>
    <row r="955" spans="12:12" x14ac:dyDescent="0.25">
      <c r="L955" s="96" t="s">
        <v>2356</v>
      </c>
    </row>
    <row r="956" spans="12:12" x14ac:dyDescent="0.25">
      <c r="L956" s="96" t="s">
        <v>2357</v>
      </c>
    </row>
    <row r="957" spans="12:12" x14ac:dyDescent="0.25">
      <c r="L957" s="96" t="s">
        <v>2358</v>
      </c>
    </row>
    <row r="958" spans="12:12" x14ac:dyDescent="0.25">
      <c r="L958" s="96" t="s">
        <v>2359</v>
      </c>
    </row>
    <row r="959" spans="12:12" x14ac:dyDescent="0.25">
      <c r="L959" s="96" t="s">
        <v>2360</v>
      </c>
    </row>
    <row r="960" spans="12:12" x14ac:dyDescent="0.25">
      <c r="L960" s="96" t="s">
        <v>2361</v>
      </c>
    </row>
    <row r="961" spans="12:12" x14ac:dyDescent="0.25">
      <c r="L961" s="96" t="s">
        <v>2362</v>
      </c>
    </row>
    <row r="962" spans="12:12" x14ac:dyDescent="0.25">
      <c r="L962" s="96" t="s">
        <v>2363</v>
      </c>
    </row>
    <row r="963" spans="12:12" x14ac:dyDescent="0.25">
      <c r="L963" s="96" t="s">
        <v>2364</v>
      </c>
    </row>
    <row r="964" spans="12:12" x14ac:dyDescent="0.25">
      <c r="L964" s="96" t="s">
        <v>2365</v>
      </c>
    </row>
    <row r="965" spans="12:12" x14ac:dyDescent="0.25">
      <c r="L965" s="96" t="s">
        <v>2366</v>
      </c>
    </row>
    <row r="966" spans="12:12" x14ac:dyDescent="0.25">
      <c r="L966" s="96" t="s">
        <v>2367</v>
      </c>
    </row>
    <row r="967" spans="12:12" x14ac:dyDescent="0.25">
      <c r="L967" s="96" t="s">
        <v>2368</v>
      </c>
    </row>
    <row r="968" spans="12:12" x14ac:dyDescent="0.25">
      <c r="L968" s="96" t="s">
        <v>2369</v>
      </c>
    </row>
    <row r="969" spans="12:12" x14ac:dyDescent="0.25">
      <c r="L969" s="96" t="s">
        <v>2370</v>
      </c>
    </row>
    <row r="970" spans="12:12" x14ac:dyDescent="0.25">
      <c r="L970" s="96" t="s">
        <v>2371</v>
      </c>
    </row>
    <row r="971" spans="12:12" x14ac:dyDescent="0.25">
      <c r="L971" s="96" t="s">
        <v>2372</v>
      </c>
    </row>
    <row r="972" spans="12:12" x14ac:dyDescent="0.25">
      <c r="L972" s="96" t="s">
        <v>2373</v>
      </c>
    </row>
    <row r="973" spans="12:12" x14ac:dyDescent="0.25">
      <c r="L973" s="96" t="s">
        <v>2374</v>
      </c>
    </row>
    <row r="974" spans="12:12" x14ac:dyDescent="0.25">
      <c r="L974" s="96" t="s">
        <v>2375</v>
      </c>
    </row>
    <row r="975" spans="12:12" x14ac:dyDescent="0.25">
      <c r="L975" s="96" t="s">
        <v>2376</v>
      </c>
    </row>
    <row r="976" spans="12:12" x14ac:dyDescent="0.25">
      <c r="L976" s="96" t="s">
        <v>2377</v>
      </c>
    </row>
    <row r="977" spans="12:12" x14ac:dyDescent="0.25">
      <c r="L977" s="96" t="s">
        <v>2378</v>
      </c>
    </row>
    <row r="978" spans="12:12" x14ac:dyDescent="0.25">
      <c r="L978" s="96" t="s">
        <v>2379</v>
      </c>
    </row>
    <row r="979" spans="12:12" x14ac:dyDescent="0.25">
      <c r="L979" s="96" t="s">
        <v>2380</v>
      </c>
    </row>
    <row r="980" spans="12:12" x14ac:dyDescent="0.25">
      <c r="L980" s="96" t="s">
        <v>2381</v>
      </c>
    </row>
    <row r="981" spans="12:12" x14ac:dyDescent="0.25">
      <c r="L981" s="96" t="s">
        <v>2382</v>
      </c>
    </row>
    <row r="982" spans="12:12" x14ac:dyDescent="0.25">
      <c r="L982" s="96" t="s">
        <v>2383</v>
      </c>
    </row>
    <row r="983" spans="12:12" x14ac:dyDescent="0.25">
      <c r="L983" s="96" t="s">
        <v>2384</v>
      </c>
    </row>
    <row r="984" spans="12:12" x14ac:dyDescent="0.25">
      <c r="L984" s="96" t="s">
        <v>2385</v>
      </c>
    </row>
    <row r="985" spans="12:12" x14ac:dyDescent="0.25">
      <c r="L985" s="96" t="s">
        <v>2386</v>
      </c>
    </row>
    <row r="986" spans="12:12" x14ac:dyDescent="0.25">
      <c r="L986" s="96" t="s">
        <v>2387</v>
      </c>
    </row>
    <row r="987" spans="12:12" x14ac:dyDescent="0.25">
      <c r="L987" s="96" t="s">
        <v>2388</v>
      </c>
    </row>
    <row r="988" spans="12:12" x14ac:dyDescent="0.25">
      <c r="L988" s="96" t="s">
        <v>2389</v>
      </c>
    </row>
    <row r="989" spans="12:12" x14ac:dyDescent="0.25">
      <c r="L989" s="96" t="s">
        <v>2390</v>
      </c>
    </row>
    <row r="990" spans="12:12" x14ac:dyDescent="0.25">
      <c r="L990" s="96" t="s">
        <v>2391</v>
      </c>
    </row>
    <row r="991" spans="12:12" x14ac:dyDescent="0.25">
      <c r="L991" s="96" t="s">
        <v>2392</v>
      </c>
    </row>
    <row r="992" spans="12:12" x14ac:dyDescent="0.25">
      <c r="L992" s="96" t="s">
        <v>2393</v>
      </c>
    </row>
    <row r="993" spans="12:12" x14ac:dyDescent="0.25">
      <c r="L993" s="96" t="s">
        <v>2394</v>
      </c>
    </row>
    <row r="994" spans="12:12" x14ac:dyDescent="0.25">
      <c r="L994" s="96" t="s">
        <v>2395</v>
      </c>
    </row>
    <row r="995" spans="12:12" x14ac:dyDescent="0.25">
      <c r="L995" s="96" t="s">
        <v>2396</v>
      </c>
    </row>
    <row r="996" spans="12:12" x14ac:dyDescent="0.25">
      <c r="L996" s="96" t="s">
        <v>2397</v>
      </c>
    </row>
    <row r="997" spans="12:12" x14ac:dyDescent="0.25">
      <c r="L997" s="96" t="s">
        <v>2398</v>
      </c>
    </row>
    <row r="998" spans="12:12" x14ac:dyDescent="0.25">
      <c r="L998" s="96" t="s">
        <v>2399</v>
      </c>
    </row>
    <row r="999" spans="12:12" x14ac:dyDescent="0.25">
      <c r="L999" s="96" t="s">
        <v>2400</v>
      </c>
    </row>
    <row r="1000" spans="12:12" x14ac:dyDescent="0.25">
      <c r="L1000" s="96" t="s">
        <v>2401</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Solicitudes</vt:lpstr>
      <vt:lpstr>Documentos</vt:lpstr>
      <vt:lpstr>Movimientos</vt:lpstr>
      <vt:lpstr>Leyes</vt:lpstr>
      <vt:lpstr>(No tocar)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2022-12-31T00:06:20Z</dcterms:modified>
</cp:coreProperties>
</file>